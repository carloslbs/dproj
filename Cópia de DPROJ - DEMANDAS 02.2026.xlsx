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AS" sheetId="1" r:id="rId5"/>
    <sheet state="visible" name="DASHBOARD" sheetId="2" r:id="rId6"/>
    <sheet state="visible" name="CONCLUÍDOS" sheetId="3" r:id="rId7"/>
    <sheet state="visible" name=" CAL. PRIORIDADE" sheetId="4" r:id="rId8"/>
    <sheet state="visible" name="CONCLUÍDOS 2023" sheetId="5" r:id="rId9"/>
    <sheet state="hidden" name="Página1" sheetId="6" r:id="rId10"/>
  </sheets>
  <definedNames>
    <definedName hidden="1" localSheetId="0" name="_xlnm._FilterDatabase">DEMANDAS!$A$4:$T$410</definedName>
    <definedName hidden="1" localSheetId="2" name="_xlnm._FilterDatabase">'CONCLUÍDOS'!$A$4:$Z$385</definedName>
    <definedName hidden="1" localSheetId="4" name="_xlnm._FilterDatabase">'CONCLUÍDOS 2023'!$A$1:$J$69</definedName>
    <definedName hidden="1" localSheetId="0" name="Z_4FC5A3C7_9538_474B_930D_1E4B548C3163_.wvu.FilterData">DEMANDAS!$N$4:$N$410</definedName>
    <definedName hidden="1" localSheetId="0" name="Z_4FC5A3C7_9538_474B_930D_1E4B548C3163_.wvu.FilterData">DEMANDAS!$A$4:$T$410</definedName>
    <definedName hidden="1" localSheetId="0" name="Z_4FC5A3C7_9538_474B_930D_1E4B548C3163_.wvu.FilterData">DEMANDAS!$A$4:$T$410</definedName>
    <definedName hidden="1" localSheetId="0" name="Z_4FC5A3C7_9538_474B_930D_1E4B548C3163_.wvu.FilterData">DEMANDAS!$A$4:$T$410</definedName>
    <definedName hidden="1" localSheetId="0" name="Z_4FC5A3C7_9538_474B_930D_1E4B548C3163_.wvu.FilterData">DEMANDAS!$A$4:$T$410</definedName>
  </definedNames>
  <calcPr/>
  <customWorkbookViews>
    <customWorkbookView activeSheetId="0" maximized="1" windowHeight="0" windowWidth="0" guid="{4FC5A3C7-9538-474B-930D-1E4B548C3163}" name="Filtro 1"/>
  </customWorkbookViews>
  <pivotCaches>
    <pivotCache cacheId="0" r:id="rId11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tc={b3b96d4f-990b-4fd9-a3e7-f10d4d0b7b7a}</author>
  </authors>
  <commentList>
    <comment authorId="0" ref="R2">
      <text>
        <t xml:space="preserve">Ano Concluído</t>
      </text>
    </comment>
    <comment authorId="0" ref="C2">
      <text>
        <t xml:space="preserve">Ano Recebido</t>
      </text>
    </comment>
    <comment authorId="0" ref="R4">
      <text>
        <t xml:space="preserve">Ano Concluído</t>
      </text>
    </comment>
    <comment authorId="0" ref="C4">
      <text>
        <t xml:space="preserve">Ano Recebido</t>
      </text>
    </comment>
    <comment authorId="1" xr:uid="{b3b96d4f-990b-4fd9-a3e7-f10d4d0b7b7a}" ref="A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necessidade da demanda. Retornar processo para Carlos solicitando anexar relatório de vistoria.
</t>
      </text>
    </comment>
  </commentList>
</comments>
</file>

<file path=xl/sharedStrings.xml><?xml version="1.0" encoding="utf-8"?>
<sst xmlns="http://schemas.openxmlformats.org/spreadsheetml/2006/main" count="8945" uniqueCount="1297">
  <si>
    <t>DEMANDAS DIRETORIAS DE PROJETOS - SEINFRA/UFG</t>
  </si>
  <si>
    <t>Última Atualização:</t>
  </si>
  <si>
    <t>Processo</t>
  </si>
  <si>
    <t>Recebido</t>
  </si>
  <si>
    <t>A.R.</t>
  </si>
  <si>
    <t>Unidade</t>
  </si>
  <si>
    <t>Campus</t>
  </si>
  <si>
    <t>Regional</t>
  </si>
  <si>
    <t>Conteúdo</t>
  </si>
  <si>
    <t>Classificação</t>
  </si>
  <si>
    <t>Prioridade</t>
  </si>
  <si>
    <t>Responsável</t>
  </si>
  <si>
    <t>Atribuído</t>
  </si>
  <si>
    <t>Prev. Início</t>
  </si>
  <si>
    <t>Início</t>
  </si>
  <si>
    <t>Status</t>
  </si>
  <si>
    <t>A. Contr./Inter.</t>
  </si>
  <si>
    <t>Prev. Concl.</t>
  </si>
  <si>
    <t>Conclusão</t>
  </si>
  <si>
    <t>A.C.</t>
  </si>
  <si>
    <t>Encaminhamento</t>
  </si>
  <si>
    <t xml:space="preserve"> Observações</t>
  </si>
  <si>
    <t>Observações</t>
  </si>
  <si>
    <t>23070.029949/2026-19</t>
  </si>
  <si>
    <t>EVZ</t>
  </si>
  <si>
    <t>Samambaia</t>
  </si>
  <si>
    <t>Goiânia</t>
  </si>
  <si>
    <t>Adequação Biotério EVZ - Resolução CONCEA nº 57/2022</t>
  </si>
  <si>
    <t xml:space="preserve"> Reformas/Adequações</t>
  </si>
  <si>
    <t>Alta</t>
  </si>
  <si>
    <t>Atribuir</t>
  </si>
  <si>
    <t>23070.030002/2026-42</t>
  </si>
  <si>
    <t>FM</t>
  </si>
  <si>
    <t>Colemar</t>
  </si>
  <si>
    <t>Revitalização Estacionamento FM</t>
  </si>
  <si>
    <t>Paisagismo</t>
  </si>
  <si>
    <t>Normal</t>
  </si>
  <si>
    <t>23070.028049/2026-46</t>
  </si>
  <si>
    <t>FF</t>
  </si>
  <si>
    <t>Cercon Prédio Odontologia</t>
  </si>
  <si>
    <t>Regularização/Aprovação</t>
  </si>
  <si>
    <t>Matheus</t>
  </si>
  <si>
    <t>Concluído</t>
  </si>
  <si>
    <t>DMOC</t>
  </si>
  <si>
    <t>Nova vistoria solicitada em 24/06 e encaminhada para acompanhamento.</t>
  </si>
  <si>
    <t>23070.025014/2026-55</t>
  </si>
  <si>
    <t>GR</t>
  </si>
  <si>
    <t>Goiás</t>
  </si>
  <si>
    <t>Regularização Área Campus Goiás</t>
  </si>
  <si>
    <t>Outros</t>
  </si>
  <si>
    <t>Retornado Secretário (a)</t>
  </si>
  <si>
    <t>23070.027146/2026-11</t>
  </si>
  <si>
    <t>SEINFRA</t>
  </si>
  <si>
    <t>Estágio Enzo Gabriel Moreira Campos</t>
  </si>
  <si>
    <t>Administrativo</t>
  </si>
  <si>
    <t>Em Andamento</t>
  </si>
  <si>
    <t>23070.025697/2026-41</t>
  </si>
  <si>
    <t>FIRMINOPOLIS</t>
  </si>
  <si>
    <t>Firminópolis</t>
  </si>
  <si>
    <t>Construção Auditório Firminópolis</t>
  </si>
  <si>
    <t>Construções Novas</t>
  </si>
  <si>
    <t>Baixa</t>
  </si>
  <si>
    <t>23070.006960/2025-11</t>
  </si>
  <si>
    <t>Ata Projetos Complementares PR SRP 90.011/2025</t>
  </si>
  <si>
    <t>A iniciar</t>
  </si>
  <si>
    <t>23070.021444/2026-06</t>
  </si>
  <si>
    <t>BC</t>
  </si>
  <si>
    <t>Reforma do Serviço de Atendimento ao Usuário da Biblioteca Central</t>
  </si>
  <si>
    <t xml:space="preserve"> </t>
  </si>
  <si>
    <t>Retornar p/ preecnimento de formulário.</t>
  </si>
  <si>
    <t>23070.003214/2026-57</t>
  </si>
  <si>
    <t>Reforma do Laboratório de Plantas Tóxicas da EVZ/UFG</t>
  </si>
  <si>
    <t>Já existe processo, verificar duplicidade e retornar. previsão 2º semestre.</t>
  </si>
  <si>
    <t>23070.024573/2026-48</t>
  </si>
  <si>
    <t>Adequações para sala do UFG Memória</t>
  </si>
  <si>
    <t>Gerani</t>
  </si>
  <si>
    <t>Sem Formalização</t>
  </si>
  <si>
    <t>PROPESSOAS</t>
  </si>
  <si>
    <t>Estacionamento SIASS</t>
  </si>
  <si>
    <t>Encaminhado p/ Poliana via email em 22/06/26.</t>
  </si>
  <si>
    <t>23070.023926/2026-92</t>
  </si>
  <si>
    <t>FL</t>
  </si>
  <si>
    <t>Nova edificação p/ Centro de Línguas FL</t>
  </si>
  <si>
    <t>23070.022268/2026-11</t>
  </si>
  <si>
    <t>Requalificação estacionamento FM</t>
  </si>
  <si>
    <t>23070.022551/2026-43</t>
  </si>
  <si>
    <t>Proteção Portas e Janelas Cozinha Firminópolis</t>
  </si>
  <si>
    <t xml:space="preserve"> Estruturas de Apoio</t>
  </si>
  <si>
    <t>23070.022539/2026-39</t>
  </si>
  <si>
    <t>Adequação Central de Gás Firminópolis</t>
  </si>
  <si>
    <t>23070.020103/2026-13</t>
  </si>
  <si>
    <t>IQ</t>
  </si>
  <si>
    <t>Adequação p/ depósito de reagentes e solventes LABSO-111A (IQ 1)</t>
  </si>
  <si>
    <t>Encaminhado p/ DMOC em 18/06/26.</t>
  </si>
  <si>
    <t>23070.019566/2026-24</t>
  </si>
  <si>
    <t>Adequações Biotério junto ao CONCEA</t>
  </si>
  <si>
    <t>Executado</t>
  </si>
  <si>
    <t>Visita técnica em 05/05. Encaminhado p/ DMOC em 11/05/2026. Executado em 03/06/26.</t>
  </si>
  <si>
    <t>23070.020292/2026-16</t>
  </si>
  <si>
    <t>Cobertura entre blocos Firminópolis</t>
  </si>
  <si>
    <t>23070.020118/2026-73</t>
  </si>
  <si>
    <t>CEPAE</t>
  </si>
  <si>
    <t>Guarita CEPAE</t>
  </si>
  <si>
    <t>23070.019989/2026-44</t>
  </si>
  <si>
    <t>Adequação Calçadas Estacionamento Acessibilidade Firminópolis</t>
  </si>
  <si>
    <t>23070.019998/2026-35</t>
  </si>
  <si>
    <t>Reforma Dispensa de Alimentos Firminópolis</t>
  </si>
  <si>
    <t>23070.018395/2026-16</t>
  </si>
  <si>
    <t>CGA</t>
  </si>
  <si>
    <t>Adequação Layout CGA</t>
  </si>
  <si>
    <t>Leonardo</t>
  </si>
  <si>
    <t>Estudo preliminar enviado p/ aprovação em 30/04/26. Aproavdo em encaminhando p/ DMOC em 07/05.</t>
  </si>
  <si>
    <t>23070.003984/2024-38</t>
  </si>
  <si>
    <t>Estágio Probatório Murillo</t>
  </si>
  <si>
    <t>Referente a 2ª Etapa da Avaliação. Solicitado prorrogação em 14/04.</t>
  </si>
  <si>
    <t>23070.017429/2026-55</t>
  </si>
  <si>
    <t>EA</t>
  </si>
  <si>
    <t>Cópia Projeto Caixa d´Água Agronomia</t>
  </si>
  <si>
    <t>Concl. s/ enc.</t>
  </si>
  <si>
    <t>Retornado p/ Demandante</t>
  </si>
  <si>
    <t>Arquivo não localizado a tempo.</t>
  </si>
  <si>
    <t>23070.017091/2026-31</t>
  </si>
  <si>
    <t>DCF</t>
  </si>
  <si>
    <t>Justificativa DCF CNPJ UFG</t>
  </si>
  <si>
    <t>Concluído na SEINFRA</t>
  </si>
  <si>
    <t>Solcitação feita ao DCF p/ aprovação do projeto do Serviço Doonto. na VISA.</t>
  </si>
  <si>
    <t>23070.016743/2026-11</t>
  </si>
  <si>
    <t>Adequações Entrada Faculdade de Medicina</t>
  </si>
  <si>
    <t>Adriano</t>
  </si>
  <si>
    <t>Início real em 23/03/26. Termino real em 31/03/2026. Encaminhado p/ DMOC em 16/04/26</t>
  </si>
  <si>
    <t>Especificação Mobiliário Especial FM</t>
  </si>
  <si>
    <t>Especificação feita e encaminhada por e-mail em 16/04/26.</t>
  </si>
  <si>
    <t>23070.016474/2026-92</t>
  </si>
  <si>
    <t>IPTSP</t>
  </si>
  <si>
    <t>Criação de Almoxarifado CMBiotecs IPSTSP</t>
  </si>
  <si>
    <t>Retornado p/ prenchimento de formulário em 31/01/26.</t>
  </si>
  <si>
    <t>23070.014352/2026-61</t>
  </si>
  <si>
    <t>Reforma Auditório FL</t>
  </si>
  <si>
    <t>Previst PCA 2026 - Valor 100.000,00. Retornado para a unidade para definições internas. Área de Internveção 165,02 m².</t>
  </si>
  <si>
    <t>23070.016056/2026-03</t>
  </si>
  <si>
    <t>SIN</t>
  </si>
  <si>
    <t>Reforma Espaço IntegraSIN Centro de Convivência</t>
  </si>
  <si>
    <t>23070.064793/2025-23</t>
  </si>
  <si>
    <t>Edifício destinado à Central de Análise Multiusuária (CAM) IQ</t>
  </si>
  <si>
    <t>23070.031555/2025-31</t>
  </si>
  <si>
    <t>Ampliação do prédio do NUPEC-IQ/UFG</t>
  </si>
  <si>
    <t>23070.056214/2024-98</t>
  </si>
  <si>
    <t>ICB</t>
  </si>
  <si>
    <t>Novo edifício de salas para professores, servidores técnico-administrativos e alunos ICB</t>
  </si>
  <si>
    <t>23070.013152/2026-91</t>
  </si>
  <si>
    <t>DEC</t>
  </si>
  <si>
    <t>Manutenção do piso de madeira do Teatro e da Sala de Dança do Centro Cultural</t>
  </si>
  <si>
    <t>Frederico</t>
  </si>
  <si>
    <t>Previsto PCA 2026 - Valor 35.000,00. Encaminhado a Poliana p/ Atribuir p. Fred em 11/05/2026</t>
  </si>
  <si>
    <t>Reitoria</t>
  </si>
  <si>
    <t>Reforma Gabinete Reitoria</t>
  </si>
  <si>
    <t>Reunião inicial 30/03/26. Apresentação proposta 15/04/26. Apresentação proposta final e aprovação 30/04/26. Encaminhado via email DCOM em 11/05/26. Apres. p/ empresa em 22/05/26.</t>
  </si>
  <si>
    <t>23070.015877/2026-14</t>
  </si>
  <si>
    <t>IESA</t>
  </si>
  <si>
    <t>Projeto p/ LERAF IESA</t>
  </si>
  <si>
    <t>23070.015271/2026-89</t>
  </si>
  <si>
    <t>PRAE</t>
  </si>
  <si>
    <t>Projeto Executivo Serviço Odontologico aprovado VISA</t>
  </si>
  <si>
    <t>Encaminhado p/ DMOC em 01/07/26.</t>
  </si>
  <si>
    <t>23070.015098/2026-19</t>
  </si>
  <si>
    <t>FD</t>
  </si>
  <si>
    <t>Adequação Sanitários FD Pav. Superior Graduação</t>
  </si>
  <si>
    <t>Previsto PCA 2026 Valor 35.000,00. Reunião inicial 14/05. Reunião aprovação em 16/06/26. Encaminhado DMOC em 18/06/2026.</t>
  </si>
  <si>
    <t>FANUT</t>
  </si>
  <si>
    <t>Mobiliário Acessível Lab. Dietética FANUT</t>
  </si>
  <si>
    <t>Visita tec. em 26/03. Encaminanha p/ DMOC via email em 27/03.</t>
  </si>
  <si>
    <t>23070.017502/2025-16</t>
  </si>
  <si>
    <t>Reforma do Centro de Saúde Campus Samambaia</t>
  </si>
  <si>
    <t>23070.014042/2026-47</t>
  </si>
  <si>
    <t>Reformas Banheiros, Corredores, Salas FM</t>
  </si>
  <si>
    <t>Previsto PCA 2026 - Valor 157.628,02. Encaminhado para aprovação em 12/06/26. Encaminhada DMOC em 17/06/2026.</t>
  </si>
  <si>
    <t>23070.051742/2024-51</t>
  </si>
  <si>
    <t>Adequação da infraestrutura Setor de Patologia Animal EVZ</t>
  </si>
  <si>
    <t>23070.005137/2026-70</t>
  </si>
  <si>
    <t>DASS</t>
  </si>
  <si>
    <t>Alvará VISA p/ CNES - DASS</t>
  </si>
  <si>
    <t>23070.004853/2026-30</t>
  </si>
  <si>
    <t>Layout da Sala 202 – Setor de Parasitologia/IPTSP</t>
  </si>
  <si>
    <t>Priorizar Solicitação Natália IPTSP</t>
  </si>
  <si>
    <t>23070.056235/2025-94</t>
  </si>
  <si>
    <t>Avaliação  área para a criação de um laboratório de pesquisa e extensão (LERAF) IESA</t>
  </si>
  <si>
    <t>Avaliação/Parecer/Estudo</t>
  </si>
  <si>
    <t>Retornado p/ Poliana c/ parecer.</t>
  </si>
  <si>
    <t>23070.058426/2025-91</t>
  </si>
  <si>
    <t>Adaptação de Sala de Aula e Sala de Podcast FD</t>
  </si>
  <si>
    <t>UAECSA-RG</t>
  </si>
  <si>
    <t>Troca Telhado "Bloco B" Campus Areião - Goiás</t>
  </si>
  <si>
    <t>Compl. em Elaboração</t>
  </si>
  <si>
    <t>Apres. Estudo Preliminar em 13/05/26. Conclusão Projeto em 25/05/26. Encaminhado análise IPHAN em 18/06/26. Aprovação IPHAN em 22/06/26.</t>
  </si>
  <si>
    <t>23070.013820/2026-81</t>
  </si>
  <si>
    <t>FEN</t>
  </si>
  <si>
    <t>Reforma Sanitários FEN</t>
  </si>
  <si>
    <t>Previsto no PCA 2026 - Valor Previsto 90.000,00. Reunião inicial 14/05. Projeto enviado p/ aprovação em 27/05/26. Enviado p/ DMOC em 08/06/26.</t>
  </si>
  <si>
    <t>23070.010756/2026-86</t>
  </si>
  <si>
    <t>Quadro de Áreas p/ Contrato Limpeza</t>
  </si>
  <si>
    <t>DMURB</t>
  </si>
  <si>
    <t>Estudo Preliminar Lab. Economia Circular p/ Edital FINEP</t>
  </si>
  <si>
    <t>Encaminhado via e-mail.</t>
  </si>
  <si>
    <t>23070.010749/2026-84</t>
  </si>
  <si>
    <t>Adequação de Layout e Pintura Interior SIN</t>
  </si>
  <si>
    <t>23070.011365/2026-89</t>
  </si>
  <si>
    <t>Sanitários Pav. Superior FD</t>
  </si>
  <si>
    <t>Visita inicial 27/02/26. Estudo preliminar enviado em 03/03/26. Reunião demandante e TAP 19/03/26. Projeto Concluído em 02/04/26. Aprovado em 07/04/26. TEP assindado em 07/04/26. Encaminhando p/ DMOC em 08/04/26. Proj. Elétrico Thyago email 26/05/26. Projeto Hidro em 22/06/26.</t>
  </si>
  <si>
    <t>23070.005133/2026-91</t>
  </si>
  <si>
    <t>Reforma Instituto de Neurologia - Doenças Raras em Neurologia FM/HC</t>
  </si>
  <si>
    <t>Aguard. Definição</t>
  </si>
  <si>
    <t>Visita técnica 08/04/26.</t>
  </si>
  <si>
    <t>23070.006867/2026-98</t>
  </si>
  <si>
    <t>PRPI</t>
  </si>
  <si>
    <t>Solicita arquivos projetos de Infra. PTS</t>
  </si>
  <si>
    <t>23070.007254/2026-78</t>
  </si>
  <si>
    <t>Adequação Acessibilidade Miniauditório FL</t>
  </si>
  <si>
    <t xml:space="preserve">Reunião inicial em 06/02. Definicação do escopo do projeto em 12/02. TAP assinado 13/03/26.Apresentação projeto 27/02/26.TEP assinado e encaimhado DMOC em 02/03/26. </t>
  </si>
  <si>
    <t>23070.006581/2026-11</t>
  </si>
  <si>
    <t>Adequação Acessibilidade Calçadas qd. 71</t>
  </si>
  <si>
    <t>Encaminhado p/ Orçamento em 10/02/26.</t>
  </si>
  <si>
    <t>23070.004426/2026-51</t>
  </si>
  <si>
    <t>Reforma Espaços Dep. Ecologia ICB I e ICB V</t>
  </si>
  <si>
    <t>Visita in loco 12/02/26. Encaminhado p/ DMOC em 16/03/26.</t>
  </si>
  <si>
    <t>23070.003664/2026-40</t>
  </si>
  <si>
    <t>DIR-RG</t>
  </si>
  <si>
    <t>Projeto de Reforma p/ Casa do Estudante</t>
  </si>
  <si>
    <t>DMOE</t>
  </si>
  <si>
    <t>Encaminhado DMOE em 17/06/26.</t>
  </si>
  <si>
    <t>23070.003499/2026-26</t>
  </si>
  <si>
    <t>Solicitação de Plantas e Projeto Estrutural FM</t>
  </si>
  <si>
    <t>23070.001782/2026-13</t>
  </si>
  <si>
    <t>Reforma PROPESSOAS</t>
  </si>
  <si>
    <t>reunião inicial em  04/03. Apresentação estudo preliminar em 20/03. Proposta aprovada em 05/05//26.</t>
  </si>
  <si>
    <t>Reforma Sanitários Edu. Infantil</t>
  </si>
  <si>
    <t>Proj. encaminhado via e-mail em 26/01/26. Orçamento encaminhado via e-mail em 29/01/26.</t>
  </si>
  <si>
    <t>23070.000588/2026-11</t>
  </si>
  <si>
    <t>FE</t>
  </si>
  <si>
    <t>Reforma Sala 239 LABCMAT - FE</t>
  </si>
  <si>
    <t>23070.052863/2025-09</t>
  </si>
  <si>
    <t>Herbário UFG. Elaboração de projeto estrutural e planta baixa para ampliação.</t>
  </si>
  <si>
    <t>Solicitação de info. adicionais em 02/02/26. Formulário retornado em 10/02/26.</t>
  </si>
  <si>
    <t>23070.054474/2025-18</t>
  </si>
  <si>
    <t>Avaliação Espaço p/ lab. extensão IESA</t>
  </si>
  <si>
    <t>Retornado sugerindo conclusão. A demanda foi tratada no processo 23070.056235/2025-94.</t>
  </si>
  <si>
    <t>23070.055311/2025-44</t>
  </si>
  <si>
    <t>EMC</t>
  </si>
  <si>
    <t>Solicitação de espaço e infraestrutura para instalação de Hangar - EMC</t>
  </si>
  <si>
    <t>23070.055822/2025-66</t>
  </si>
  <si>
    <t>Solicitação de Alvará de Funcionamento do Centro de Psicologia</t>
  </si>
  <si>
    <t>23070.055684/2025-15</t>
  </si>
  <si>
    <t>Reforma Layout NPJ - FD</t>
  </si>
  <si>
    <t>Encaminhar internamente p/ complementares avaliação e elaboração.</t>
  </si>
  <si>
    <t>23070.056709/2025-06</t>
  </si>
  <si>
    <t>CERCON RUs</t>
  </si>
  <si>
    <t>Murillo</t>
  </si>
  <si>
    <t>23070.056674/2025-05</t>
  </si>
  <si>
    <t>IME</t>
  </si>
  <si>
    <t>Sistema Incêndio IME Relatório DASS</t>
  </si>
  <si>
    <t>23070.059465/2025-13</t>
  </si>
  <si>
    <t>Autorização uso do espaço p/ Campo de Futebol Robótica</t>
  </si>
  <si>
    <t>23070.061475/2025-19</t>
  </si>
  <si>
    <t>Projeto Central de Lavagem, Preparo de material e Esterilização</t>
  </si>
  <si>
    <t>Encaminhado p/ Joaquim em 28/01/26 para análise. Previsto PCA 2026 - Valor 62.445,12</t>
  </si>
  <si>
    <t>23070.040492/2022-61</t>
  </si>
  <si>
    <t>Informações Projetos de Incêndio ICBs</t>
  </si>
  <si>
    <t>23070.038678/2025-01</t>
  </si>
  <si>
    <t>Regularização Endereço Numeração Predial EA</t>
  </si>
  <si>
    <t>Sugerido uso de nº oficial da reitoria.</t>
  </si>
  <si>
    <t xml:space="preserve">Projeto Sinalização Salas </t>
  </si>
  <si>
    <t xml:space="preserve">Encaminhado via e-mail p/ Poliana e Hiatha. </t>
  </si>
  <si>
    <t>Anápolis</t>
  </si>
  <si>
    <t>Cercamento Área Anápolis</t>
  </si>
  <si>
    <t>Enviado via e-mail p/ Poliana c/ orçamento (Marcelus)</t>
  </si>
  <si>
    <t>23070.053532/2025-88</t>
  </si>
  <si>
    <t>SETI</t>
  </si>
  <si>
    <t>Análise Instalação Container CERCOMP</t>
  </si>
  <si>
    <t>Retornado p/ demandante c/ parecer aprovando locação.</t>
  </si>
  <si>
    <t>23070.055738/2025-42</t>
  </si>
  <si>
    <t>CE</t>
  </si>
  <si>
    <t>Averiguar as placas fotovoltaicas - CERCON</t>
  </si>
  <si>
    <t>23070.056948/2024-77</t>
  </si>
  <si>
    <t>Alvará Sanitário FEN 2026</t>
  </si>
  <si>
    <t>Retornado a FEN c/ Alvará Anexo ao processo.</t>
  </si>
  <si>
    <t>23070.055512/2025-41</t>
  </si>
  <si>
    <t>IF</t>
  </si>
  <si>
    <t>Readequação de espaço físico para gabinetes docentes</t>
  </si>
  <si>
    <t>Reunião Inicial 06/02/26. Encamainhado p/ Avaliação IF em 10/02/2026. Aprovação em 18/02/26. Encaminhado p/ orçamento estimativo.</t>
  </si>
  <si>
    <t>23070.052186/2025-11</t>
  </si>
  <si>
    <t>Adequações EMC Laboratórios e Vestiário</t>
  </si>
  <si>
    <t>23070.052510/2025-09</t>
  </si>
  <si>
    <t>Centro Cultural</t>
  </si>
  <si>
    <t>Aquisição Extintores Centro Cultural</t>
  </si>
  <si>
    <t>Retornado informando q ue a solicitação foi atendida.</t>
  </si>
  <si>
    <t>Espaço Containers Resíduos FE e FM</t>
  </si>
  <si>
    <t>Encaminhado via e-mail p/ Paulo Cotrim em 31/10.</t>
  </si>
  <si>
    <t>23070.054298/2025-14</t>
  </si>
  <si>
    <t>Adequação física dos Laboratórios da Faculdade de Nutrição</t>
  </si>
  <si>
    <t>12/2025 Apresentação 1ª proposta. 02/2026 devolutiva FANUT p/ ajustes. Apresentação ajustes em 06/03/26. Contato cobrando devolutiva 08/04/26. Retornado p/ demandante em 11/05/26 para apreciação.</t>
  </si>
  <si>
    <t>23070.046107/2025-32</t>
  </si>
  <si>
    <t>Adequações VISA Farmácia Universitária</t>
  </si>
  <si>
    <t>Verificar Demanda VIsa C/ Adriano. Retornado a unidade em 08/10/25 solicitando atulizações do processo 23070.031678/2023-19. Retornado a unidade Esta demanda será tratada no processo citado.</t>
  </si>
  <si>
    <t>23070.050566/2025-11</t>
  </si>
  <si>
    <t>Contratação RRT p/ 2026</t>
  </si>
  <si>
    <t>Documentos encaminhados p/ Marcio em 16/01/2026.ETP e Gerenciamento de Riscos Assinado em 30/01/26.TR assinado em 06/02/2026.</t>
  </si>
  <si>
    <t>23070.049884/2025-39</t>
  </si>
  <si>
    <t>Usina Fotovoltaica Vistoria CBMGO</t>
  </si>
  <si>
    <t>Retornado ao Demandante informando não haver contrato viggente e recomendando contratação direta.</t>
  </si>
  <si>
    <t>23070.049876/2025-92</t>
  </si>
  <si>
    <t>FCT</t>
  </si>
  <si>
    <t>Ap. Goiânia</t>
  </si>
  <si>
    <t>Informa Vistoria CBMGO</t>
  </si>
  <si>
    <t>Retornado ao Demandante informando ciência.</t>
  </si>
  <si>
    <t>23070.051025/2025-18</t>
  </si>
  <si>
    <t>Projeto, Construção de Pergolado de Madeira</t>
  </si>
  <si>
    <t>Verificar atribuir p/ Frederico.</t>
  </si>
  <si>
    <t>23070.049379/2025-94</t>
  </si>
  <si>
    <t>HV</t>
  </si>
  <si>
    <t>Adequação Salas Centro Cirúrgico Pequenos Animais</t>
  </si>
  <si>
    <t>23070.047932/2025-54</t>
  </si>
  <si>
    <t>Elaboração de projeto para a construção da portaria de acesso ao Campus</t>
  </si>
  <si>
    <t>Devolvido a unidade informando que a demanda será tratada no processo SEI 23070.029130/2024-81</t>
  </si>
  <si>
    <t>23070.048590/2025-90</t>
  </si>
  <si>
    <t>SECOM</t>
  </si>
  <si>
    <t>Criação de estúdio audiovisual Secom</t>
  </si>
  <si>
    <t>Retornado p/ SECOM em 01/12 com estudo preliminar.</t>
  </si>
  <si>
    <t>23070.050654/2024-31</t>
  </si>
  <si>
    <t>DCOM</t>
  </si>
  <si>
    <t>Layout da sala da Coordenação de Análise e Planejamento DCOM</t>
  </si>
  <si>
    <t>Atribuido p/ Poliana.</t>
  </si>
  <si>
    <t>23070.030487/2022-41</t>
  </si>
  <si>
    <t>Reanalise Locação de Containers EMC</t>
  </si>
  <si>
    <t>Retprnando ao demandante mantendo o encaminhamento.</t>
  </si>
  <si>
    <t>23070.058409/2024-72</t>
  </si>
  <si>
    <t>Ampliação DMEQ</t>
  </si>
  <si>
    <t>23070.037658/2025-13</t>
  </si>
  <si>
    <t>Relatório sistema preventivo de combate a incêndio da FEFD/UFG</t>
  </si>
  <si>
    <t>Retornado p/ unidade c/ informações. Retornado p/ SEINFRA em 26/02/26. Encaminanhado p/ DMOC em 02/03/26 p/ orçamento estimativo.</t>
  </si>
  <si>
    <t>23070.016962/2025-19</t>
  </si>
  <si>
    <t>Manutenção dos equipamentos de segurança contra incêndio  BC</t>
  </si>
  <si>
    <t>Retornado p/ unidade c/ informações.</t>
  </si>
  <si>
    <t>23070.041408/2025-70</t>
  </si>
  <si>
    <t>Horta FCT</t>
  </si>
  <si>
    <t>Pausado</t>
  </si>
  <si>
    <t>Estudo Preliminar encaminhado em 04/09/25 para validação.</t>
  </si>
  <si>
    <t>23070.041327/2025-70</t>
  </si>
  <si>
    <t>Readequação do laboratório de soldagem, com abertura de porta de acesso e construção de sala de eletrônica</t>
  </si>
  <si>
    <t>R. Inicial em 23/09/2025.</t>
  </si>
  <si>
    <t>23070.040461/2025-53</t>
  </si>
  <si>
    <t>CEGRAF</t>
  </si>
  <si>
    <t>Adequações Projeto de Incêndio e Relatório DASS</t>
  </si>
  <si>
    <t>Encaminhado p/ DMOC em 03/10/25.</t>
  </si>
  <si>
    <t>23070.039798/2025-18</t>
  </si>
  <si>
    <t>Renovação CERCON FEN/FANUT</t>
  </si>
  <si>
    <t>23070.039339/2025-34</t>
  </si>
  <si>
    <t>Instalação Corrimão Centro de Eventos</t>
  </si>
  <si>
    <t>Controle Acesso Biblioteca Seccional</t>
  </si>
  <si>
    <t>23070.039025/2025-31</t>
  </si>
  <si>
    <t>Seção de uso de área experimental para trabalhos com excências florestais exóticas</t>
  </si>
  <si>
    <t>Museu Antropológico</t>
  </si>
  <si>
    <t>Especificação pintura e iluminação</t>
  </si>
  <si>
    <t>23070.035921/2025-21</t>
  </si>
  <si>
    <t>Relatório DASS FEN/FANUT</t>
  </si>
  <si>
    <t>23070.004504/2025-37</t>
  </si>
  <si>
    <t>PTSS</t>
  </si>
  <si>
    <t>Revisão Unidade de Reciclagem de Polímeros</t>
  </si>
  <si>
    <t>Reunião revisão orçamento em 23/10/25. Retornado p/ demandante em 30/03/26.</t>
  </si>
  <si>
    <t>23070.004156/2025-06</t>
  </si>
  <si>
    <t>NIPEE-DH</t>
  </si>
  <si>
    <t>Adaptação do acesso ao prédio do NDH</t>
  </si>
  <si>
    <t>Visita in loco prevista 12/02/26. Encaminhado p/ DMOC em 19/03/26.</t>
  </si>
  <si>
    <t>23070.053145/2024-61</t>
  </si>
  <si>
    <t>Projeto para Sala de Práticas Clínicas Veterinárias</t>
  </si>
  <si>
    <t>Retornado p/ formulçário em 11/02/26.</t>
  </si>
  <si>
    <t>23070.029850/2025-28</t>
  </si>
  <si>
    <t>FIC</t>
  </si>
  <si>
    <t>Projeto Ateliê Tipográfico</t>
  </si>
  <si>
    <t>23070.019497/2025-78</t>
  </si>
  <si>
    <t>Escada de Marinheiro Campus Areião - RG</t>
  </si>
  <si>
    <t>Encaminhado DMOC pra orçamento e viabilidade de execução em 12/02/2026.</t>
  </si>
  <si>
    <t>23070.025812/2025-04</t>
  </si>
  <si>
    <t>Adequações no CMPEA Biotério IPTSP</t>
  </si>
  <si>
    <t>Reunião prof. Flávia 27/05/2025. Email c/ projeto antigo encaminham 28/05 em para avaliação. Retornado p/ formulário em 30/01/26. Existe Recurso</t>
  </si>
  <si>
    <t>23070.028227/2025-58</t>
  </si>
  <si>
    <t>Recarga Extintores EMC</t>
  </si>
  <si>
    <t>23070.028669/2025-02</t>
  </si>
  <si>
    <t>Recarga Extintores IQ</t>
  </si>
  <si>
    <t>23070.025922/2025-68</t>
  </si>
  <si>
    <t>Solicita Plantas IESA</t>
  </si>
  <si>
    <t>Retornado c/ plantas em pdf.</t>
  </si>
  <si>
    <t>23070.026806/2025-66</t>
  </si>
  <si>
    <t>PPCI Evento Temporário Agro Centro Oeste Familiar</t>
  </si>
  <si>
    <t>Projeto aprovado no CBMGO em 30/05. Protocolo: 88071/25</t>
  </si>
  <si>
    <t>23070.019724/2025-65</t>
  </si>
  <si>
    <t>Relato de falta de acessibilidade - Adequações mobiliário</t>
  </si>
  <si>
    <t>23070.021752/2025-42</t>
  </si>
  <si>
    <t>Reformas FF Emenda Parlamentar</t>
  </si>
  <si>
    <t>Aguardando Visita junto c/ eng. Wilson. Enviado validação demante em 05/06/25. RRT Arquitetura e-mail 07/10/25.</t>
  </si>
  <si>
    <t>23070.014688/2025-43</t>
  </si>
  <si>
    <t>Alterações exigidas pelo Corpo de Bombeiros Agência de Inovação</t>
  </si>
  <si>
    <t>Retornado para condução pela equipe técnica interna do parque.</t>
  </si>
  <si>
    <t>23070.008267/2025-83</t>
  </si>
  <si>
    <t>FCS</t>
  </si>
  <si>
    <t>Passarela Núcleo Takinahaky</t>
  </si>
  <si>
    <t>Encaminhado DMOC em 28/07/25.</t>
  </si>
  <si>
    <t>23070.014060/2025-48</t>
  </si>
  <si>
    <t>Avaliação e planejamento de obra de reforma em espaço no Bloco G da EMC</t>
  </si>
  <si>
    <t>Solicitado Formulário em 02/02/2026.</t>
  </si>
  <si>
    <t>Substituição Telhado</t>
  </si>
  <si>
    <t>Encaminhado via e-mail p/ Joaquim.</t>
  </si>
  <si>
    <t>EECA</t>
  </si>
  <si>
    <t>Adequações LABITEC p/ Edital FINEP</t>
  </si>
  <si>
    <t>Reu. inicial em 14/03 c/ Adriano. 2ª Reu. em 19/03 c/ comnsolidação das necessidades. Encaminhado prof. Helena.</t>
  </si>
  <si>
    <t>23070.009574/2025-81</t>
  </si>
  <si>
    <t>Construção de uma edificação na área externa do prédio da EMC</t>
  </si>
  <si>
    <t>RG</t>
  </si>
  <si>
    <t>Revisão Adequação Salas RU</t>
  </si>
  <si>
    <t>Reunião e Informações 28/02/25. Encaminhando p/ e-mail p/ Carlos Teixeira em 31/03.</t>
  </si>
  <si>
    <t>23070.006799/2025-86</t>
  </si>
  <si>
    <t>FO</t>
  </si>
  <si>
    <t>Avaliação p/ Instalação tomografia</t>
  </si>
  <si>
    <t>Necessidade de Projeto Elétrico, Ar-condicionado e Contratação externa p/ obra. Processo encaminhado a unidade p/ aprovação. Aprovação em 14/02/25. Encaminhado a DMOE.</t>
  </si>
  <si>
    <t>Alvará Sanitário FEN</t>
  </si>
  <si>
    <t>23070.000248/2025-17</t>
  </si>
  <si>
    <t>CEROF</t>
  </si>
  <si>
    <t>Alvarás/Licenciamento Sanitário CEROF</t>
  </si>
  <si>
    <t>23070.007529/2025-92</t>
  </si>
  <si>
    <t>INF</t>
  </si>
  <si>
    <t>2 ª Etapa Construção CEIA</t>
  </si>
  <si>
    <t>23070.003807/2025-32</t>
  </si>
  <si>
    <t>Ampliação Lab. Microfluídica</t>
  </si>
  <si>
    <t>Reunião Inicial 07/02/25. Estudo preliminar apresentado em 14/03. Retornando p/ IQ via SEI.</t>
  </si>
  <si>
    <t>23070.052675/2024-91</t>
  </si>
  <si>
    <t>Intervenção para Arcondicionado INF</t>
  </si>
  <si>
    <t>Concluído após despacho do Adriano informando encaminhamento.</t>
  </si>
  <si>
    <t>23070.004005/2025-40</t>
  </si>
  <si>
    <t>Projeto de Reforma FD/PPGDP</t>
  </si>
  <si>
    <t>R. inicial em 26/02/25. Retorno Estudo Preliminar 10/04. Encaminhado DMOE em 12/05/25.</t>
  </si>
  <si>
    <t>23070.060980/2024-57</t>
  </si>
  <si>
    <t>Placa Obra PAC</t>
  </si>
  <si>
    <t>23070.002729/2025-59</t>
  </si>
  <si>
    <t>Adequação e Aprovação VISA Serviço Odontológico</t>
  </si>
  <si>
    <t>Protocolando na VISA em 09/12/25. Protocolo 1782895. Taxa Análise encaminhada em 11/12. Relatório 1ª análise recebido em 23/01/26. Enviado p/ 2ª análise em 09/02/26. R02 recebida do Adriano em 24/03/26. Encaminhado p/ 3º análise em 01/04/2026. Enviado p/ 4ª análise em 05/05/26. Parecer aprovação VISA em 18/05/2026.</t>
  </si>
  <si>
    <t>1ª avaliação realizada, ata e avaliação assinadas em 31/01. Encaminhando a DAD em 31/01.</t>
  </si>
  <si>
    <t>23070.064764/2024-81</t>
  </si>
  <si>
    <t>Vistoria Bombeiros Nuclisolos</t>
  </si>
  <si>
    <t>Atribuir p/ Murillo.</t>
  </si>
  <si>
    <t>23070.051786/2024-81</t>
  </si>
  <si>
    <t>Adequação p/ CECANE/ FANUT na antiga PRAE</t>
  </si>
  <si>
    <t>Encaminnhado a DMOE para projeto de instalções em 22/01/2025.</t>
  </si>
  <si>
    <t>23070.060594/2024-65</t>
  </si>
  <si>
    <t>Reaprovação CMBiotecs VISA</t>
  </si>
  <si>
    <t>23070.060989/2024-68</t>
  </si>
  <si>
    <t>Passarelas e rampas para acessibilidade do Núcleo Takinahaky</t>
  </si>
  <si>
    <t xml:space="preserve">Inicialmente atribuído a Inah 21/02/25 (licença maternidade). Atribuído p/ Adriano em 02/07/25. Concluído, demanda duplicada 23070.008267/2025-83. </t>
  </si>
  <si>
    <t>23070.049857/2024-85</t>
  </si>
  <si>
    <t>RRTs CAU 2025</t>
  </si>
  <si>
    <t>Portaria em 05/12/24. ETP e TR encaminhado ao Márcio em 06/12/024 p/ e-mail. Doumentos assinados SEI em 22/01/2025.</t>
  </si>
  <si>
    <t>23070.059356/2024-15</t>
  </si>
  <si>
    <t>CIDARQ</t>
  </si>
  <si>
    <t>Maquete para exposição casarão da Rua 20</t>
  </si>
  <si>
    <t xml:space="preserve"> Email solicitanto mais informações encaminhando em 02/12/24. Reunião c/ Adriano 20/01/25. Retornado ao CIDARQ em 09/07/25.</t>
  </si>
  <si>
    <t>23070.060741/2024-05</t>
  </si>
  <si>
    <t>Acesso Plantas FL</t>
  </si>
  <si>
    <t>Adequação CEMEL - Edital FINEP</t>
  </si>
  <si>
    <t>Prancha Estudo Premiminar, Orçamento Estimativo e Declaração enviados p/ WPP</t>
  </si>
  <si>
    <t>23070.059345/2024-27</t>
  </si>
  <si>
    <t>Adequação Centro de Telecuidado Farmacêutico</t>
  </si>
  <si>
    <t>Em Execução</t>
  </si>
  <si>
    <t>Início anterior a atribuição do processo. Planta preliminar encaminhada em 27/11/2024. Encaminhado a DMOE para projeto de intalações. Ajuste arquitetura, esquasria e fechamento externo 23/01/2026.</t>
  </si>
  <si>
    <t>23070.045207/2024-61</t>
  </si>
  <si>
    <t>Planta de Implantação Faz. São Tomé Pinto CEEPEX</t>
  </si>
  <si>
    <t>Levantamento</t>
  </si>
  <si>
    <t>Detalhe Substituição Janela Centro de Aulas Engenharia</t>
  </si>
  <si>
    <t>Contrato Pequenas Reformas. Encaminhado em 29/11 via email para Lucas.</t>
  </si>
  <si>
    <t>23070.053014/2024-83</t>
  </si>
  <si>
    <t>Análise proposta de urbanização PTS</t>
  </si>
  <si>
    <t>Retornado à PRPI com as resposta e recomendações pertinentes.</t>
  </si>
  <si>
    <t>23070.055636/2024-46</t>
  </si>
  <si>
    <t>Parecer Rampa FD</t>
  </si>
  <si>
    <t>DMEQ</t>
  </si>
  <si>
    <t>Encaminhado p/ Hiatha.</t>
  </si>
  <si>
    <t>23070.058035/2024-95</t>
  </si>
  <si>
    <t>Novo Balcão de Atendimento e salas de Videoconferência</t>
  </si>
  <si>
    <t>Verificar Atribuir p/ Frederico</t>
  </si>
  <si>
    <t>Levantamento A. Esquadrias Centos de Aulas A,B,C,D e E</t>
  </si>
  <si>
    <t>Estagiária Elionai. Parcial Centro de Aulas E enviado e-amil p/ Lucas em 13/11/24. Encaminhado p/ e-mail para Lucas em 26/11/2024.</t>
  </si>
  <si>
    <t>23070.010723/2020-41</t>
  </si>
  <si>
    <t>Construção de Abrigos de Residuos FO, FEN/FANUT</t>
  </si>
  <si>
    <t>23070.056904/2024-47</t>
  </si>
  <si>
    <t>Estudo/autorização plantio árvores NDH</t>
  </si>
  <si>
    <t>Vista ao local em  13/05. Encaminhado ao solcicitante em 16/05/25.</t>
  </si>
  <si>
    <t>23070.055609/2024-73</t>
  </si>
  <si>
    <t>Reforma e ampliação CEI</t>
  </si>
  <si>
    <t>04/05/0205</t>
  </si>
  <si>
    <r>
      <rPr>
        <rFont val="Calibri"/>
        <color rgb="FFFF0000"/>
        <sz val="11.0"/>
      </rPr>
      <t xml:space="preserve">PREVISÃO CONCLUIR OBRA 11/12. </t>
    </r>
    <r>
      <rPr>
        <rFont val="Calibri"/>
        <color rgb="FF000000"/>
        <sz val="11.0"/>
      </rPr>
      <t>Projeto básico concluido e encaminhado p/ avaliação em 16/05/25. Encaminhado p/ DMOE em 30/05/2025.</t>
    </r>
  </si>
  <si>
    <t>Layout Livraria Pátio das Humanidades</t>
  </si>
  <si>
    <t>Inah</t>
  </si>
  <si>
    <t>Visita ao espaço 30/10/2024. Est. Andreyna.</t>
  </si>
  <si>
    <t>23070.055022/2024-64</t>
  </si>
  <si>
    <t>Solicita acesso as plantas dos prédios da FL e outras informações</t>
  </si>
  <si>
    <t>23070.044243/2024-15</t>
  </si>
  <si>
    <t>Reforma Laboratório de Plantas Tóxicas da EVZ</t>
  </si>
  <si>
    <t>Demanda recebida via DMOC. Retornado p/ formulário em 11/02/26.</t>
  </si>
  <si>
    <t>23070.051552/2024-33</t>
  </si>
  <si>
    <t xml:space="preserve"> EECA</t>
  </si>
  <si>
    <t>Reforma da calçada do Labmaco da EECA</t>
  </si>
  <si>
    <t>Pedido informal DMOC. Em desenvolvimento est. Andreyna. Formalizado via SEI. Encaminhado a DMOC em 04/11/2024.</t>
  </si>
  <si>
    <t>23070.006878/2024-14</t>
  </si>
  <si>
    <t>Projetos Complementares CPCBio - Biotério</t>
  </si>
  <si>
    <r>
      <rPr>
        <rFont val="Calibri"/>
        <color rgb="FF000000"/>
        <sz val="11.0"/>
      </rPr>
      <t xml:space="preserve">Demanda recebida via DMOC. </t>
    </r>
    <r>
      <rPr>
        <rFont val="Calibri"/>
        <color rgb="FF980000"/>
        <sz val="11.0"/>
      </rPr>
      <t>Verificar Projeto anterior do Adriano.</t>
    </r>
  </si>
  <si>
    <t>23070.046575/2024-26</t>
  </si>
  <si>
    <t>Levantamento Laboratório de Microbiologia de Alimentos e Água do CPA</t>
  </si>
  <si>
    <t>Demanda recebida via DMOC. Encaminhado arquivo via processo e e-mail.</t>
  </si>
  <si>
    <t>23070.046285/2024-82</t>
  </si>
  <si>
    <t>Reforma p/ Salas de Balança LCQM</t>
  </si>
  <si>
    <t>Vista local em 18/03/25. Projeto encaminhado via e-mail p/ aprovação em 28/04.</t>
  </si>
  <si>
    <t>23070.047491/2024-18</t>
  </si>
  <si>
    <t>Reforma no Prédio do Centro Primavesi de Agroecologia - CEPA</t>
  </si>
  <si>
    <t>Retornado p/ formulário em 11/02/26.</t>
  </si>
  <si>
    <t>23070.046952/2024-27</t>
  </si>
  <si>
    <t>Reforma sala 252 FE</t>
  </si>
  <si>
    <t>Pedido reunião apresentação EP 27/02/25. Apresetação Rev. 23/05/2025. Concluído e encaminhado DMOE em 05/06/2025.</t>
  </si>
  <si>
    <t>23070.045894/2024-14</t>
  </si>
  <si>
    <t>Reforma Jardim Externo FE</t>
  </si>
  <si>
    <t>Verifiar c/ Poliana p/ atribuir ao Frederico.</t>
  </si>
  <si>
    <t>23070.040004/2024-88</t>
  </si>
  <si>
    <t>Grades Janelas FF</t>
  </si>
  <si>
    <t>23070.020540/2024-67</t>
  </si>
  <si>
    <t>Reforma Calçada Rua 240 QD 87 Acessibilidade</t>
  </si>
  <si>
    <t>Orçado</t>
  </si>
  <si>
    <t>Encaminhado a DMOC p/ orçamento em 10/02/26.</t>
  </si>
  <si>
    <t>23070.000355/2024-56</t>
  </si>
  <si>
    <t>Vistoria Bombeiros FCT</t>
  </si>
  <si>
    <t>23070.050377/2024-67</t>
  </si>
  <si>
    <t>Providências em Relação a Projeto de Incêndio</t>
  </si>
  <si>
    <t>23070.050243/2024-46</t>
  </si>
  <si>
    <t>Layout Matrículas Remanecentes 2025 - Centro de Aulas Baru</t>
  </si>
  <si>
    <t>Encaminhada a DMOE p/ ciência e encaminhamentos. DMOE respondeu que solicitação será feita pelo 23070.050245/2024-35. Retornado a Unidade para Conclusão em 1/10/2024</t>
  </si>
  <si>
    <t>23070.049632/2024-29</t>
  </si>
  <si>
    <t>Reforma e substituição de corrimão e guarda-corpo</t>
  </si>
  <si>
    <t>R. Inicial em 19/09/25. Encaminhado p/ email para validação em 20/01/26. Apres. projeto em 26.01.26.Encaminhado p/ Joaquim p/ análise em 28/01/26. Retornado da analise em 12/03. Encaminhado DMOC p/ orçamento em 13/03/26.</t>
  </si>
  <si>
    <t>23070.050164/2024-35</t>
  </si>
  <si>
    <t>Solicitação Plantas INF</t>
  </si>
  <si>
    <t>Conluído em 30/09/24. Encaminhado ao INF com plantas anexas.</t>
  </si>
  <si>
    <t>23070.042668/2024-81</t>
  </si>
  <si>
    <t>ESTÁGIO</t>
  </si>
  <si>
    <t>Estágio Elionai Tavares Oliveira</t>
  </si>
  <si>
    <t>Concluído em 04/10/2024 não tendo mais providencias necessárias.</t>
  </si>
  <si>
    <t>HC/EBSERH</t>
  </si>
  <si>
    <t>Revisão Calçadas HC</t>
  </si>
  <si>
    <t>Revisão Concluída e encaminhada a equipe de engenharia da EBSERH. Ficou acordado que eles junstariam com o outro projeto contratato e dariam os encaminhamentos necessários.</t>
  </si>
  <si>
    <t>23070.010518/2024-17</t>
  </si>
  <si>
    <t>Reforma LABMACO - Bloco H</t>
  </si>
  <si>
    <t>Estudo básico encaminhado em 13/11. Encamihado Paulo Cotrim p/ orçamento estimativo.</t>
  </si>
  <si>
    <t>23070.065916/2022-09</t>
  </si>
  <si>
    <t>Execução Projeto de Incêndio Suinocultura</t>
  </si>
  <si>
    <t>Projeto elaborado em 21/02/2024. Projeto anexado ao processo e encaminhado a DMOE em 07/10/2024.</t>
  </si>
  <si>
    <t>Projeto de Incêndio Almoxarifado IQ</t>
  </si>
  <si>
    <t>Projeto Concluído em 20/08/2024. Encaminhado por email para o Carlos Teixeira que estava elaborando orçamento. Em 07/10/24 o eng. Carlos informou que não ofi possivel incluir em orçamento, mas como o recurso é pequeno há a possibilidade de ser contemplado durante a execução.</t>
  </si>
  <si>
    <t>23070.047251/2024-13</t>
  </si>
  <si>
    <t>FH</t>
  </si>
  <si>
    <t>Reforma da Administração/Secretaria</t>
  </si>
  <si>
    <t>Encaminhado a DMOE 07/02/2025.</t>
  </si>
  <si>
    <t>23070.047250/2024-61</t>
  </si>
  <si>
    <t>Reforma Sala 29</t>
  </si>
  <si>
    <t>Concluído em 20/09/2024. Encaminhado a Dir. Obras em 30/09/2024.</t>
  </si>
  <si>
    <t>2ª Etapa Área Convivência Campus Samambaia</t>
  </si>
  <si>
    <t>1ª Etapa Área Convivência Campus Samambaia</t>
  </si>
  <si>
    <t>Encaminhado por e-mail para Marcelus e Poliana para avaliação da execução pela equipe</t>
  </si>
  <si>
    <t>23070.045852/2024-83</t>
  </si>
  <si>
    <t>Informação Área Centro de Convivência Agroquima</t>
  </si>
  <si>
    <t>Atribuido ao Danillo com as informações solicitadas em 10/09/2024</t>
  </si>
  <si>
    <t>23070.042914/2024-03</t>
  </si>
  <si>
    <t>Intervenções Sala 146 - Quadros e nobreaks p/ Mini Data Center</t>
  </si>
  <si>
    <t>Concluído em 23/09/2024. Encaminhado a DMOE em 26/09/2024.</t>
  </si>
  <si>
    <t>23070.025532/2024-15</t>
  </si>
  <si>
    <t>Ginásio Multiuso CEPAE - FAV</t>
  </si>
  <si>
    <t>Encaminhando a FAV, registranto a disponibilidade de diálogo no processo.</t>
  </si>
  <si>
    <t>23070.018636/2024-65</t>
  </si>
  <si>
    <t>Projeto Área Externa CEU V</t>
  </si>
  <si>
    <t>Em execução 02/2026.</t>
  </si>
  <si>
    <t>Sem formalização</t>
  </si>
  <si>
    <t>Levantamento Edifícios Área Básica</t>
  </si>
  <si>
    <t>Previsão de Início em 13/09/2024</t>
  </si>
  <si>
    <t>23070.037121/2024-64</t>
  </si>
  <si>
    <t>Ampliação Espaços CEPAE</t>
  </si>
  <si>
    <t>Atribuir p/ Gerani. Retornado p/ formulário em 11/02/26.</t>
  </si>
  <si>
    <t>23070.022754/2024-78</t>
  </si>
  <si>
    <t>Análise Implantação Containers</t>
  </si>
  <si>
    <t>23070.019460/2024-69</t>
  </si>
  <si>
    <t>Estudo Passarela EMC/EMAC</t>
  </si>
  <si>
    <t>Atribuir p/ Leonardo</t>
  </si>
  <si>
    <t>23070.025592/2024-20</t>
  </si>
  <si>
    <t>Projeto para entrada CPA EVZ</t>
  </si>
  <si>
    <t>Atribuir p/ Adriano</t>
  </si>
  <si>
    <t>23070.021399/2024-10</t>
  </si>
  <si>
    <t xml:space="preserve">EA </t>
  </si>
  <si>
    <t>Novo prédio do Setor de Engenharia de Alimentos - EA</t>
  </si>
  <si>
    <t>Atribuir p/ Gerani. Retornado p/ formulçário em 11/02/26.</t>
  </si>
  <si>
    <t>Sem Formalização Email 28/08/24</t>
  </si>
  <si>
    <t>Estudo Implantação Horta no Campus Aparecida</t>
  </si>
  <si>
    <t>Sem Formalização Email 27/08/24</t>
  </si>
  <si>
    <t>Estudo Implantação Base GCM no Campus Aparecida</t>
  </si>
  <si>
    <t>Estudo encaminhado a Poliana em 09/09/2024. Reunião agendada p/ 10/09/2024. Estudo encaminhando por email a FCT em 11/09/24.</t>
  </si>
  <si>
    <t>23070.042052/2024-19</t>
  </si>
  <si>
    <t>Contratação Poltronas Salão Nobre</t>
  </si>
  <si>
    <t>Portaria integrante técnio em 21/08/24.Poltronas instaladas em 08/11/2024.</t>
  </si>
  <si>
    <t>23070.042319/2024-60</t>
  </si>
  <si>
    <t>Informação Áreas  do PTSS</t>
  </si>
  <si>
    <t>Concluído e encaminhado a Diretoria de Meio Ambiente em 23/08/2024.</t>
  </si>
  <si>
    <t>23070.040807/2024-32</t>
  </si>
  <si>
    <t>Elaboração de projeto para a construção de um novo laboratório com área de 100m²</t>
  </si>
  <si>
    <t>Não resposta do prof. Wilson Mozena, retornado para EA para avaliação da pertinência da demanda em 26/09/2024</t>
  </si>
  <si>
    <t>23070.040874/2024-57</t>
  </si>
  <si>
    <t>Cidade Ocidental</t>
  </si>
  <si>
    <t>Criação Novo Campus Cidade Ocidental</t>
  </si>
  <si>
    <t>Concluido informando os processos que tramitaram a concretação.</t>
  </si>
  <si>
    <t>Serviço Odontologico Locação Abrigo Novo Compressor</t>
  </si>
  <si>
    <t>Demanda Recebido informalmente por telefone do Cecílio. Murillo Visitou o local em 15/08/28. Aguardando detalhe e locação. Concluído e encaminhado p/ Dir. Obras em 23/08 por e-mail.</t>
  </si>
  <si>
    <t>Herbário</t>
  </si>
  <si>
    <t>Compilado Projetos Reformas para Edital FINEP</t>
  </si>
  <si>
    <t>Demanda recebida informalmente por telefone em 08/08. Gerani iniciou em 09/08. Concluído em 20/08/24. Sem encaminhamento, unidade não soube informar o prazo para submissão ao edital não sendo possivel acordar prazo c/ Diretoria de Obras para elaborar orçamento</t>
  </si>
  <si>
    <t>23070.026821/2023-42</t>
  </si>
  <si>
    <t>EMAC</t>
  </si>
  <si>
    <t>Reforma Clínica de Musicoterapia e Cici Pinheiro</t>
  </si>
  <si>
    <t>Demanda apartir de visita do Prof. Jesiel. Em 22/07/24 foi realizada visita ao local c/ prof. Mayara. Primeira versão recebida em 09/09/2024. Concluído em 17/09/2024. Encaminhado a DMOE em 30/09/24 a/c Carlos Leandro.</t>
  </si>
  <si>
    <t>Diagnostico e Levatamento dos Projetos de Incêndio</t>
  </si>
  <si>
    <t>23070.023356/2023-98</t>
  </si>
  <si>
    <t>Definição Local Pista de Testes</t>
  </si>
  <si>
    <t>23070.034546/2024-11</t>
  </si>
  <si>
    <t>Concluo o presente processo, tendo de vista que está demanda será tratada no processo SEI 23070.025812/2025-04</t>
  </si>
  <si>
    <t>23070.033540/2024-27</t>
  </si>
  <si>
    <t>FEFD</t>
  </si>
  <si>
    <t>Reforma Ginásio de Lutas</t>
  </si>
  <si>
    <t>ANO QUE VEM 2026. Atribuir p/ Gerani. Retornado p/ formulçário em 11/02/26.</t>
  </si>
  <si>
    <t>23070.031070/2024-67</t>
  </si>
  <si>
    <t>Reforma no Laboratório Fitotecnia - Antiga Micro usina de Álcool</t>
  </si>
  <si>
    <t xml:space="preserve">Resposta encaminhada em 15/07/24. Informando previsão de demolição da edificação confomre relatório de vistoria anexo ao processo. </t>
  </si>
  <si>
    <t>23070.031679/2024-36</t>
  </si>
  <si>
    <t>Expansão Bloco B IESA</t>
  </si>
  <si>
    <t>Atribuir p / Adriano. Retornado p/ formulário em 11/02/26.</t>
  </si>
  <si>
    <t>23070.029829/2024-41</t>
  </si>
  <si>
    <t>Cobertura Externa LPD&amp;I</t>
  </si>
  <si>
    <t xml:space="preserve">Concluído e encaminhado a Dir. Obras em 26/07/24. </t>
  </si>
  <si>
    <t>23070.029130/2024-81</t>
  </si>
  <si>
    <t>Portaria Campus Aparecida</t>
  </si>
  <si>
    <t>23070.024770/2024-03</t>
  </si>
  <si>
    <t>Informações, Plano de  Acessibilidade - Visita MEC</t>
  </si>
  <si>
    <t>Responsta encaminhada por despacho a FM em 15/07</t>
  </si>
  <si>
    <t>23070.020539/2024-32</t>
  </si>
  <si>
    <t>Reforma Antiga FARMATEC</t>
  </si>
  <si>
    <t>Estágiário (Ruiter) da FF está levantando informações e fazendo levantamento da situação existente.</t>
  </si>
  <si>
    <t>Análise locação de containers</t>
  </si>
  <si>
    <t>Encaminhado a Poliana com análise e parecer. Despacho de 01/12/25 mantendo o entendimento da analise anterior.</t>
  </si>
  <si>
    <t>23070.006092/2024-99</t>
  </si>
  <si>
    <t xml:space="preserve">Letreiro Entrada </t>
  </si>
  <si>
    <t>Aguardando aprovação da Direção. Encaminhando p/ Poliana recomendando a conclusão do processo após informação dispensando ações da SEINFRA.</t>
  </si>
  <si>
    <t>23070.070962/2023-01</t>
  </si>
  <si>
    <t>RRTs CAU 2024</t>
  </si>
  <si>
    <t>Processo Concluído após despacho.</t>
  </si>
  <si>
    <t>23070.018472/2023-95</t>
  </si>
  <si>
    <t>Termo Aditivo de Estágio Esther Silva Sousa</t>
  </si>
  <si>
    <r>
      <rPr>
        <rFont val="Calibri"/>
        <color rgb="FF000000"/>
        <sz val="11.0"/>
      </rPr>
      <t xml:space="preserve">Processo Concluído em 04/10/2024 tendo em vista que não a encaminhamentos a serem feitos. </t>
    </r>
    <r>
      <rPr>
        <rFont val="Calibri"/>
        <b/>
        <color rgb="FFFF0000"/>
        <sz val="11.0"/>
      </rPr>
      <t>RECEBIDO EM 18/11/24 P/ CONNFIRMAÇÃO PRERIODO DE RECESSO. Retornado ao DFP c/ confirmação do período.</t>
    </r>
  </si>
  <si>
    <t>23070.018699/2024-11</t>
  </si>
  <si>
    <t>Oficio Solicitando Informações p/ Aprovação no IPHAN do Novo Centro de Aulas de Goiás</t>
  </si>
  <si>
    <t xml:space="preserve">Oficio encaminhado. Aprovação Necessária. Projeto aprovado em 26/08/24. SEI IPHAN 01516.000328/2024-64 </t>
  </si>
  <si>
    <t>23070.008734/2024-94</t>
  </si>
  <si>
    <t>Faixa de Pedestre Faculdade de Letras</t>
  </si>
  <si>
    <t>Reencaminhando ao Murillo para correções em 02/11/24. Encaminhado DMOC em 07/02/2025.</t>
  </si>
  <si>
    <t>23070.009844/2024-73</t>
  </si>
  <si>
    <t xml:space="preserve"> Reforma para as salas 2000 e 2001, no 2⁰ andar</t>
  </si>
  <si>
    <t>23070.013720/2024-92</t>
  </si>
  <si>
    <t>Reforma e Adaptação de Laboratório (NeuroGene/ICB/UFG</t>
  </si>
  <si>
    <t>Prioridade pedido Hiatha.Concluído e encaminhada a Dir. Obras em 11/03/24, após formalização no SEI</t>
  </si>
  <si>
    <t>23070.011603/2024-94</t>
  </si>
  <si>
    <t>Reforma parcial de um dos alojamentos dos estudantes do Curso de Agronomia - PRONERA</t>
  </si>
  <si>
    <t>Não Formalizada</t>
  </si>
  <si>
    <t>Centro de Aulas 2</t>
  </si>
  <si>
    <t>Em contratação</t>
  </si>
  <si>
    <r>
      <rPr>
        <rFont val="Calibri"/>
        <color rgb="FF000000"/>
        <sz val="11.0"/>
      </rPr>
      <t>Estudo Preliminar concluído em 08/04/24. Encaminhado ao IPhan em 12/06/24. Anteprojeto concluído em 25/06/24. 1º Parecer Iphan recebido em 18/07/24.</t>
    </r>
    <r>
      <rPr>
        <rFont val="Calibri"/>
        <b/>
        <color rgb="FF000000"/>
        <sz val="11.0"/>
      </rPr>
      <t xml:space="preserve"> Processo de contratação 23070.029055/2024-59.</t>
    </r>
    <r>
      <rPr>
        <rFont val="Calibri"/>
        <color rgb="FF000000"/>
        <sz val="11.0"/>
      </rPr>
      <t xml:space="preserve"> Encaminhado p/ 2ª análise do IPHAN em 23/08/24.</t>
    </r>
  </si>
  <si>
    <t>23070.005224/2024-65</t>
  </si>
  <si>
    <t>FAV</t>
  </si>
  <si>
    <t>Avaliar Projeto LABTIME</t>
  </si>
  <si>
    <t>23070.002405/2024-30</t>
  </si>
  <si>
    <t xml:space="preserve">IPTSP </t>
  </si>
  <si>
    <t>Reforma da Recepção do Laboratório Margarida Dobler</t>
  </si>
  <si>
    <t>Atribuir p/ Adriano. Retornado p/ formulário em 30/01/26. Existe recurso 100mil praz. final 12/26.</t>
  </si>
  <si>
    <t>23070.002978/2024-63</t>
  </si>
  <si>
    <t>PTS</t>
  </si>
  <si>
    <t>Projeto para Sacada Agência de Inovação PRPI</t>
  </si>
  <si>
    <t>Retornado  recomendando que a demanda seja desenvolvido pela equipe técnica interna do parque.</t>
  </si>
  <si>
    <t>23070.002980/2024-32</t>
  </si>
  <si>
    <t>Análise e Consolidação Plano Diretor Parque Tecnológico</t>
  </si>
  <si>
    <t>23070.023547/2023-50</t>
  </si>
  <si>
    <t>Porta giratória barreira cachoros</t>
  </si>
  <si>
    <t>Reunião com PRAE em 25/09/2024, definição por elaborar estudo c/ portas giratórias. Encaminhado a Dir. Obras em 30/09/24. Retornado ao Adriano em 04/11/25 p/ ajustes. Retornado p/ Wilson em 04/11/25 c/ especificações.</t>
  </si>
  <si>
    <t>23070.006974/2024-54</t>
  </si>
  <si>
    <t>Atualização da planta baixa do CA de Biologia - ICB</t>
  </si>
  <si>
    <t>Encaminhado a unidade com levantamento anexo. Processo recebido em 09/12 para complementar infor. Informações compl. enviadas em 16/12/24.</t>
  </si>
  <si>
    <t>23070.005644/2024-41</t>
  </si>
  <si>
    <t>Estudo Preliminar Centro de Equoterapia</t>
  </si>
  <si>
    <t>EP concluído em 10/09/2024. Encaminhado a DMOC em 11/09/2024 solicitando orçamento estimativo p/ capitação de recursos.</t>
  </si>
  <si>
    <t>23070.005320/2024-11</t>
  </si>
  <si>
    <t>Notificação CBMGO Nota de irregularidade Edifícios Área Básica</t>
  </si>
  <si>
    <t>Encaminhado a Poliana solicitando informações pendentes da diretoria de obras e anexando relatório técnico do Murillo com cronograma preliminar para elaboração de projeto de incêndio</t>
  </si>
  <si>
    <t>23070.005117/2024-37</t>
  </si>
  <si>
    <t>Solicita planta. Avaliar as necessidades</t>
  </si>
  <si>
    <t>Biotério Setorial ICB II. Atribuido p/ Poliana em 18/06/2025.</t>
  </si>
  <si>
    <t>23070.071983/2023-35</t>
  </si>
  <si>
    <t>Análise Área Posto Avançado CBMGO</t>
  </si>
  <si>
    <t>Encaminhado a Poliana com análise e parecer em 17/04/2024</t>
  </si>
  <si>
    <t>23070.000196/2024-90</t>
  </si>
  <si>
    <t>Ampliação CIET</t>
  </si>
  <si>
    <t>Reunião c/ Luizmar em 21/01/2025. Encaminhado ao PTS em 13/02 solicitando aprovação e contratação de proj. complementares.</t>
  </si>
  <si>
    <t>23070.065907/2023-91</t>
  </si>
  <si>
    <t>Faculdade de Direito / DCOM</t>
  </si>
  <si>
    <t>Apoio pregação poltronas Salão Nobre</t>
  </si>
  <si>
    <t>ETP revisado assinado por Matheus em 31/07/2024. TR revisado assinado por Matheus e encaminhado a FD em 02/08/2024. Pregão Supenso em 19/08/2024. Novo processo aberto para adessão a ata (23070.042052/2024-19) 22/08/2024.</t>
  </si>
  <si>
    <t>23070.052908/2023-75</t>
  </si>
  <si>
    <t>Documentos necessários para licença ambiental  para funcionamento do CMBiotecs. CERCOM Bombeiros.</t>
  </si>
  <si>
    <t>Encaminhada a Dir. Obras em 20/12/2023 p/ avaliação e orçamento.</t>
  </si>
  <si>
    <t>23070.066472/2023-00</t>
  </si>
  <si>
    <t>DLOG</t>
  </si>
  <si>
    <t>Sala de descanso DLOG</t>
  </si>
  <si>
    <t>23070.032696/2023-18</t>
  </si>
  <si>
    <t>SDH</t>
  </si>
  <si>
    <t>Nova Central de Segurança qd 86 Campus Colemar</t>
  </si>
  <si>
    <t>23070.046411/2023-18</t>
  </si>
  <si>
    <t>Demandas diversas FM</t>
  </si>
  <si>
    <t>23070.066746/2023-52</t>
  </si>
  <si>
    <t>Substituição da porta da secretaria da DCOM/DLOG</t>
  </si>
  <si>
    <t>Aguardando validação final. Encaminhado a Dir. Obras em 27/11/23</t>
  </si>
  <si>
    <t>23070.065957/2023-78</t>
  </si>
  <si>
    <t>Adequações provisórias p/ Cerise</t>
  </si>
  <si>
    <t xml:space="preserve"> Encaminando para Dir. Elétrica em 07/03/24</t>
  </si>
  <si>
    <t>23070.065954/2023-34</t>
  </si>
  <si>
    <t>Adequação LAMAF p/ CERISE</t>
  </si>
  <si>
    <t>Projeto Conluído em 05/08/2024. Processo encaminhado a unidade solicitando informações sobre os próximos encaminhamentos.</t>
  </si>
  <si>
    <t>23070.065180/2023-41</t>
  </si>
  <si>
    <t>Viabilidade Implantação anxo Modular FARMATEC</t>
  </si>
  <si>
    <t>Encaminhado a Dir. Elétrica em 23/11/2023</t>
  </si>
  <si>
    <t>23070.045229/2023-40</t>
  </si>
  <si>
    <t>RU Campus Aparecida</t>
  </si>
  <si>
    <t>Atribuido ao Frederico elecando os ajustes necessários no projeto elaborado em 2017/2018.Ante projeto concluído em 23.07.24. Processo reatribuído ao Frederico em 24/07/24 p/ inclusão de pranchas completas do projeto. Projeto anexado em 02/08/24 e encaminhado p/ Poliana para encaminhamento. A contratação será tratada no processo 23070.029057/2024-48.</t>
  </si>
  <si>
    <t>PRPG</t>
  </si>
  <si>
    <t>Relatório Implantação Escola de Pós Graduação</t>
  </si>
  <si>
    <t>Relatório encaminhado a Poliana em 13/11/23</t>
  </si>
  <si>
    <t>23070.061396/2022-57</t>
  </si>
  <si>
    <t>Projeto de Sinalização</t>
  </si>
  <si>
    <t>Concluído, aguardando validadação final. Encaminhado a Dir. Obras p/ orçamento em 23/11/2023.</t>
  </si>
  <si>
    <t>23070.062303/2023-92</t>
  </si>
  <si>
    <t>Centro de Excelência em Hidrogênio e Tecnologias Energéticas Sustentáveis (CEHTES)</t>
  </si>
  <si>
    <t>Contratato</t>
  </si>
  <si>
    <t>Estudo Preliminar apresentado em 14/06/24. Revisão do estudo preliminar encaminhada em 31/07/24, reunião agendada p/ 08/08/24. Proj. Básico concluído em 03/04/2025. Reu. incial proj. complementar em 18/06/2025. Projeto Executivo Concluído em  26/01/2026. Projetos Complementares (Incêndio Aprovado) concluídos em 27/06/2026.</t>
  </si>
  <si>
    <t>23070.040786/2023-74</t>
  </si>
  <si>
    <t>Solicita participação e acompanhamento dos projetos</t>
  </si>
  <si>
    <t>23070.057247/2023-74</t>
  </si>
  <si>
    <t xml:space="preserve"> Elaboração de projeto para adequação do Galpão da CPAT/DLOG</t>
  </si>
  <si>
    <t>23070.001872/2023-61</t>
  </si>
  <si>
    <t>Demandas diversas IPTSP</t>
  </si>
  <si>
    <t>23070.052344/2023-71</t>
  </si>
  <si>
    <t>Revisão do layout do Laboratório de Biotecnologia de Microrganismos (LBMIC)</t>
  </si>
  <si>
    <t>Retornado a unidade em 05/03/24 recomendando a conclusão do processo tendo em vista a imviablildade de adequação do layout sem ampliação de espaço físico.</t>
  </si>
  <si>
    <t>23070.030779/2023-64</t>
  </si>
  <si>
    <t>Adequação subsolo do pátio das Humanidades</t>
  </si>
  <si>
    <t>Relatório das condições do espaço finalizado em 20/11/23. Encaminhado a PRAE em 21/11/23 para manifestação. O processo deverá retornar para elaboração do projeto. O processo A arq. Inah fez projeto de internveção no pátio coberdor. Após encaminhamento do relátorio das condições do espaço do subsolo o processo foi conclupido pelo GR sem retornar p/ SEINFRA.</t>
  </si>
  <si>
    <t>23070.042552/2023-61</t>
  </si>
  <si>
    <t>Layout Matrículas 2ª Chamada - CE</t>
  </si>
  <si>
    <t>23070.048996/2023-19</t>
  </si>
  <si>
    <t>Sinalização Estacionamento</t>
  </si>
  <si>
    <t>Concluído em 15/02/2024. Encaminhado a Dir. Obras em 16/02/24.</t>
  </si>
  <si>
    <t>23070.049932/2023-27</t>
  </si>
  <si>
    <t>Estudo redistribuição e possível ampliação das salas FD</t>
  </si>
  <si>
    <t>23070.048827/2023-71</t>
  </si>
  <si>
    <t>Estacioamento e Acessibilidade  FAV e CIAR</t>
  </si>
  <si>
    <t>PRIORITÁRIOS 2023</t>
  </si>
  <si>
    <t>23070.045454/2023-86</t>
  </si>
  <si>
    <t>Layout Cidarq para projeto eletrico</t>
  </si>
  <si>
    <t>Encaminhado a Dir. Elétrica em 22/11/23.</t>
  </si>
  <si>
    <t>Novo projeto de paisagismo para CEUs I e III. Aditivo obra.</t>
  </si>
  <si>
    <t>Encaminhado para fiscal Lucas em 09/08/2023. Executado no aditivo da obra</t>
  </si>
  <si>
    <t>23070.038124/2023-34</t>
  </si>
  <si>
    <t>Infraestrutura para Operação de Instalações Laboratoriais de Centro de Excelência para Agricultura</t>
  </si>
  <si>
    <t>Analise feita. Encaminhada a Dir. Obras em 08.09.23.</t>
  </si>
  <si>
    <t>23070.030455/2023-26</t>
  </si>
  <si>
    <t>Documentação p/ CNES sede PRAE e PRAE antiga Colemar</t>
  </si>
  <si>
    <t>Aguardando Aprovação do proj. Arq. Sanitário do Serviço Odontologico.</t>
  </si>
  <si>
    <t>23070.031741/2023-17</t>
  </si>
  <si>
    <t>Condições estruturais no novo campus e normativas de segurança para povoamento</t>
  </si>
  <si>
    <t>Despacho da Poliana retornando pra FCT</t>
  </si>
  <si>
    <t>23070.031678/2023-19</t>
  </si>
  <si>
    <t>Projeto encaminhando p/ impressão. Assinado pelo Adriano 25/09/23. Aguardando entrada na VISA, encaminhamento Farmácia. Retornado a unidade solicitando atulizações das tratativas c/ VISA. Relatório da 2ª análise recebido em 02/02/26. Correções analise VISA enviada p/ farmácia em 03/06.</t>
  </si>
  <si>
    <t>Projeto encaminhando p/ impressão. Assinado pelo Adriano 25/09/23. Aguardando entrada na VISA, encaminhamento Farmácia. Retornado a unidade solicitando atulizações das tratativas c/ VISA. Relatório da 2ª análise recebido em 02/02/26.</t>
  </si>
  <si>
    <t>23070.038623/2023-21</t>
  </si>
  <si>
    <t>FACE</t>
  </si>
  <si>
    <t>Reforma FACE</t>
  </si>
  <si>
    <t>Em orçamentação</t>
  </si>
  <si>
    <t>Atribuido em 18/10/23. Visita elaboração programa de necessidades em 25/10/23. Programa de Necessidades anexado ao processo e encaminhado para unidade para validação 02/04/2023. Aguardar Retorno. Concluído em 24/07/24 e encaminhado p/ DMOE na mesma data.</t>
  </si>
  <si>
    <t>Muro CEU III. Aditivo obra.</t>
  </si>
  <si>
    <t>Encaminhado para fiscal Lucas em 05/07/23. Executado no aditivo da obra</t>
  </si>
  <si>
    <t>23070.033629/2023-11</t>
  </si>
  <si>
    <t>Prédio Humanidades I FH</t>
  </si>
  <si>
    <t>Atrbuída à Gerani em 08/08/2024. Encaminhado DMOC 07/02/2025.</t>
  </si>
  <si>
    <t>23070.048371/2023-49</t>
  </si>
  <si>
    <t>Reformar balcão recepção do Centro Analítico/FF/UFG (sala 26, 1º andar da FO/UFG)</t>
  </si>
  <si>
    <t xml:space="preserve"> Encaminhado a Dir. Obras em 16/02/2024.</t>
  </si>
  <si>
    <t>23070.051658/2020-11</t>
  </si>
  <si>
    <t>Lab Biologia Molecular - Romulo Rocha - Projeto Concluído - Frederico</t>
  </si>
  <si>
    <t>23070.009936/2019-96</t>
  </si>
  <si>
    <t>depósito de resíduos químicos e biológicos ICB - Projeto Concluído - Frederico</t>
  </si>
  <si>
    <t>23070.029011/2020-03</t>
  </si>
  <si>
    <t>Anexo IQ - Projeto Concluído - Frederico</t>
  </si>
  <si>
    <t>23070.009934/2019-05</t>
  </si>
  <si>
    <t>Almoxarifado de produtos químicos, ICB. Projeto Concluído - Frederico.</t>
  </si>
  <si>
    <t>23070.035929/2023-26</t>
  </si>
  <si>
    <t>Complemento Gradil Centro de Aulas D</t>
  </si>
  <si>
    <t>Encaminhanda a Dir. Obras em 01/08/23.</t>
  </si>
  <si>
    <t>23070.041985/2023-08</t>
  </si>
  <si>
    <t>Acesso de pedestre pela Rua 240</t>
  </si>
  <si>
    <t>Encaminhado p/ Dir. Obras em 12.09</t>
  </si>
  <si>
    <t>CNES Serviço Odontologio Campus Colemar</t>
  </si>
  <si>
    <t>23070.036561/2023-13</t>
  </si>
  <si>
    <t>MUSEU</t>
  </si>
  <si>
    <t>Troca telhado Museu</t>
  </si>
  <si>
    <t>23070.036554/2023-11</t>
  </si>
  <si>
    <t xml:space="preserve">Troca telhado SEINFRA </t>
  </si>
  <si>
    <t>23070.030539/2023-60</t>
  </si>
  <si>
    <t>Reforma  Setor de Aquicultura</t>
  </si>
  <si>
    <t>23070.036149/2023-01</t>
  </si>
  <si>
    <t>Troca telhado e adequações predio Central da Agronomia</t>
  </si>
  <si>
    <t>23070.036124/2023-08</t>
  </si>
  <si>
    <t>LAMES</t>
  </si>
  <si>
    <t>Troca telhado e adequações LAMES</t>
  </si>
  <si>
    <t>23070.041664/2023-03</t>
  </si>
  <si>
    <t>Púlpito Auditório FCT</t>
  </si>
  <si>
    <t>Encaminhado a DMOC em 27/07/23</t>
  </si>
  <si>
    <t>23070.033635/2023-60</t>
  </si>
  <si>
    <t>Concluído, duplicidade de solicitação no processo 23070.033629/2023-11</t>
  </si>
  <si>
    <t>23070.000682/2023-27</t>
  </si>
  <si>
    <t>Acesso Pedestres 5ª AV. Faculdade de Farmácia</t>
  </si>
  <si>
    <t>Encaminhado ao Marcelus em 20/10/23</t>
  </si>
  <si>
    <t>23070.034112/2023-31</t>
  </si>
  <si>
    <t>Rampa acesso estacionamento HC</t>
  </si>
  <si>
    <t>Encaminhado da Faculdade de Medicina para avaliação e manifestação.Concluído em 07/07/23 pela Poliana</t>
  </si>
  <si>
    <t>23070.001711/2023-78</t>
  </si>
  <si>
    <t>Passarela entre o Pátio da Ciência e Prédio Central do IF (IF3)</t>
  </si>
  <si>
    <t>23070.033660/2023-43</t>
  </si>
  <si>
    <t>Troca Cobertura OCA</t>
  </si>
  <si>
    <t>23070.001704/2020-23</t>
  </si>
  <si>
    <t>Abrigo de Residuos Odontologia/Farmácia</t>
  </si>
  <si>
    <t>23070.020640/2023-11</t>
  </si>
  <si>
    <t xml:space="preserve"> Revitalização do espaço do subsolo do CMBiotecs</t>
  </si>
  <si>
    <t>Retornando em05/03/2024 a unidade com parecer técnico desfavoravel a intervenção</t>
  </si>
  <si>
    <t>23070.030994/2023-65</t>
  </si>
  <si>
    <t>Bancada Castelo LANAB IPTSP</t>
  </si>
  <si>
    <t>Concluído em 01/08/23. Encaminhado a Dir. Obras em 07/08/2023.</t>
  </si>
  <si>
    <t>23070.020683/2023-98</t>
  </si>
  <si>
    <t>Revitalização antigo estacionamento IPTSP</t>
  </si>
  <si>
    <t>Esta demanda está sendo desenvolvida por arq. do CEET. NEgociação da prof. Flávia. Retornado p/ unidade para preenchimento do fomrulário em 30/01/26.</t>
  </si>
  <si>
    <t>23070.028437/2023-84</t>
  </si>
  <si>
    <t xml:space="preserve">Recepção de amostras laboratoriais para análise no Setor de Medicina Veterinária Preventiva </t>
  </si>
  <si>
    <t>Aguardando visita tecnica do Marcelus em 11/09. Projeto elaborado, reunião p/ apresentação agendada.</t>
  </si>
  <si>
    <t>23070.030660/2023-91</t>
  </si>
  <si>
    <t>Acessibilidade Calçadas Campus Samambaia</t>
  </si>
  <si>
    <t>PRIORITÁRIOS 2023 - Projeto Inah, Matheus, Adriano e Frederico</t>
  </si>
  <si>
    <t>23070.030767/2023-30</t>
  </si>
  <si>
    <t>ADEQUAÇÃO DE TELHADO, CORREÇÕES DE PATOLOGIAS E PINTURA GERAL DO PRÉDIO DA REITORIA</t>
  </si>
  <si>
    <t>23070.030771/2023-06</t>
  </si>
  <si>
    <t>Passarelas Fotovoltaicas Área Básica</t>
  </si>
  <si>
    <t>23070.027630/2022-17</t>
  </si>
  <si>
    <t>Acessiblidade Especial EMAC</t>
  </si>
  <si>
    <t>Projeto Concluído em 21/09/2023. Encaminhado a Dir. Obras via email em 25/09/2023. Processo encaminhado a DMOC para confirmação da execução e conclusão do processo (04/10/2024).</t>
  </si>
  <si>
    <t>23070.014278/2023-31</t>
  </si>
  <si>
    <t>Adequações Microbiologia (Bacteriologia e Virologia) IPTSP</t>
  </si>
  <si>
    <t>Concluído Internamento em 22/01/26. A demanda será tratada no procecesso 23070.061475/2025-19</t>
  </si>
  <si>
    <t>23070.029351/2023-79</t>
  </si>
  <si>
    <t>Reestruturação de acesso e recepção LACES/ICB/UFG</t>
  </si>
  <si>
    <t>Encaminhando a Dir. Obras para orçamento estimativo em 16/11/23</t>
  </si>
  <si>
    <t>23070.028150/2023-54</t>
  </si>
  <si>
    <t>Piso Tátil e Iluminação</t>
  </si>
  <si>
    <t>Concluído em 18/07. Encaminhado a Dir. Obras em 20/07.</t>
  </si>
  <si>
    <t>23070.025122/2023-85</t>
  </si>
  <si>
    <t>Layout LAMOVH para projeto elétrico</t>
  </si>
  <si>
    <t>Encaminhando a Dir. Elétrica em 01/11/2023</t>
  </si>
  <si>
    <t>23070.023185/2023-05</t>
  </si>
  <si>
    <t>Encaminhado a D. Obras em 10/05/2023</t>
  </si>
  <si>
    <t>O projeto foi pausado a pedido da direção do IPTSP. Em 09/09/24 o processo foi retornado a unidade com o projeto anexo solicitando conclusão na unidade. Em  12/09/24 o processo retornou. Verificar encaminhamento</t>
  </si>
  <si>
    <t>23070.024124/2023-57</t>
  </si>
  <si>
    <t>Readequação do projeto da Fábrica de Ração Animal/EVZ/UFG</t>
  </si>
  <si>
    <t>Reunião sobre a demanda em 18/10/23. Processo retornando a unidade para maiores informações.</t>
  </si>
  <si>
    <t>23070.021765/2023-50</t>
  </si>
  <si>
    <t>SECPLAN</t>
  </si>
  <si>
    <t>Adequações SECPLAN</t>
  </si>
  <si>
    <t>Concluído em 07/06/23. Encaminhando a Dir. Obras em 19/06/23</t>
  </si>
  <si>
    <t>23070.020803/2023-57</t>
  </si>
  <si>
    <t>Fisioterapia no HC</t>
  </si>
  <si>
    <t>Projeto Concluído em 28/06/2023. Processo concluído em 09/04/24 em referencia ao processo 23070.064559/2023-34 de contratação da obra.</t>
  </si>
  <si>
    <t>23070.020536/2023-18</t>
  </si>
  <si>
    <t>Reforma Parasitologia Sala 2013</t>
  </si>
  <si>
    <t>Concluído e encaminhado a Dir. Obras em 03/08/23</t>
  </si>
  <si>
    <t>23070.008888/2023-03</t>
  </si>
  <si>
    <t>DAP</t>
  </si>
  <si>
    <t>Adequação DAP -Serviço de Atendimento ao Servidor</t>
  </si>
  <si>
    <t>Concluído em 07/06/23. Encaminhando a DIr. Obras em 26/06/23. Adequações realizadas em 01/08/2023. Processo concluído.</t>
  </si>
  <si>
    <t>23070.017237/2023-04</t>
  </si>
  <si>
    <t>Reforma Lab. Prof. Lucélia Sala 118</t>
  </si>
  <si>
    <t>Proposta preliminar elaborada pela est. Luíza em 19/04/23. Processo encaminhado a interessada em 07/10/24 com proposta anexa, solicitando analise se a demanda ainda é pertinente.  Retornado p/ SEINFRA em 11/10/2024.</t>
  </si>
  <si>
    <t>23070.013078/2023-61</t>
  </si>
  <si>
    <t>Reforma Núcleo de Pesquisa em Prótese e Implante</t>
  </si>
  <si>
    <t>Concluído em 05/06/23. Encaminhando a Dir. Obras em 25/07/23</t>
  </si>
  <si>
    <t>23070.014366/2023-32</t>
  </si>
  <si>
    <t>Reforma Internação</t>
  </si>
  <si>
    <t>Estudo encaminhado a prof. Rosangela em27/03/23 com estimativa de custos. Processo retornado a unidade em 27/11/23.</t>
  </si>
  <si>
    <t>23070.012208/2023-48</t>
  </si>
  <si>
    <t>CIAR</t>
  </si>
  <si>
    <t>Demarcação de Vagas Ciar</t>
  </si>
  <si>
    <t>Atribuido a Obras em 28/03/23</t>
  </si>
  <si>
    <t>23070.013339/2023-42</t>
  </si>
  <si>
    <t>Rádio Universitária</t>
  </si>
  <si>
    <t>Externo</t>
  </si>
  <si>
    <t xml:space="preserve">Reforma Auditório </t>
  </si>
  <si>
    <t>23070.044893/2022-91</t>
  </si>
  <si>
    <t>Sinalização de Emergência/ Incêndio CDIM</t>
  </si>
  <si>
    <t>Encaminhado a Cecilio em 27/04/2023</t>
  </si>
  <si>
    <t>23070.001685/2023-88</t>
  </si>
  <si>
    <t>Ampliação IF</t>
  </si>
  <si>
    <t>26/005/2025</t>
  </si>
  <si>
    <t>Demanda repassada ao Leonardo. Proposta aprovado em 18/06/25. Ajuste legendas em 28/07/25 via e-mail.</t>
  </si>
  <si>
    <t>23070.011816/2023-35</t>
  </si>
  <si>
    <t>Layout Matricula</t>
  </si>
  <si>
    <t>Encaminhando ao Junior em 05/04/2023</t>
  </si>
  <si>
    <t>23070.009256/2023-59</t>
  </si>
  <si>
    <t>Reforma Área ADM</t>
  </si>
  <si>
    <t>Encaminho os Junior em 11/10/23</t>
  </si>
  <si>
    <t>23070.007641/2023-61</t>
  </si>
  <si>
    <t>PROEC</t>
  </si>
  <si>
    <t>Abertura de Janelas Centro Cultura</t>
  </si>
  <si>
    <t>Concluído em 12/06/23. Devolvido a unidade 19/06/2023.</t>
  </si>
  <si>
    <t>23070.008120/2023-21</t>
  </si>
  <si>
    <t>Unificação Sala 08</t>
  </si>
  <si>
    <t>Reatribuir</t>
  </si>
  <si>
    <t>23070.004829/2023-58</t>
  </si>
  <si>
    <t>SRI</t>
  </si>
  <si>
    <t xml:space="preserve">Adequações Espaço </t>
  </si>
  <si>
    <t>Encaminhado a D. Obras em 17/03/23</t>
  </si>
  <si>
    <t>23070.004866/2023-66</t>
  </si>
  <si>
    <t>Reforma Faculdade de Direito - Salão Nobre</t>
  </si>
  <si>
    <t>Concluído em 24/04/2023. Encaminado p/ Junior em 09/05/2023. PRIORITÁRIOS 2023</t>
  </si>
  <si>
    <t>23070.001682/2023-44</t>
  </si>
  <si>
    <t>Reforma Recepção HV</t>
  </si>
  <si>
    <t>Projeto Concluído em 06/03/24. Validado pela Unidade em 07/03/24. Encaminhado a Dir. Obras em 07/03/24.</t>
  </si>
  <si>
    <t>23070.001741/2023-84</t>
  </si>
  <si>
    <t>PROEC - Centro de Eventos</t>
  </si>
  <si>
    <t>Sala de Conselhos</t>
  </si>
  <si>
    <t>Em reunião realizada em 07/10/24 foi indicado pela reitoria a necessidade de ter 100 pessoas sentadas na mesa dos conselheiros, foi indicada a viabilidade de ocupar as três salas do CE.  Estações de trabalho "convêncionais" aprovadas para layou. Aguardando confimação dessas informações. Encaminhado a Poliana solicitando conclusão.</t>
  </si>
  <si>
    <t>23070.055161/2022-26</t>
  </si>
  <si>
    <t>Reforma Estudio de Gravação</t>
  </si>
  <si>
    <t>Aguardando Resposta FIC. Encaminhada via SEi para validação em 23/03/2023. Resposta aprovando recebida em 06/09/2024. Processo encaminhado a DMOE em 06/09 para avaliação e viabilidade de projeto elétrico.</t>
  </si>
  <si>
    <t>23070.004549/2023-40</t>
  </si>
  <si>
    <t>DFP</t>
  </si>
  <si>
    <t>Layout DFP/PROPESSOAS</t>
  </si>
  <si>
    <t>Projeto Concluído em 12/07/2023. Encaminhamento pausado na pespectiva de reforma geral da reitoria em desenvolvimento pela Gerani. Processo retornado ao DFP em 04/10/24 solicitando informações sobre a pertinencia atual do projeto.</t>
  </si>
  <si>
    <t>23070.000630/2023-51</t>
  </si>
  <si>
    <t>Reforma Camarins Centro Cultura</t>
  </si>
  <si>
    <t>23070.001190/2023-59</t>
  </si>
  <si>
    <t>Adaptação p/ Acessibilidade RU Samambaia</t>
  </si>
  <si>
    <t>Encaminhado a D. Obras em 23/01/23. orçado. Executado.</t>
  </si>
  <si>
    <t>23070.000907/2023-45</t>
  </si>
  <si>
    <t>Parecer troca de cobertura átrio INF</t>
  </si>
  <si>
    <t>Encaminhado a D. Obras em 12/01/23  PRIORITÁRIOS 2023</t>
  </si>
  <si>
    <t>23070.068861/2022-81</t>
  </si>
  <si>
    <t>Reforma do Biotério</t>
  </si>
  <si>
    <t>23070.066852/2022-55</t>
  </si>
  <si>
    <t>UAECH-RG</t>
  </si>
  <si>
    <t>Projeto de Bancas para Regional Goiás</t>
  </si>
  <si>
    <t>Atribuída a D. Obras em 22/02/23</t>
  </si>
  <si>
    <t>23070.066656/2022-81</t>
  </si>
  <si>
    <t>Troca Piso Sala de Dança 3</t>
  </si>
  <si>
    <t>Encaminhado para Dir. Obras em 19/12/22</t>
  </si>
  <si>
    <t>23070.066588/2022-50</t>
  </si>
  <si>
    <t>PROGRAD</t>
  </si>
  <si>
    <t>Centro de Aulas A Reforma Salas de Informática</t>
  </si>
  <si>
    <t>Visita 19/12.</t>
  </si>
  <si>
    <t>23070.065409/2022-67</t>
  </si>
  <si>
    <t>Estudo Técnico e Parecer para local de bombas a vácuo</t>
  </si>
  <si>
    <t>23070.028671/2022-21</t>
  </si>
  <si>
    <t>Revisão Concluída em 15/10/2024.</t>
  </si>
  <si>
    <t>23070.029636/2022-29</t>
  </si>
  <si>
    <t>Abertura Janela SIASS</t>
  </si>
  <si>
    <t>23070.044887/2022-33</t>
  </si>
  <si>
    <t>Sinalização e Adequações p/ Incêndio</t>
  </si>
  <si>
    <t>Encaminhado para Dir. Obras em 20/12/22</t>
  </si>
  <si>
    <t>23070.028412/2022-08</t>
  </si>
  <si>
    <t>Projeto de iluminação</t>
  </si>
  <si>
    <t>23070.053234/2022-45</t>
  </si>
  <si>
    <t>Reforma do prédio da CTR</t>
  </si>
  <si>
    <t>Concluído pela Poliana.</t>
  </si>
  <si>
    <t>23070.057059/2022-65</t>
  </si>
  <si>
    <t>Projeto de copa e espaço de convivência/integração para servidores do IPTSP</t>
  </si>
  <si>
    <t>23070.058864/2023-97</t>
  </si>
  <si>
    <t>Projeto para instalação de janela na PRPI</t>
  </si>
  <si>
    <t>Encaminhada a Dir. Obras 15/12/2023</t>
  </si>
  <si>
    <t>23070.055314/2022-35</t>
  </si>
  <si>
    <t>Oficio a VISA para Aprovação Ala Florence Nightingale da FEN</t>
  </si>
  <si>
    <t>Projeto Aprovado em em 22 de novembro de 2022 através do processo nº 89533163 (VISA).</t>
  </si>
  <si>
    <t>23070.028217/2022-70</t>
  </si>
  <si>
    <t>Projeto Reforma LIBRIS</t>
  </si>
  <si>
    <t>Projeto Concluído em 09/01/2023. Processo concluído em 04/10/2024 tendo em vista que a demanda foi encaminhada pelo processo 23070.055161/2022-26.</t>
  </si>
  <si>
    <t>23070.045747/2022-82</t>
  </si>
  <si>
    <t>Solicita remoção de ilha na entrada</t>
  </si>
  <si>
    <t>Processo concluído em 10/08/23 tendo em vista que a demanda solicitada pelo Ofício 3136420, está sendo contemplada no processo SEI 23070.045758/2022-62 que trata do projeto de reforma do prédio da CTR.​</t>
  </si>
  <si>
    <t>23070.029613/2022-14</t>
  </si>
  <si>
    <t>Sala Videoconferencias</t>
  </si>
  <si>
    <t>Visita Realizada em 26/09. Aprovado pela unidade 27/10. Encaminhado Dir. Obras 03/11.</t>
  </si>
  <si>
    <t>23070.042170/2022-57</t>
  </si>
  <si>
    <t>Projeto Lacen - CEMEP</t>
  </si>
  <si>
    <t>Projeto arq. de nova sede elaborado. Projetos Complementares contratados e entregues. Encaminhado ao IQ para conclusão do Processo.</t>
  </si>
  <si>
    <t>23070.001095/2022-74</t>
  </si>
  <si>
    <t xml:space="preserve">Projeto de Drenagem </t>
  </si>
  <si>
    <t>23070.042107/2022-11</t>
  </si>
  <si>
    <t>Corredor lateral do IQ 2</t>
  </si>
  <si>
    <t>Verificar</t>
  </si>
  <si>
    <t>23070.051642/2022-62</t>
  </si>
  <si>
    <t>Identificação Prédio de Humanidades II</t>
  </si>
  <si>
    <t>Processo Concluído em 16/11/23.Demanda atendida em 13/10/22</t>
  </si>
  <si>
    <t>23070.043782/2022-67</t>
  </si>
  <si>
    <t>Atualização Planta Baixa</t>
  </si>
  <si>
    <t>23070.050221/2022-14</t>
  </si>
  <si>
    <t>VD-CN</t>
  </si>
  <si>
    <t>Caldas Novas</t>
  </si>
  <si>
    <t>Projeto Cozinha Guarita</t>
  </si>
  <si>
    <t>Atribuido Dir. Obras 01/11/22</t>
  </si>
  <si>
    <t>23070.045756/2022-73</t>
  </si>
  <si>
    <t>Melhoria acesso aos geradores</t>
  </si>
  <si>
    <t>23070.048456/2022-46</t>
  </si>
  <si>
    <t>Reforma p/ Parasitologia</t>
  </si>
  <si>
    <t>Atribuido p Marcelus 07/11. Retornar para atendimento das outras demandas</t>
  </si>
  <si>
    <t>23070.045758/2022-62</t>
  </si>
  <si>
    <t>Reforma do prédio da Coordenação de Transportes - CTR - DLOG</t>
  </si>
  <si>
    <t>Projeto concluído em 07/08/23, encaminhado a dir. elétrica em 10/08/23 para elaboração de projeto elétrico e de lógica.</t>
  </si>
  <si>
    <t>23070.049220/2022-27</t>
  </si>
  <si>
    <t>Instituto Verbena</t>
  </si>
  <si>
    <t>Sinalização Interna e Externa</t>
  </si>
  <si>
    <t>23070.047133/2022-35</t>
  </si>
  <si>
    <t xml:space="preserve">Adequações Acessibilidade </t>
  </si>
  <si>
    <t>Finalizado 25/11. Atribuido Marcelus 28/11.</t>
  </si>
  <si>
    <t>23070.047627/2022-10</t>
  </si>
  <si>
    <t>Reforma do Auditório Prof. Farnese Dia</t>
  </si>
  <si>
    <t>Concluído em 29/11/2022, após informação que a demanda já havia sido solucionada</t>
  </si>
  <si>
    <t>23070.035498/2022-17</t>
  </si>
  <si>
    <t>Levantamento IQ - Bloco I</t>
  </si>
  <si>
    <t>Encaminhado a DMOE.</t>
  </si>
  <si>
    <t>23070.043956/2022-91</t>
  </si>
  <si>
    <t>Reforma Sala Direção e Troca de Portas</t>
  </si>
  <si>
    <t>Enviadado p/ Dir. Obras 26/08/2022</t>
  </si>
  <si>
    <t>23070.038546/2022-29</t>
  </si>
  <si>
    <t>Adequação Sala Multiuso</t>
  </si>
  <si>
    <t>Enviado p/ Marcelus em 30/08</t>
  </si>
  <si>
    <t>23070.039359/2022-62</t>
  </si>
  <si>
    <t>Adequação espaçoa 3ª pavimento (est. Luiza)</t>
  </si>
  <si>
    <t>Enviado p/ Orçamento 22/08. Obras Concluída 20/12</t>
  </si>
  <si>
    <t>23070.039581/2022-65</t>
  </si>
  <si>
    <t>Adequação para novo espaço de atendimento</t>
  </si>
  <si>
    <t>Enviado p/ Dir. Obras em 12/12. Orçado. Encaminhado p/ Demandante em 05/07/23.</t>
  </si>
  <si>
    <t>23070.038632/2022-31</t>
  </si>
  <si>
    <t>Isolamento acústico entre o NEPAQ e gab. 6</t>
  </si>
  <si>
    <t>Atribuido a Dir. Obras em 13/04/23</t>
  </si>
  <si>
    <t>23070.037748/2022-53</t>
  </si>
  <si>
    <t>Estudo Praça e Teatro FL</t>
  </si>
  <si>
    <t>Parecer indicando inviabilidade. Retornado para unidade em 18/04/23. Reatribuido a Frederico em 27/07/23 para projeto paisagistico</t>
  </si>
  <si>
    <t>23070.033390/2022-90</t>
  </si>
  <si>
    <t>Reformas Secretaria Adm.</t>
  </si>
  <si>
    <t>Enviado p/ Orçamento 21/09</t>
  </si>
  <si>
    <t>23070.036765/2022-73</t>
  </si>
  <si>
    <t>Reforma LEPEHIS</t>
  </si>
  <si>
    <t>Visita ao espaço 08/07. Encaminhado Dir, Obras 16/08</t>
  </si>
  <si>
    <t>23070.039018/2022-97</t>
  </si>
  <si>
    <t>Adaptação da sala 406 do Centro de Aulas D</t>
  </si>
  <si>
    <t>Encaminhado DMOC em 22/07/22. Orçado e encaminhado p/ demandante</t>
  </si>
  <si>
    <t>23070.029149/2022-66</t>
  </si>
  <si>
    <t>Reformas 2 Salas Melhoramento de Plantas</t>
  </si>
  <si>
    <t>Cruciano</t>
  </si>
  <si>
    <t>23070.028791/2022-28</t>
  </si>
  <si>
    <t>Adaptação Gerencia Administrativa</t>
  </si>
  <si>
    <t>Encaminhado p/ Dir. Obras em 11/07</t>
  </si>
  <si>
    <t>23070.018415/2022-25</t>
  </si>
  <si>
    <t>Reforma Almoxarifado IQ</t>
  </si>
  <si>
    <t>Projeto Concluído em 13/06/2023. Encaminhado a Dir Obras em 16/06/2023. Orçamento concluído em 06/09/2023. Retornado a enidade em e concluído em 19/09/2023. Processo Contratação 23070.064720/2023-70 Orçamento Carlos Teixeira</t>
  </si>
  <si>
    <t>23070.019724/2022-12</t>
  </si>
  <si>
    <t>Ampliação da sala 07 do LABICOM</t>
  </si>
  <si>
    <t>Encaminado a D. Obras em 16/05/2023</t>
  </si>
  <si>
    <t>23070.019702/2022-52</t>
  </si>
  <si>
    <t>Revitalização A. externa FIC</t>
  </si>
  <si>
    <t>23070.022975/2022-84</t>
  </si>
  <si>
    <t>Concluído em 11/05/23. Encaminhado para D. Obras em 11/05/2023</t>
  </si>
  <si>
    <t>5295/2022</t>
  </si>
  <si>
    <t>CC</t>
  </si>
  <si>
    <t>Abertura de janela na coordenação de museologia</t>
  </si>
  <si>
    <t>23070.055742/2021-87</t>
  </si>
  <si>
    <t>CDPA</t>
  </si>
  <si>
    <t>Troca Telhado SEINFRA CDPA</t>
  </si>
  <si>
    <t xml:space="preserve">Processo concluído em 16/11/2023 em referência ao processo 23070.036554/2023-11 referente a contratação da obra. </t>
  </si>
  <si>
    <t>23070.025192/2022-52</t>
  </si>
  <si>
    <t>Readequação LACES</t>
  </si>
  <si>
    <t>Orçado. Enviado pra Gabriela(Laces) 12/05/2022</t>
  </si>
  <si>
    <t>23070.030570/2021-39</t>
  </si>
  <si>
    <t>Revisão Centro de Convivência</t>
  </si>
  <si>
    <t>23070.009704/2022-33</t>
  </si>
  <si>
    <t>Reforma Telhado</t>
  </si>
  <si>
    <t>23070.019422/2022-44</t>
  </si>
  <si>
    <t>Adequação Lab. 239 e gabinete 241 no piso superior do IQ2 e construção de casa de gases</t>
  </si>
  <si>
    <t>Atribuido para Marcelus em 03/05</t>
  </si>
  <si>
    <t xml:space="preserve"> Revitalização da área externa da FIC</t>
  </si>
  <si>
    <t>Revisão Projetos CEUs</t>
  </si>
  <si>
    <t>Reforma Guarita Secção de Vigilância</t>
  </si>
  <si>
    <t>23070.008692/2022-20</t>
  </si>
  <si>
    <t>Abrigo para Compressores LACEM PROF. Boniek</t>
  </si>
  <si>
    <t>Encaminhado p/ aprovação em 18/04. Encaminhado p/ Marcelus em 02/05</t>
  </si>
  <si>
    <t>23070.017400/2022-40</t>
  </si>
  <si>
    <t>Projeto de arquitetura para readequação de gabinete para docente</t>
  </si>
  <si>
    <t>Concluído em 07/06. Aprovado pelo Professor- Avaliar se será contratado direto ou marcenaria irá executar</t>
  </si>
  <si>
    <t>23070.008803/2022-06</t>
  </si>
  <si>
    <t>Projeto de reparo de esquadrias/ vidros e escadas</t>
  </si>
  <si>
    <t>23070.015519/2022-88</t>
  </si>
  <si>
    <t>CPA/EVZ</t>
  </si>
  <si>
    <t>Solicitação de avaliação de obra inacabada e parecer para estimativa de custos</t>
  </si>
  <si>
    <t>23070.007070/2022-84</t>
  </si>
  <si>
    <t>Cobertura p/ tanque externo</t>
  </si>
  <si>
    <t>Projeto encaminhado PRPI em 25/04 sem retorno. Processo concluído em 25/07.</t>
  </si>
  <si>
    <t>23070.015343/2022-64</t>
  </si>
  <si>
    <t>Lab. Cirurgia Experimental (Museu da Faculdade de Medicina e Laboratório de Neurocirurgia)</t>
  </si>
  <si>
    <t>Despacho Leonardo informando não devolutiva da unidade p/ mais informações, Encaminhado para Poliana em 14/10/2024 solicitando conclusão do processo. Recebido em 02/12/2024 solicitando andamento no lab. de neurocirurgia. Retornado a unidade solicitando informações adicioanis em 03/12/24. Resposta recebida em 04/12/24. Reatribuido ao Leonardo em 17/06/26.</t>
  </si>
  <si>
    <t>23070.011300/2022-18</t>
  </si>
  <si>
    <t>Projeto para homenagem póstuma à Profa. Aline Carvalho Batista</t>
  </si>
  <si>
    <t>Encaminhando a Dir. Obras em 15/05/23</t>
  </si>
  <si>
    <t>23070.060408/2021-45</t>
  </si>
  <si>
    <t>informações referentes a imóveis considerados pela universidade como de expressivo valor histórico-cultural</t>
  </si>
  <si>
    <t>Concluído em 08/04/24. Não foi necessária nenhuma ação</t>
  </si>
  <si>
    <t>23070.016295/2022-21</t>
  </si>
  <si>
    <t>Paisagismo IQ</t>
  </si>
  <si>
    <t>Parecer Técnico enviado a unidade em 05/03/2024 recomendando a inviabilidade do projeto. Processo retornado a Seinfra em 05/03/2024. Processo Conluído em 04/10/2024 tendo em vista que não há novos encaminhamentos.</t>
  </si>
  <si>
    <t>23070.015139/2021-62</t>
  </si>
  <si>
    <t>FEN/FANUT</t>
  </si>
  <si>
    <t>Projeto Estacionamento, Segurança Acessos</t>
  </si>
  <si>
    <t>23070.014943/2022-13</t>
  </si>
  <si>
    <t>Alteração Layout da Coordenação de Cadastro/DAP/UFG</t>
  </si>
  <si>
    <t>Concluido, Aprovado pelos solicitantes 19/04. Encaminhando a Manutenção</t>
  </si>
  <si>
    <t>23070.009481/2022-12</t>
  </si>
  <si>
    <t>Informações sobre Projeto de Incêndio</t>
  </si>
  <si>
    <t>Reunião p/ 18/05. Encaminhado a Dir. Obras em 21/06/22</t>
  </si>
  <si>
    <t>23070.011335/2022-49</t>
  </si>
  <si>
    <t>Remodelação no ambiente da Pró-Reitoria de Gestão de Pessoa</t>
  </si>
  <si>
    <t>Encaminhado p/ Marcelus em 10/05/22</t>
  </si>
  <si>
    <t>23070.004998/2022-15</t>
  </si>
  <si>
    <t>Alteração em estrutura interna em prédio do CPA/EVZ</t>
  </si>
  <si>
    <t>23070.002349/2022-71</t>
  </si>
  <si>
    <t>TERMO DE APOSTILAMENTO Nº 01/2021 AO CONTRATO N.º 427/2020 - TERMO DE APOSTILAMENTO Nº 01/2021 AO CONTRATO N.º 427/2020 - Licensa Autodesk</t>
  </si>
  <si>
    <t>Processo Concluído em 04/10/2024 não tendo mais encaminhamentos necessários.</t>
  </si>
  <si>
    <t>23070.062373/2021-89</t>
  </si>
  <si>
    <t>Processo ADM resposta acessibilidade p/ MP</t>
  </si>
  <si>
    <t>Gabinete 29/09</t>
  </si>
  <si>
    <t>23070.064821/2021-89</t>
  </si>
  <si>
    <t>Avaliação e vistoria de espaço do Centro de Pesquisa em Alimentos</t>
  </si>
  <si>
    <t>23070.053410/2021-68</t>
  </si>
  <si>
    <t>Adequações CEPEA</t>
  </si>
  <si>
    <t>23070.050030/2021-71</t>
  </si>
  <si>
    <t>Criar um Centro de Cuidados Farmacêuticos</t>
  </si>
  <si>
    <t>Processo concluído em 04/10/2024 tendo em vista que foi a discussão não avançou.</t>
  </si>
  <si>
    <t>23070.019724/2021-31</t>
  </si>
  <si>
    <t>Corpo de Bombeiros Agência de Inovação</t>
  </si>
  <si>
    <t>23070.040768/2021-21</t>
  </si>
  <si>
    <t>Informações EA e EVZ para SPIUNET</t>
  </si>
  <si>
    <t>23070.038695/2020-26</t>
  </si>
  <si>
    <t>Lecenciamento Agência de Inovação</t>
  </si>
  <si>
    <t>23070.022105/2020-43</t>
  </si>
  <si>
    <t>Licenciamento Genética Humana</t>
  </si>
  <si>
    <t>23070.058041/2021-08</t>
  </si>
  <si>
    <t>Criação de vagas de Estacionamento</t>
  </si>
  <si>
    <t>CEPEA</t>
  </si>
  <si>
    <t>23070.057937/2021-61</t>
  </si>
  <si>
    <t xml:space="preserve">IQ </t>
  </si>
  <si>
    <t>Construção Laboratórios de Ensino, Expansão IQ novo cruso de graduação</t>
  </si>
  <si>
    <t>Despacho Leonardo informando não retorno sobre programa de necessidades. Concluído na Seinfra.</t>
  </si>
  <si>
    <t>23070.048994/2021-50</t>
  </si>
  <si>
    <t>Visita Projeto de Incêndio p/ CERCON</t>
  </si>
  <si>
    <t>Emisão do CERCOm em 04/05/2023. Processo encaminhado o CE para conclusão.</t>
  </si>
  <si>
    <t>23070.048564/2021-38</t>
  </si>
  <si>
    <t>Ampliação LABTIME p/ Novo Estudo</t>
  </si>
  <si>
    <t>23070.058560/2020-87</t>
  </si>
  <si>
    <t>Manual Área SPIUNET</t>
  </si>
  <si>
    <t>23070.021829/2020-70</t>
  </si>
  <si>
    <t>Reforma da Central de Material e Esterilização do HV</t>
  </si>
  <si>
    <t>Verificar projetos complementares concluídos, anexar ao processo e retornar a unidade. Concluído pela Poliana.</t>
  </si>
  <si>
    <t>23070.035985/2019-84</t>
  </si>
  <si>
    <t>Elevador e a construção de rampa de acesso da Faculdade de Letras</t>
  </si>
  <si>
    <t>23070.035300/2019-08</t>
  </si>
  <si>
    <t xml:space="preserve"> Projeto de reforma da estufa para Cultivo de plantas ao lado do prédio do ICB I do Depto. de Botânica do Instituto de Ciências Biológicas</t>
  </si>
  <si>
    <t>23070.035539/2019-70</t>
  </si>
  <si>
    <t>Sinalização externa vagas de estacionamento</t>
  </si>
  <si>
    <t>23070.018648/2019-22</t>
  </si>
  <si>
    <t>Abrigo de Residuos</t>
  </si>
  <si>
    <t>23070.012528/2019-11</t>
  </si>
  <si>
    <t>CERCOMP</t>
  </si>
  <si>
    <t>Intervenção Paliativa Estacionameto</t>
  </si>
  <si>
    <t>DIRETORIA DE PROJETOS</t>
  </si>
  <si>
    <t>COUNTA of 83</t>
  </si>
  <si>
    <t>SUM of A. Contr./Inter.</t>
  </si>
  <si>
    <t>PREVISÃO CONCLUIR OBRA 11/12. Projeto básico concluido e encaminhado p/ avaliação em 16/05/25. Encaminhado p/ DMOE em 30/05/2025.</t>
  </si>
  <si>
    <t>Demanda recebida via DMOC. Verificar Projeto anterior do Adriano.</t>
  </si>
  <si>
    <t>Processo Concluído em 04/10/2024 tendo em vista que não a encaminhamentos a serem feitos. RECEBIDO EM 18/11/24 P/ CONNFIRMAÇÃO PRERIODO DE RECESSO. Retornado ao DFP c/ confirmação do período.</t>
  </si>
  <si>
    <t>Estudo Preliminar concluído em 08/04/24. Encaminhado ao IPhan em 12/06/24. Anteprojeto concluído em 25/06/24. 1º Parecer Iphan recebido em 18/07/24. Processo de contratação 23070.029055/2024-59. Encaminhado p/ 2ª análise do IPHAN em 23/08/24.</t>
  </si>
  <si>
    <t>Nome do Projeto:</t>
  </si>
  <si>
    <t>Processo:</t>
  </si>
  <si>
    <t>Unidade Demandante:</t>
  </si>
  <si>
    <t>Item Fomulário</t>
  </si>
  <si>
    <t>Resposta</t>
  </si>
  <si>
    <t>Nota</t>
  </si>
  <si>
    <t>A ausência do projeto/intervenção representa algum risco para os usuários?</t>
  </si>
  <si>
    <t>Sim</t>
  </si>
  <si>
    <t>A ausência dessa edificação nova ou reforma inviabiliza alguma atividade?</t>
  </si>
  <si>
    <t>Não</t>
  </si>
  <si>
    <t>Objetivo do Projeto:</t>
  </si>
  <si>
    <t>Estimar custos para capitação de recursos</t>
  </si>
  <si>
    <t>Antes dessa solicitação foi verificada a possibilidade de utilização ou compartilhamento de outros espaços na instituição para a atividade pleiteada?</t>
  </si>
  <si>
    <t>Existe recurso para viabilizar a execução da obra?</t>
  </si>
  <si>
    <t>Existem recursos humanos (técnicos e/ou docentes) para operacionalizar os espaços?</t>
  </si>
  <si>
    <t>Existem recursos financeiros na Unidade para operacionalizar os espaços (ex.: mobiliário, equipamentos, materiais de laboratório, insumos, etc.)?</t>
  </si>
  <si>
    <t>Prioridade ALTA, pontuação maior que 60, projetos críticos ou que inviabilizam atividades.</t>
  </si>
  <si>
    <t>Prioridade NORMAL, pontuação entre 31 e 60, demandas importantes com recursos disponíveis.</t>
  </si>
  <si>
    <t>Prioridade BAIXA, pontuação até 30, demandas de baixo impacto ou ser urgência imediata.</t>
  </si>
  <si>
    <t>PROGRAMAÇÃO DE PROJETOS E ATIVIDADES | GPP | 2022</t>
  </si>
  <si>
    <t>Nº do documento</t>
  </si>
  <si>
    <t>Próximas Etapas / Observações</t>
  </si>
  <si>
    <t>Executado/Em Contratação</t>
  </si>
  <si>
    <t>PROJETOS EM ANDAMENTO E/OU PENDENTES</t>
  </si>
  <si>
    <t>CDPA/SEINFRA</t>
  </si>
  <si>
    <t>Troca Telhado</t>
  </si>
  <si>
    <t>IQ - Instituto de Química</t>
  </si>
  <si>
    <t>DCOM/DLOG</t>
  </si>
  <si>
    <t xml:space="preserve"> Substituição da porta da secretaria da DCOM/DLOG</t>
  </si>
  <si>
    <t>SIM</t>
  </si>
  <si>
    <t>Matheus, Inah, Adriano, Frederico</t>
  </si>
  <si>
    <t>Escola de Agronomia</t>
  </si>
  <si>
    <t>Lames</t>
  </si>
  <si>
    <t>Seinfra</t>
  </si>
  <si>
    <t>Troca telhado SEINFRA</t>
  </si>
  <si>
    <t>Matheus / Inah</t>
  </si>
  <si>
    <t xml:space="preserve"> FAV</t>
  </si>
  <si>
    <t xml:space="preserve"> Estacioamento  FAV</t>
  </si>
  <si>
    <t>Adequação Acessibilidaed EMAC</t>
  </si>
  <si>
    <t>Encaminhando p/ Dir. Obras em 25/09/23</t>
  </si>
  <si>
    <t>DLOG - Diretoria de Logística</t>
  </si>
  <si>
    <t>Projeto Reforma LIBRIS - FIC</t>
  </si>
  <si>
    <t>DESPACHAR</t>
  </si>
  <si>
    <t>Layout</t>
  </si>
  <si>
    <t>Concluído. Aguardando definicação do projeto re reforma do Gabinete (Gerani) que impacta nessas definições</t>
  </si>
  <si>
    <t>Em andamento</t>
  </si>
  <si>
    <t xml:space="preserve"> LACES/ICB</t>
  </si>
  <si>
    <t>Faculdade de Farmácia</t>
  </si>
  <si>
    <t>Encaminhado ao Marcelus em 11/10/23</t>
  </si>
  <si>
    <t>Atribuido a Poliana em 10/08/23. Responder, Alinhar Resposta c/ Poliana. Poliana respondeu e encaminhou a FCT em 14/08/23</t>
  </si>
  <si>
    <t>Parque Tecnológico</t>
  </si>
  <si>
    <t>Layout Matrículas 2ª Chamada</t>
  </si>
  <si>
    <t>PRPI Parque Tecnológico</t>
  </si>
  <si>
    <t>Projeto Lacen</t>
  </si>
  <si>
    <t>Concluída</t>
  </si>
  <si>
    <t>Faculdade de Odontologia</t>
  </si>
  <si>
    <t>Processo Concluído 20/07/23</t>
  </si>
  <si>
    <t>Faculdade de Educação</t>
  </si>
  <si>
    <t>Piso Tátil</t>
  </si>
  <si>
    <t>Faculdade de Medicina</t>
  </si>
  <si>
    <t>Centro de Eventos</t>
  </si>
  <si>
    <t>Visita Projeto de Incêndio</t>
  </si>
  <si>
    <t>CDIM</t>
  </si>
  <si>
    <t>Sinalização de Emergência/ Incêndio</t>
  </si>
  <si>
    <t>Adequações Layout</t>
  </si>
  <si>
    <t>SEPLAN</t>
  </si>
  <si>
    <t>Abertura de Janelas</t>
  </si>
  <si>
    <t>Reforma Camarins</t>
  </si>
  <si>
    <t>Concluído em 12/06/23. Encaminhado o Dir. Obras em 19/06/23</t>
  </si>
  <si>
    <t>FIC/LABCOM</t>
  </si>
  <si>
    <t>Faculdade de Direito</t>
  </si>
  <si>
    <r>
      <rPr>
        <rFont val="Calibri"/>
        <color theme="4"/>
        <sz val="11.0"/>
      </rPr>
      <t xml:space="preserve">Concluído em 24/04/2023. Encaminado p/ Junior em 09/05/2023. </t>
    </r>
    <r>
      <rPr>
        <rFont val="Calibri"/>
        <color theme="4"/>
        <sz val="11.0"/>
      </rPr>
      <t>PRIORITÁRIOS 2023</t>
    </r>
  </si>
  <si>
    <t>Hospital Veterináiro EVZ</t>
  </si>
  <si>
    <t>Matheus/Inah</t>
  </si>
  <si>
    <t>Núcleo  Indígena Takinahaky</t>
  </si>
  <si>
    <t>Regional Goiás</t>
  </si>
  <si>
    <t>Encaminhado a D. Obras em 23/01/23</t>
  </si>
  <si>
    <r>
      <rPr>
        <rFont val="Calibri"/>
        <color theme="4"/>
        <sz val="11.0"/>
      </rPr>
      <t xml:space="preserve">Encaminhado a D. Obras em 12/01/23 </t>
    </r>
    <r>
      <rPr>
        <rFont val="Calibri"/>
        <color theme="4"/>
        <sz val="11.0"/>
      </rPr>
      <t xml:space="preserve"> PRIORITÁRIOS 2023</t>
    </r>
  </si>
  <si>
    <t>Prograd</t>
  </si>
  <si>
    <t>SIASS</t>
  </si>
  <si>
    <t>Projetado / Contratado</t>
  </si>
  <si>
    <t>Ano</t>
  </si>
  <si>
    <t>Projetado</t>
  </si>
  <si>
    <t>Executado/Em contratação</t>
  </si>
  <si>
    <t>Demandas Atendidas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</si>
</sst>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yyyy"/>
    <numFmt numFmtId="166" formatCode="dd/MM/yyyy HH:mm:ss"/>
    <numFmt numFmtId="167" formatCode="dd/MM/yyyy"/>
    <numFmt numFmtId="168" formatCode="d/m/yyyy"/>
    <numFmt numFmtId="169" formatCode="m/d/yyyy h:mm:ss"/>
  </numFmts>
  <fonts count="59">
    <font>
      <sz val="11.0"/>
      <color theme="1"/>
      <name val="Calibri"/>
      <scheme val="minor"/>
    </font>
    <font>
      <b/>
      <sz val="18.0"/>
      <color theme="1"/>
      <name val="Calibri"/>
    </font>
    <font>
      <b/>
      <sz val="16.0"/>
      <color theme="1"/>
      <name val="Calibri"/>
    </font>
    <font>
      <sz val="12.0"/>
      <color theme="1"/>
      <name val="Calibri"/>
    </font>
    <font>
      <b/>
      <sz val="11.0"/>
      <color rgb="FFCCCCCC"/>
      <name val="Calibri"/>
    </font>
    <font>
      <b/>
      <sz val="12.0"/>
      <color theme="0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9BBB59"/>
      <name val="Calibri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rgb="FF0000FF"/>
      <name val="Calibri"/>
    </font>
    <font>
      <sz val="11.0"/>
      <color rgb="FF98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11.0"/>
      <color theme="1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2.0"/>
      <color rgb="FF000000"/>
      <name val="Calibri"/>
    </font>
    <font>
      <sz val="11.0"/>
      <color rgb="FFFF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u/>
      <sz val="11.0"/>
      <color rgb="FF0000FF"/>
      <name val="Calibri"/>
    </font>
    <font>
      <sz val="11.0"/>
      <color rgb="FFF79646"/>
      <name val="Calibri"/>
    </font>
    <font>
      <sz val="11.0"/>
      <color rgb="FFF4CCCC"/>
      <name val="Calibri"/>
    </font>
    <font>
      <sz val="11.0"/>
      <color rgb="FF4F81BD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C0504D"/>
      <name val="Calibri"/>
    </font>
    <font>
      <u/>
      <sz val="11.0"/>
      <color rgb="FF0000FF"/>
      <name val="Calibri"/>
    </font>
    <font>
      <sz val="11.0"/>
      <color rgb="FF8064A2"/>
      <name val="Calibri"/>
    </font>
    <font>
      <u/>
      <sz val="11.0"/>
      <color rgb="FF0000FF"/>
      <name val="Calibri"/>
    </font>
    <font>
      <color theme="1"/>
      <name val="Calibri"/>
    </font>
    <font>
      <color rgb="FF000000"/>
      <name val="Calibri"/>
    </font>
    <font>
      <sz val="11.0"/>
      <color theme="7"/>
      <name val="Calibri"/>
    </font>
    <font>
      <sz val="11.0"/>
      <color theme="6"/>
      <name val="Calibri"/>
    </font>
    <font>
      <sz val="11.0"/>
      <color theme="4"/>
      <name val="Calibri"/>
    </font>
    <font>
      <sz val="11.0"/>
      <color rgb="FFFF9900"/>
      <name val="Calibri"/>
    </font>
    <font>
      <u/>
      <sz val="11.0"/>
      <color rgb="FF0000FF"/>
      <name val="Calibri"/>
    </font>
    <font>
      <b/>
      <sz val="25.0"/>
      <color theme="1"/>
      <name val="Calibri"/>
    </font>
    <font>
      <color theme="1"/>
      <name val="Calibri"/>
      <scheme val="minor"/>
    </font>
    <font>
      <u/>
      <color rgb="FF0000FF"/>
    </font>
    <font>
      <b/>
      <color theme="1"/>
      <name val="Calibri"/>
    </font>
    <font>
      <b/>
      <sz val="14.0"/>
      <color theme="1"/>
      <name val="Calibri"/>
    </font>
    <font>
      <b/>
      <sz val="12.0"/>
      <color rgb="FFFFFFFF"/>
      <name val="Calibri"/>
    </font>
    <font/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0"/>
    </xf>
    <xf borderId="2" fillId="0" fontId="2" numFmtId="0" xfId="0" applyAlignment="1" applyBorder="1" applyFont="1">
      <alignment horizontal="left" shrinkToFit="0" wrapText="0"/>
    </xf>
    <xf borderId="2" fillId="0" fontId="3" numFmtId="0" xfId="0" applyAlignment="1" applyBorder="1" applyFont="1">
      <alignment horizontal="center" shrinkToFit="0" vertical="center" wrapText="0"/>
    </xf>
    <xf borderId="3" fillId="0" fontId="3" numFmtId="166" xfId="0" applyAlignment="1" applyBorder="1" applyFont="1" applyNumberFormat="1">
      <alignment horizontal="center" shrinkToFit="0" vertical="center" wrapText="0"/>
    </xf>
    <xf borderId="4" fillId="2" fontId="4" numFmtId="0" xfId="0" applyAlignment="1" applyBorder="1" applyFill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shrinkToFit="0" vertical="center" wrapText="1"/>
    </xf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right" vertical="bottom"/>
    </xf>
    <xf borderId="10" fillId="4" fontId="6" numFmtId="0" xfId="0" applyAlignment="1" applyBorder="1" applyFill="1" applyFont="1">
      <alignment horizontal="center" shrinkToFit="0" vertical="center" wrapText="1"/>
    </xf>
    <xf borderId="10" fillId="4" fontId="7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horizontal="center" shrinkToFit="0" vertical="center" wrapText="1"/>
    </xf>
    <xf borderId="11" fillId="4" fontId="6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horizontal="center" shrinkToFit="0" vertical="center" wrapText="1"/>
    </xf>
    <xf borderId="10" fillId="2" fontId="9" numFmtId="164" xfId="0" applyAlignment="1" applyBorder="1" applyFont="1" applyNumberFormat="1">
      <alignment horizontal="center" vertical="center"/>
    </xf>
    <xf borderId="10" fillId="5" fontId="9" numFmtId="165" xfId="0" applyAlignment="1" applyBorder="1" applyFill="1" applyFont="1" applyNumberFormat="1">
      <alignment horizontal="center" vertical="center"/>
    </xf>
    <xf borderId="10" fillId="2" fontId="9" numFmtId="0" xfId="0" applyAlignment="1" applyBorder="1" applyFont="1">
      <alignment horizontal="center" shrinkToFit="0" vertical="center" wrapText="1"/>
    </xf>
    <xf borderId="10" fillId="2" fontId="10" numFmtId="0" xfId="0" applyAlignment="1" applyBorder="1" applyFont="1">
      <alignment horizontal="center" shrinkToFit="0" vertical="center" wrapText="1"/>
    </xf>
    <xf borderId="10" fillId="2" fontId="11" numFmtId="0" xfId="0" applyAlignment="1" applyBorder="1" applyFont="1">
      <alignment horizontal="center" vertical="center"/>
    </xf>
    <xf borderId="10" fillId="2" fontId="9" numFmtId="167" xfId="0" applyAlignment="1" applyBorder="1" applyFont="1" applyNumberFormat="1">
      <alignment horizontal="center" vertical="center"/>
    </xf>
    <xf borderId="10" fillId="2" fontId="11" numFmtId="0" xfId="0" applyAlignment="1" applyBorder="1" applyFont="1">
      <alignment horizontal="center" shrinkToFit="0" vertical="center" wrapText="1"/>
    </xf>
    <xf borderId="7" fillId="5" fontId="9" numFmtId="165" xfId="0" applyAlignment="1" applyBorder="1" applyFont="1" applyNumberFormat="1">
      <alignment horizontal="center" vertical="center"/>
    </xf>
    <xf borderId="7" fillId="2" fontId="9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center" shrinkToFit="0" vertical="center" wrapText="1"/>
    </xf>
    <xf borderId="10" fillId="2" fontId="9" numFmtId="0" xfId="0" applyAlignment="1" applyBorder="1" applyFont="1">
      <alignment horizontal="center" vertical="center"/>
    </xf>
    <xf borderId="10" fillId="2" fontId="13" numFmtId="0" xfId="0" applyAlignment="1" applyBorder="1" applyFont="1">
      <alignment horizontal="center" shrinkToFit="0" vertical="center" wrapText="1"/>
    </xf>
    <xf borderId="10" fillId="2" fontId="9" numFmtId="168" xfId="0" applyAlignment="1" applyBorder="1" applyFont="1" applyNumberFormat="1">
      <alignment horizontal="center" vertical="center"/>
    </xf>
    <xf borderId="10" fillId="2" fontId="12" numFmtId="0" xfId="0" applyAlignment="1" applyBorder="1" applyFont="1">
      <alignment horizontal="center" shrinkToFit="0" vertical="center" wrapText="1"/>
    </xf>
    <xf borderId="10" fillId="6" fontId="14" numFmtId="0" xfId="0" applyAlignment="1" applyBorder="1" applyFill="1" applyFont="1">
      <alignment horizontal="center" shrinkToFit="0" vertical="center" wrapText="1"/>
    </xf>
    <xf borderId="10" fillId="6" fontId="9" numFmtId="168" xfId="0" applyAlignment="1" applyBorder="1" applyFont="1" applyNumberFormat="1">
      <alignment horizontal="center" vertical="center"/>
    </xf>
    <xf borderId="10" fillId="6" fontId="9" numFmtId="165" xfId="0" applyAlignment="1" applyBorder="1" applyFont="1" applyNumberFormat="1">
      <alignment horizontal="center" vertical="center"/>
    </xf>
    <xf borderId="10" fillId="6" fontId="9" numFmtId="0" xfId="0" applyAlignment="1" applyBorder="1" applyFont="1">
      <alignment horizontal="center" shrinkToFit="0" vertical="center" wrapText="1"/>
    </xf>
    <xf borderId="10" fillId="6" fontId="10" numFmtId="0" xfId="0" applyAlignment="1" applyBorder="1" applyFont="1">
      <alignment horizontal="center" shrinkToFit="0" vertical="center" wrapText="1"/>
    </xf>
    <xf borderId="10" fillId="6" fontId="11" numFmtId="0" xfId="0" applyAlignment="1" applyBorder="1" applyFont="1">
      <alignment horizontal="center" vertical="center"/>
    </xf>
    <xf borderId="10" fillId="6" fontId="9" numFmtId="167" xfId="0" applyAlignment="1" applyBorder="1" applyFont="1" applyNumberFormat="1">
      <alignment horizontal="center" vertical="center"/>
    </xf>
    <xf borderId="10" fillId="6" fontId="11" numFmtId="0" xfId="0" applyAlignment="1" applyBorder="1" applyFont="1">
      <alignment horizontal="center" shrinkToFit="0" vertical="center" wrapText="1"/>
    </xf>
    <xf borderId="7" fillId="6" fontId="9" numFmtId="165" xfId="0" applyAlignment="1" applyBorder="1" applyFont="1" applyNumberFormat="1">
      <alignment horizontal="center" vertical="center"/>
    </xf>
    <xf borderId="7" fillId="6" fontId="9" numFmtId="0" xfId="0" applyAlignment="1" applyBorder="1" applyFont="1">
      <alignment horizontal="center" vertical="center"/>
    </xf>
    <xf borderId="7" fillId="6" fontId="12" numFmtId="0" xfId="0" applyAlignment="1" applyBorder="1" applyFont="1">
      <alignment horizontal="center" shrinkToFit="0" vertical="center" wrapText="1"/>
    </xf>
    <xf borderId="10" fillId="2" fontId="9" numFmtId="4" xfId="0" applyAlignment="1" applyBorder="1" applyFont="1" applyNumberFormat="1">
      <alignment horizontal="center"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7" fillId="2" fontId="15" numFmtId="0" xfId="0" applyAlignment="1" applyBorder="1" applyFont="1">
      <alignment horizontal="center" shrinkToFit="0" vertical="center" wrapText="1"/>
    </xf>
    <xf borderId="10" fillId="7" fontId="16" numFmtId="0" xfId="0" applyAlignment="1" applyBorder="1" applyFill="1" applyFont="1">
      <alignment horizontal="center" shrinkToFit="0" vertical="center" wrapText="1"/>
    </xf>
    <xf borderId="10" fillId="7" fontId="9" numFmtId="168" xfId="0" applyAlignment="1" applyBorder="1" applyFont="1" applyNumberFormat="1">
      <alignment horizontal="center" vertical="center"/>
    </xf>
    <xf borderId="10" fillId="7" fontId="9" numFmtId="165" xfId="0" applyAlignment="1" applyBorder="1" applyFont="1" applyNumberFormat="1">
      <alignment horizontal="center" vertical="center"/>
    </xf>
    <xf borderId="10" fillId="7" fontId="9" numFmtId="0" xfId="0" applyAlignment="1" applyBorder="1" applyFont="1">
      <alignment horizontal="center" shrinkToFit="0" vertical="center" wrapText="1"/>
    </xf>
    <xf borderId="10" fillId="7" fontId="10" numFmtId="0" xfId="0" applyAlignment="1" applyBorder="1" applyFont="1">
      <alignment horizontal="center" shrinkToFit="0" vertical="center" wrapText="1"/>
    </xf>
    <xf borderId="10" fillId="7" fontId="11" numFmtId="0" xfId="0" applyAlignment="1" applyBorder="1" applyFont="1">
      <alignment horizontal="center" vertical="center"/>
    </xf>
    <xf borderId="10" fillId="7" fontId="9" numFmtId="167" xfId="0" applyAlignment="1" applyBorder="1" applyFont="1" applyNumberFormat="1">
      <alignment horizontal="center" vertical="center"/>
    </xf>
    <xf borderId="10" fillId="7" fontId="11" numFmtId="0" xfId="0" applyAlignment="1" applyBorder="1" applyFont="1">
      <alignment horizontal="center" shrinkToFit="0" vertical="center" wrapText="1"/>
    </xf>
    <xf borderId="7" fillId="7" fontId="9" numFmtId="165" xfId="0" applyAlignment="1" applyBorder="1" applyFont="1" applyNumberFormat="1">
      <alignment horizontal="center" vertical="center"/>
    </xf>
    <xf borderId="7" fillId="7" fontId="9" numFmtId="0" xfId="0" applyAlignment="1" applyBorder="1" applyFont="1">
      <alignment horizontal="center" vertical="center"/>
    </xf>
    <xf borderId="7" fillId="7" fontId="12" numFmtId="0" xfId="0" applyAlignment="1" applyBorder="1" applyFont="1">
      <alignment horizontal="center" shrinkToFit="0" vertical="center" wrapText="1"/>
    </xf>
    <xf borderId="7" fillId="6" fontId="15" numFmtId="0" xfId="0" applyAlignment="1" applyBorder="1" applyFont="1">
      <alignment horizontal="center" shrinkToFit="0" vertical="center" wrapText="1"/>
    </xf>
    <xf borderId="10" fillId="0" fontId="17" numFmtId="0" xfId="0" applyAlignment="1" applyBorder="1" applyFont="1">
      <alignment horizontal="center" shrinkToFit="0" vertical="center" wrapText="1"/>
    </xf>
    <xf borderId="10" fillId="0" fontId="12" numFmtId="167" xfId="0" applyAlignment="1" applyBorder="1" applyFont="1" applyNumberFormat="1">
      <alignment horizontal="center" vertical="center"/>
    </xf>
    <xf borderId="10" fillId="0" fontId="12" numFmtId="165" xfId="0" applyAlignment="1" applyBorder="1" applyFont="1" applyNumberFormat="1">
      <alignment horizontal="center" vertical="center"/>
    </xf>
    <xf borderId="10" fillId="0" fontId="12" numFmtId="0" xfId="0" applyAlignment="1" applyBorder="1" applyFont="1">
      <alignment horizontal="center" vertical="center"/>
    </xf>
    <xf borderId="10" fillId="0" fontId="12" numFmtId="0" xfId="0" applyAlignment="1" applyBorder="1" applyFont="1">
      <alignment horizontal="center" shrinkToFit="0" vertical="center" wrapText="1"/>
    </xf>
    <xf borderId="10" fillId="0" fontId="18" numFmtId="0" xfId="0" applyAlignment="1" applyBorder="1" applyFont="1">
      <alignment horizontal="center" shrinkToFit="0" vertical="center" wrapText="1"/>
    </xf>
    <xf borderId="7" fillId="0" fontId="12" numFmtId="165" xfId="0" applyAlignment="1" applyBorder="1" applyFont="1" applyNumberFormat="1">
      <alignment horizontal="center" vertical="center"/>
    </xf>
    <xf borderId="7" fillId="0" fontId="12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shrinkToFit="0" vertical="center" wrapText="1"/>
    </xf>
    <xf borderId="10" fillId="0" fontId="9" numFmtId="168" xfId="0" applyAlignment="1" applyBorder="1" applyFont="1" applyNumberFormat="1">
      <alignment horizontal="center" vertical="center"/>
    </xf>
    <xf borderId="10" fillId="0" fontId="9" numFmtId="165" xfId="0" applyAlignment="1" applyBorder="1" applyFont="1" applyNumberFormat="1">
      <alignment horizontal="center" vertical="center"/>
    </xf>
    <xf borderId="10" fillId="0" fontId="9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0" fillId="0" fontId="11" numFmtId="0" xfId="0" applyAlignment="1" applyBorder="1" applyFont="1">
      <alignment horizontal="center" vertical="center"/>
    </xf>
    <xf borderId="10" fillId="0" fontId="9" numFmtId="167" xfId="0" applyAlignment="1" applyBorder="1" applyFont="1" applyNumberFormat="1">
      <alignment horizontal="center" vertical="center"/>
    </xf>
    <xf borderId="10" fillId="0" fontId="9" numFmtId="164" xfId="0" applyAlignment="1" applyBorder="1" applyFont="1" applyNumberFormat="1">
      <alignment horizontal="center" vertical="center"/>
    </xf>
    <xf borderId="10" fillId="0" fontId="11" numFmtId="0" xfId="0" applyAlignment="1" applyBorder="1" applyFont="1">
      <alignment horizontal="center" shrinkToFit="0" vertical="center" wrapText="1"/>
    </xf>
    <xf borderId="7" fillId="0" fontId="9" numFmtId="165" xfId="0" applyAlignment="1" applyBorder="1" applyFont="1" applyNumberFormat="1">
      <alignment horizontal="center" vertical="center"/>
    </xf>
    <xf borderId="7" fillId="0" fontId="9" numFmtId="0" xfId="0" applyAlignment="1" applyBorder="1" applyFont="1">
      <alignment horizontal="center" vertical="center"/>
    </xf>
    <xf borderId="10" fillId="2" fontId="19" numFmtId="0" xfId="0" applyAlignment="1" applyBorder="1" applyFont="1">
      <alignment horizontal="center" shrinkToFit="0" vertical="center" wrapText="1"/>
    </xf>
    <xf borderId="10" fillId="8" fontId="20" numFmtId="0" xfId="0" applyAlignment="1" applyBorder="1" applyFill="1" applyFont="1">
      <alignment horizontal="center" shrinkToFit="0" vertical="center" wrapText="1"/>
    </xf>
    <xf borderId="10" fillId="8" fontId="9" numFmtId="164" xfId="0" applyAlignment="1" applyBorder="1" applyFont="1" applyNumberFormat="1">
      <alignment horizontal="center" vertical="center"/>
    </xf>
    <xf borderId="10" fillId="8" fontId="9" numFmtId="165" xfId="0" applyAlignment="1" applyBorder="1" applyFont="1" applyNumberFormat="1">
      <alignment horizontal="center" vertical="center"/>
    </xf>
    <xf borderId="10" fillId="8" fontId="9" numFmtId="0" xfId="0" applyAlignment="1" applyBorder="1" applyFont="1">
      <alignment horizontal="center" shrinkToFit="0" vertical="center" wrapText="1"/>
    </xf>
    <xf borderId="10" fillId="8" fontId="10" numFmtId="0" xfId="0" applyAlignment="1" applyBorder="1" applyFont="1">
      <alignment horizontal="center" shrinkToFit="0" vertical="center" wrapText="1"/>
    </xf>
    <xf borderId="10" fillId="8" fontId="11" numFmtId="0" xfId="0" applyAlignment="1" applyBorder="1" applyFont="1">
      <alignment horizontal="center" vertical="center"/>
    </xf>
    <xf borderId="10" fillId="8" fontId="9" numFmtId="167" xfId="0" applyAlignment="1" applyBorder="1" applyFont="1" applyNumberFormat="1">
      <alignment horizontal="center" vertical="center"/>
    </xf>
    <xf borderId="10" fillId="8" fontId="11" numFmtId="0" xfId="0" applyAlignment="1" applyBorder="1" applyFont="1">
      <alignment horizontal="center" shrinkToFit="0" vertical="center" wrapText="1"/>
    </xf>
    <xf borderId="7" fillId="8" fontId="9" numFmtId="165" xfId="0" applyAlignment="1" applyBorder="1" applyFont="1" applyNumberFormat="1">
      <alignment horizontal="center" vertical="center"/>
    </xf>
    <xf borderId="7" fillId="8" fontId="9" numFmtId="0" xfId="0" applyAlignment="1" applyBorder="1" applyFont="1">
      <alignment horizontal="center" vertical="center"/>
    </xf>
    <xf borderId="7" fillId="8" fontId="12" numFmtId="0" xfId="0" applyAlignment="1" applyBorder="1" applyFont="1">
      <alignment horizontal="center" shrinkToFit="0" vertical="center" wrapText="1"/>
    </xf>
    <xf borderId="10" fillId="5" fontId="21" numFmtId="0" xfId="0" applyAlignment="1" applyBorder="1" applyFont="1">
      <alignment horizontal="center" shrinkToFit="0" vertical="center" wrapText="1"/>
    </xf>
    <xf borderId="10" fillId="5" fontId="9" numFmtId="164" xfId="0" applyAlignment="1" applyBorder="1" applyFont="1" applyNumberFormat="1">
      <alignment horizontal="center" vertical="center"/>
    </xf>
    <xf borderId="10" fillId="5" fontId="9" numFmtId="0" xfId="0" applyAlignment="1" applyBorder="1" applyFont="1">
      <alignment horizontal="center" shrinkToFit="0" vertical="center" wrapText="1"/>
    </xf>
    <xf borderId="10" fillId="5" fontId="10" numFmtId="0" xfId="0" applyAlignment="1" applyBorder="1" applyFont="1">
      <alignment horizontal="center" shrinkToFit="0" vertical="center" wrapText="1"/>
    </xf>
    <xf borderId="10" fillId="5" fontId="11" numFmtId="0" xfId="0" applyAlignment="1" applyBorder="1" applyFont="1">
      <alignment horizontal="center" vertical="center"/>
    </xf>
    <xf borderId="10" fillId="5" fontId="9" numFmtId="167" xfId="0" applyAlignment="1" applyBorder="1" applyFont="1" applyNumberFormat="1">
      <alignment horizontal="center" vertical="center"/>
    </xf>
    <xf borderId="10" fillId="5" fontId="11" numFmtId="0" xfId="0" applyAlignment="1" applyBorder="1" applyFont="1">
      <alignment horizontal="center" shrinkToFit="0" vertical="center" wrapText="1"/>
    </xf>
    <xf borderId="7" fillId="5" fontId="9" numFmtId="0" xfId="0" applyAlignment="1" applyBorder="1" applyFont="1">
      <alignment horizontal="center" vertical="center"/>
    </xf>
    <xf borderId="7" fillId="5" fontId="15" numFmtId="0" xfId="0" applyAlignment="1" applyBorder="1" applyFont="1">
      <alignment horizontal="center" shrinkToFit="0" vertical="center" wrapText="1"/>
    </xf>
    <xf borderId="7" fillId="8" fontId="9" numFmtId="0" xfId="0" applyAlignment="1" applyBorder="1" applyFont="1">
      <alignment horizontal="center" shrinkToFit="0" vertical="center" wrapText="1"/>
    </xf>
    <xf borderId="7" fillId="5" fontId="9" numFmtId="0" xfId="0" applyAlignment="1" applyBorder="1" applyFont="1">
      <alignment horizontal="center" shrinkToFit="0" vertical="center" wrapText="1"/>
    </xf>
    <xf borderId="10" fillId="9" fontId="22" numFmtId="0" xfId="0" applyAlignment="1" applyBorder="1" applyFill="1" applyFont="1">
      <alignment horizontal="center" shrinkToFit="0" vertical="center" wrapText="1"/>
    </xf>
    <xf borderId="10" fillId="9" fontId="9" numFmtId="164" xfId="0" applyAlignment="1" applyBorder="1" applyFont="1" applyNumberFormat="1">
      <alignment horizontal="center" vertical="center"/>
    </xf>
    <xf borderId="10" fillId="9" fontId="9" numFmtId="165" xfId="0" applyAlignment="1" applyBorder="1" applyFont="1" applyNumberFormat="1">
      <alignment horizontal="center" vertical="center"/>
    </xf>
    <xf borderId="10" fillId="9" fontId="9" numFmtId="0" xfId="0" applyAlignment="1" applyBorder="1" applyFont="1">
      <alignment horizontal="center" shrinkToFit="0" vertical="center" wrapText="1"/>
    </xf>
    <xf borderId="10" fillId="9" fontId="10" numFmtId="0" xfId="0" applyAlignment="1" applyBorder="1" applyFont="1">
      <alignment horizontal="center" shrinkToFit="0" vertical="center" wrapText="1"/>
    </xf>
    <xf borderId="10" fillId="9" fontId="11" numFmtId="0" xfId="0" applyAlignment="1" applyBorder="1" applyFont="1">
      <alignment horizontal="center" vertical="center"/>
    </xf>
    <xf borderId="10" fillId="9" fontId="9" numFmtId="167" xfId="0" applyAlignment="1" applyBorder="1" applyFont="1" applyNumberFormat="1">
      <alignment horizontal="center" vertical="center"/>
    </xf>
    <xf borderId="10" fillId="9" fontId="11" numFmtId="0" xfId="0" applyAlignment="1" applyBorder="1" applyFont="1">
      <alignment horizontal="center" shrinkToFit="0" vertical="center" wrapText="1"/>
    </xf>
    <xf borderId="7" fillId="9" fontId="9" numFmtId="165" xfId="0" applyAlignment="1" applyBorder="1" applyFont="1" applyNumberFormat="1">
      <alignment horizontal="center" vertical="center"/>
    </xf>
    <xf borderId="7" fillId="9" fontId="9" numFmtId="0" xfId="0" applyAlignment="1" applyBorder="1" applyFont="1">
      <alignment horizontal="center" vertical="center"/>
    </xf>
    <xf borderId="7" fillId="9" fontId="9" numFmtId="0" xfId="0" applyAlignment="1" applyBorder="1" applyFont="1">
      <alignment horizontal="center" shrinkToFit="0" vertical="center" wrapText="1"/>
    </xf>
    <xf borderId="10" fillId="2" fontId="9" numFmtId="165" xfId="0" applyAlignment="1" applyBorder="1" applyFont="1" applyNumberFormat="1">
      <alignment horizontal="center" vertical="center"/>
    </xf>
    <xf borderId="10" fillId="5" fontId="12" numFmtId="0" xfId="0" applyAlignment="1" applyBorder="1" applyFont="1">
      <alignment horizontal="center" shrinkToFit="0" vertical="center" wrapText="1"/>
    </xf>
    <xf borderId="10" fillId="5" fontId="9" numFmtId="0" xfId="0" applyAlignment="1" applyBorder="1" applyFont="1">
      <alignment horizontal="center" vertical="center"/>
    </xf>
    <xf borderId="10" fillId="8" fontId="9" numFmtId="0" xfId="0" applyAlignment="1" applyBorder="1" applyFont="1">
      <alignment horizontal="center" vertical="center"/>
    </xf>
    <xf borderId="10" fillId="10" fontId="23" numFmtId="0" xfId="0" applyAlignment="1" applyBorder="1" applyFill="1" applyFont="1">
      <alignment horizontal="center" shrinkToFit="0" vertical="center" wrapText="1"/>
    </xf>
    <xf borderId="10" fillId="10" fontId="9" numFmtId="167" xfId="0" applyAlignment="1" applyBorder="1" applyFont="1" applyNumberFormat="1">
      <alignment horizontal="center" vertical="center"/>
    </xf>
    <xf borderId="10" fillId="10" fontId="9" numFmtId="165" xfId="0" applyAlignment="1" applyBorder="1" applyFont="1" applyNumberFormat="1">
      <alignment horizontal="center" vertical="center"/>
    </xf>
    <xf borderId="10" fillId="10" fontId="9" numFmtId="0" xfId="0" applyAlignment="1" applyBorder="1" applyFont="1">
      <alignment horizontal="center" vertical="center"/>
    </xf>
    <xf borderId="10" fillId="10" fontId="9" numFmtId="0" xfId="0" applyAlignment="1" applyBorder="1" applyFont="1">
      <alignment horizontal="center" shrinkToFit="0" vertical="center" wrapText="1"/>
    </xf>
    <xf borderId="10" fillId="10" fontId="10" numFmtId="0" xfId="0" applyAlignment="1" applyBorder="1" applyFont="1">
      <alignment horizontal="center" shrinkToFit="0" vertical="center" wrapText="1"/>
    </xf>
    <xf borderId="10" fillId="10" fontId="11" numFmtId="0" xfId="0" applyAlignment="1" applyBorder="1" applyFont="1">
      <alignment horizontal="center" vertical="center"/>
    </xf>
    <xf borderId="10" fillId="10" fontId="11" numFmtId="0" xfId="0" applyAlignment="1" applyBorder="1" applyFont="1">
      <alignment horizontal="center" shrinkToFit="0" vertical="center" wrapText="1"/>
    </xf>
    <xf borderId="7" fillId="10" fontId="9" numFmtId="165" xfId="0" applyAlignment="1" applyBorder="1" applyFont="1" applyNumberFormat="1">
      <alignment horizontal="center" vertical="center"/>
    </xf>
    <xf borderId="7" fillId="10" fontId="9" numFmtId="0" xfId="0" applyAlignment="1" applyBorder="1" applyFont="1">
      <alignment horizontal="center" vertical="center"/>
    </xf>
    <xf borderId="7" fillId="10" fontId="9" numFmtId="0" xfId="0" applyAlignment="1" applyBorder="1" applyFont="1">
      <alignment horizontal="center" shrinkToFit="0" vertical="center" wrapText="1"/>
    </xf>
    <xf borderId="7" fillId="2" fontId="9" numFmtId="165" xfId="0" applyAlignment="1" applyBorder="1" applyFont="1" applyNumberFormat="1">
      <alignment horizontal="center" vertical="center"/>
    </xf>
    <xf borderId="10" fillId="11" fontId="24" numFmtId="0" xfId="0" applyAlignment="1" applyBorder="1" applyFill="1" applyFont="1">
      <alignment horizontal="center" shrinkToFit="0" vertical="center" wrapText="1"/>
    </xf>
    <xf borderId="10" fillId="11" fontId="9" numFmtId="167" xfId="0" applyAlignment="1" applyBorder="1" applyFont="1" applyNumberFormat="1">
      <alignment horizontal="center" vertical="center"/>
    </xf>
    <xf borderId="10" fillId="11" fontId="9" numFmtId="165" xfId="0" applyAlignment="1" applyBorder="1" applyFont="1" applyNumberFormat="1">
      <alignment horizontal="center" vertical="center"/>
    </xf>
    <xf borderId="10" fillId="11" fontId="9" numFmtId="0" xfId="0" applyAlignment="1" applyBorder="1" applyFont="1">
      <alignment horizontal="center" vertical="center"/>
    </xf>
    <xf borderId="10" fillId="11" fontId="9" numFmtId="0" xfId="0" applyAlignment="1" applyBorder="1" applyFont="1">
      <alignment horizontal="center" shrinkToFit="0" vertical="center" wrapText="1"/>
    </xf>
    <xf borderId="10" fillId="11" fontId="10" numFmtId="0" xfId="0" applyAlignment="1" applyBorder="1" applyFont="1">
      <alignment horizontal="center" shrinkToFit="0" vertical="center" wrapText="1"/>
    </xf>
    <xf borderId="10" fillId="11" fontId="11" numFmtId="0" xfId="0" applyAlignment="1" applyBorder="1" applyFont="1">
      <alignment horizontal="center" vertical="center"/>
    </xf>
    <xf borderId="10" fillId="11" fontId="11" numFmtId="0" xfId="0" applyAlignment="1" applyBorder="1" applyFont="1">
      <alignment horizontal="center" shrinkToFit="0" vertical="center" wrapText="1"/>
    </xf>
    <xf borderId="7" fillId="11" fontId="9" numFmtId="165" xfId="0" applyAlignment="1" applyBorder="1" applyFont="1" applyNumberFormat="1">
      <alignment horizontal="center" vertical="center"/>
    </xf>
    <xf borderId="7" fillId="11" fontId="9" numFmtId="0" xfId="0" applyAlignment="1" applyBorder="1" applyFont="1">
      <alignment horizontal="center" vertical="center"/>
    </xf>
    <xf borderId="7" fillId="11" fontId="9" numFmtId="0" xfId="0" applyAlignment="1" applyBorder="1" applyFont="1">
      <alignment horizontal="center" shrinkToFit="0" vertical="center" wrapText="1"/>
    </xf>
    <xf borderId="7" fillId="2" fontId="9" numFmtId="167" xfId="0" applyAlignment="1" applyBorder="1" applyFont="1" applyNumberFormat="1">
      <alignment horizontal="center" vertical="center"/>
    </xf>
    <xf borderId="7" fillId="8" fontId="9" numFmtId="167" xfId="0" applyAlignment="1" applyBorder="1" applyFont="1" applyNumberFormat="1">
      <alignment horizontal="center" vertical="center"/>
    </xf>
    <xf borderId="10" fillId="11" fontId="25" numFmtId="167" xfId="0" applyAlignment="1" applyBorder="1" applyFont="1" applyNumberFormat="1">
      <alignment horizontal="center" vertical="center"/>
    </xf>
    <xf borderId="10" fillId="9" fontId="9" numFmtId="0" xfId="0" applyAlignment="1" applyBorder="1" applyFont="1">
      <alignment horizontal="center" vertical="center"/>
    </xf>
    <xf borderId="7" fillId="9" fontId="9" numFmtId="167" xfId="0" applyAlignment="1" applyBorder="1" applyFont="1" applyNumberFormat="1">
      <alignment horizontal="center" vertical="center"/>
    </xf>
    <xf borderId="7" fillId="11" fontId="26" numFmtId="0" xfId="0" applyAlignment="1" applyBorder="1" applyFont="1">
      <alignment horizontal="center" shrinkToFit="0" vertical="center" wrapText="1"/>
    </xf>
    <xf borderId="12" fillId="2" fontId="27" numFmtId="0" xfId="0" applyAlignment="1" applyBorder="1" applyFont="1">
      <alignment horizontal="center" shrinkToFit="0" vertical="center" wrapText="1"/>
    </xf>
    <xf borderId="12" fillId="2" fontId="9" numFmtId="167" xfId="0" applyAlignment="1" applyBorder="1" applyFont="1" applyNumberFormat="1">
      <alignment horizontal="center" vertical="center"/>
    </xf>
    <xf borderId="12" fillId="2" fontId="9" numFmtId="0" xfId="0" applyAlignment="1" applyBorder="1" applyFont="1">
      <alignment horizontal="center" shrinkToFit="0" vertical="center" wrapText="1"/>
    </xf>
    <xf borderId="12" fillId="2" fontId="10" numFmtId="0" xfId="0" applyAlignment="1" applyBorder="1" applyFont="1">
      <alignment horizontal="center" shrinkToFit="0" vertical="center" wrapText="1"/>
    </xf>
    <xf borderId="12" fillId="2" fontId="11" numFmtId="0" xfId="0" applyAlignment="1" applyBorder="1" applyFont="1">
      <alignment horizontal="center" vertical="center"/>
    </xf>
    <xf borderId="12" fillId="2" fontId="11" numFmtId="0" xfId="0" applyAlignment="1" applyBorder="1" applyFont="1">
      <alignment horizontal="center" shrinkToFit="0" vertical="center" wrapText="1"/>
    </xf>
    <xf borderId="12" fillId="10" fontId="28" numFmtId="0" xfId="0" applyAlignment="1" applyBorder="1" applyFont="1">
      <alignment horizontal="center" shrinkToFit="0" vertical="center" wrapText="1"/>
    </xf>
    <xf borderId="12" fillId="10" fontId="9" numFmtId="167" xfId="0" applyAlignment="1" applyBorder="1" applyFont="1" applyNumberFormat="1">
      <alignment horizontal="center" vertical="center"/>
    </xf>
    <xf borderId="12" fillId="10" fontId="9" numFmtId="0" xfId="0" applyAlignment="1" applyBorder="1" applyFont="1">
      <alignment horizontal="center" shrinkToFit="0" vertical="center" wrapText="1"/>
    </xf>
    <xf borderId="12" fillId="10" fontId="10" numFmtId="0" xfId="0" applyAlignment="1" applyBorder="1" applyFont="1">
      <alignment horizontal="center" shrinkToFit="0" vertical="center" wrapText="1"/>
    </xf>
    <xf borderId="12" fillId="10" fontId="11" numFmtId="0" xfId="0" applyAlignment="1" applyBorder="1" applyFont="1">
      <alignment horizontal="center" vertical="center"/>
    </xf>
    <xf borderId="12" fillId="10" fontId="9" numFmtId="167" xfId="0" applyAlignment="1" applyBorder="1" applyFont="1" applyNumberFormat="1">
      <alignment horizontal="right" vertical="center"/>
    </xf>
    <xf borderId="12" fillId="10" fontId="11" numFmtId="0" xfId="0" applyAlignment="1" applyBorder="1" applyFont="1">
      <alignment horizontal="center" shrinkToFit="0" vertical="center" wrapText="1"/>
    </xf>
    <xf borderId="12" fillId="10" fontId="9" numFmtId="0" xfId="0" applyAlignment="1" applyBorder="1" applyFont="1">
      <alignment horizontal="center" vertical="center"/>
    </xf>
    <xf borderId="12" fillId="9" fontId="29" numFmtId="0" xfId="0" applyAlignment="1" applyBorder="1" applyFont="1">
      <alignment horizontal="center" shrinkToFit="0" vertical="center" wrapText="1"/>
    </xf>
    <xf borderId="12" fillId="9" fontId="9" numFmtId="167" xfId="0" applyAlignment="1" applyBorder="1" applyFont="1" applyNumberFormat="1">
      <alignment horizontal="center" vertical="center"/>
    </xf>
    <xf borderId="12" fillId="9" fontId="9" numFmtId="0" xfId="0" applyAlignment="1" applyBorder="1" applyFont="1">
      <alignment horizontal="center" shrinkToFit="0" vertical="center" wrapText="1"/>
    </xf>
    <xf borderId="12" fillId="9" fontId="10" numFmtId="0" xfId="0" applyAlignment="1" applyBorder="1" applyFont="1">
      <alignment horizontal="center" shrinkToFit="0" vertical="center" wrapText="1"/>
    </xf>
    <xf borderId="12" fillId="9" fontId="11" numFmtId="0" xfId="0" applyAlignment="1" applyBorder="1" applyFont="1">
      <alignment horizontal="center" vertical="center"/>
    </xf>
    <xf borderId="12" fillId="9" fontId="11" numFmtId="0" xfId="0" applyAlignment="1" applyBorder="1" applyFont="1">
      <alignment horizontal="center" shrinkToFit="0" vertical="center" wrapText="1"/>
    </xf>
    <xf borderId="13" fillId="9" fontId="9" numFmtId="0" xfId="0" applyAlignment="1" applyBorder="1" applyFont="1">
      <alignment horizontal="center" shrinkToFit="0" vertical="center" wrapText="1"/>
    </xf>
    <xf borderId="12" fillId="8" fontId="30" numFmtId="0" xfId="0" applyAlignment="1" applyBorder="1" applyFont="1">
      <alignment horizontal="center" shrinkToFit="0" vertical="center" wrapText="1"/>
    </xf>
    <xf borderId="12" fillId="8" fontId="9" numFmtId="167" xfId="0" applyAlignment="1" applyBorder="1" applyFont="1" applyNumberFormat="1">
      <alignment horizontal="center" vertical="center"/>
    </xf>
    <xf borderId="12" fillId="8" fontId="9" numFmtId="0" xfId="0" applyAlignment="1" applyBorder="1" applyFont="1">
      <alignment horizontal="center" shrinkToFit="0" vertical="center" wrapText="1"/>
    </xf>
    <xf borderId="12" fillId="8" fontId="10" numFmtId="0" xfId="0" applyAlignment="1" applyBorder="1" applyFont="1">
      <alignment horizontal="center" shrinkToFit="0" vertical="center" wrapText="1"/>
    </xf>
    <xf borderId="12" fillId="8" fontId="11" numFmtId="0" xfId="0" applyAlignment="1" applyBorder="1" applyFont="1">
      <alignment horizontal="center" vertical="center"/>
    </xf>
    <xf borderId="12" fillId="8" fontId="11" numFmtId="0" xfId="0" applyAlignment="1" applyBorder="1" applyFont="1">
      <alignment horizontal="center" shrinkToFit="0" vertical="center" wrapText="1"/>
    </xf>
    <xf borderId="12" fillId="8" fontId="9" numFmtId="0" xfId="0" applyAlignment="1" applyBorder="1" applyFont="1">
      <alignment horizontal="center" vertical="center"/>
    </xf>
    <xf borderId="12" fillId="2" fontId="9" numFmtId="0" xfId="0" applyAlignment="1" applyBorder="1" applyFont="1">
      <alignment horizontal="center" vertical="center"/>
    </xf>
    <xf borderId="12" fillId="0" fontId="31" numFmtId="0" xfId="0" applyAlignment="1" applyBorder="1" applyFont="1">
      <alignment horizontal="center" shrinkToFit="0" vertical="center" wrapText="1"/>
    </xf>
    <xf borderId="12" fillId="0" fontId="9" numFmtId="167" xfId="0" applyAlignment="1" applyBorder="1" applyFont="1" applyNumberFormat="1">
      <alignment horizontal="center" vertical="center"/>
    </xf>
    <xf borderId="12" fillId="0" fontId="9" numFmtId="0" xfId="0" applyAlignment="1" applyBorder="1" applyFont="1">
      <alignment horizontal="center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vertical="center"/>
    </xf>
    <xf borderId="12" fillId="5" fontId="32" numFmtId="0" xfId="0" applyAlignment="1" applyBorder="1" applyFont="1">
      <alignment horizontal="center" shrinkToFit="0" vertical="center" wrapText="1"/>
    </xf>
    <xf borderId="12" fillId="5" fontId="9" numFmtId="167" xfId="0" applyAlignment="1" applyBorder="1" applyFont="1" applyNumberFormat="1">
      <alignment horizontal="center" vertical="center"/>
    </xf>
    <xf borderId="12" fillId="5" fontId="9" numFmtId="0" xfId="0" applyAlignment="1" applyBorder="1" applyFont="1">
      <alignment horizontal="center" shrinkToFit="0" vertical="center" wrapText="1"/>
    </xf>
    <xf borderId="12" fillId="5" fontId="10" numFmtId="0" xfId="0" applyAlignment="1" applyBorder="1" applyFont="1">
      <alignment horizontal="center" shrinkToFit="0" vertical="center" wrapText="1"/>
    </xf>
    <xf borderId="12" fillId="5" fontId="11" numFmtId="0" xfId="0" applyAlignment="1" applyBorder="1" applyFont="1">
      <alignment horizontal="center" vertical="center"/>
    </xf>
    <xf borderId="12" fillId="5" fontId="11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12" fillId="10" fontId="15" numFmtId="0" xfId="0" applyAlignment="1" applyBorder="1" applyFont="1">
      <alignment horizontal="center" shrinkToFit="0" vertical="center" wrapText="1"/>
    </xf>
    <xf borderId="12" fillId="0" fontId="33" numFmtId="0" xfId="0" applyAlignment="1" applyBorder="1" applyFont="1">
      <alignment horizontal="center" shrinkToFit="0" vertical="center" wrapText="1"/>
    </xf>
    <xf borderId="12" fillId="8" fontId="15" numFmtId="0" xfId="0" applyAlignment="1" applyBorder="1" applyFont="1">
      <alignment horizontal="center" shrinkToFit="0" vertical="center" wrapText="1"/>
    </xf>
    <xf borderId="12" fillId="0" fontId="34" numFmtId="0" xfId="0" applyAlignment="1" applyBorder="1" applyFont="1">
      <alignment horizontal="center" vertical="center"/>
    </xf>
    <xf borderId="12" fillId="0" fontId="34" numFmtId="0" xfId="0" applyAlignment="1" applyBorder="1" applyFont="1">
      <alignment horizontal="center" shrinkToFit="0" vertical="center" wrapText="1"/>
    </xf>
    <xf borderId="12" fillId="0" fontId="35" numFmtId="0" xfId="0" applyAlignment="1" applyBorder="1" applyFont="1">
      <alignment horizontal="center" vertical="center"/>
    </xf>
    <xf borderId="12" fillId="0" fontId="9" numFmtId="164" xfId="0" applyAlignment="1" applyBorder="1" applyFont="1" applyNumberFormat="1">
      <alignment horizontal="center" vertical="center"/>
    </xf>
    <xf borderId="12" fillId="10" fontId="34" numFmtId="0" xfId="0" applyAlignment="1" applyBorder="1" applyFont="1">
      <alignment horizontal="center" vertical="center"/>
    </xf>
    <xf borderId="12" fillId="10" fontId="34" numFmtId="0" xfId="0" applyAlignment="1" applyBorder="1" applyFont="1">
      <alignment horizontal="center" shrinkToFit="0" vertical="center" wrapText="1"/>
    </xf>
    <xf borderId="12" fillId="0" fontId="25" numFmtId="167" xfId="0" applyAlignment="1" applyBorder="1" applyFont="1" applyNumberFormat="1">
      <alignment horizontal="center" vertical="center"/>
    </xf>
    <xf borderId="12" fillId="0" fontId="36" numFmtId="0" xfId="0" applyAlignment="1" applyBorder="1" applyFont="1">
      <alignment horizontal="center" vertical="center"/>
    </xf>
    <xf borderId="12" fillId="0" fontId="36" numFmtId="0" xfId="0" applyAlignment="1" applyBorder="1" applyFont="1">
      <alignment horizontal="center" shrinkToFit="0" vertical="center" wrapText="1"/>
    </xf>
    <xf borderId="13" fillId="0" fontId="36" numFmtId="0" xfId="0" applyAlignment="1" applyBorder="1" applyFont="1">
      <alignment horizontal="center" vertical="center"/>
    </xf>
    <xf borderId="13" fillId="0" fontId="9" numFmtId="167" xfId="0" applyAlignment="1" applyBorder="1" applyFont="1" applyNumberFormat="1">
      <alignment horizontal="center" vertical="center"/>
    </xf>
    <xf borderId="13" fillId="0" fontId="36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2" fillId="0" fontId="9" numFmtId="4" xfId="0" applyAlignment="1" applyBorder="1" applyFont="1" applyNumberFormat="1">
      <alignment horizontal="center" shrinkToFit="0" vertical="center" wrapText="1"/>
    </xf>
    <xf borderId="13" fillId="5" fontId="37" numFmtId="0" xfId="0" applyAlignment="1" applyBorder="1" applyFont="1">
      <alignment horizontal="center" shrinkToFit="0" vertical="center" wrapText="1"/>
    </xf>
    <xf borderId="13" fillId="5" fontId="9" numFmtId="167" xfId="0" applyAlignment="1" applyBorder="1" applyFont="1" applyNumberFormat="1">
      <alignment horizontal="center" vertical="center"/>
    </xf>
    <xf borderId="13" fillId="5" fontId="9" numFmtId="0" xfId="0" applyAlignment="1" applyBorder="1" applyFont="1">
      <alignment horizontal="center" shrinkToFit="0" vertical="center" wrapText="1"/>
    </xf>
    <xf borderId="13" fillId="5" fontId="10" numFmtId="0" xfId="0" applyAlignment="1" applyBorder="1" applyFont="1">
      <alignment horizontal="center" shrinkToFit="0" vertical="center" wrapText="1"/>
    </xf>
    <xf borderId="13" fillId="5" fontId="36" numFmtId="0" xfId="0" applyAlignment="1" applyBorder="1" applyFont="1">
      <alignment horizontal="center" vertical="center"/>
    </xf>
    <xf borderId="13" fillId="5" fontId="36" numFmtId="0" xfId="0" applyAlignment="1" applyBorder="1" applyFont="1">
      <alignment horizontal="center" shrinkToFit="0" vertical="center" wrapText="1"/>
    </xf>
    <xf borderId="13" fillId="9" fontId="38" numFmtId="0" xfId="0" applyAlignment="1" applyBorder="1" applyFont="1">
      <alignment horizontal="center" shrinkToFit="0" vertical="center" wrapText="1"/>
    </xf>
    <xf borderId="13" fillId="9" fontId="9" numFmtId="167" xfId="0" applyAlignment="1" applyBorder="1" applyFont="1" applyNumberFormat="1">
      <alignment horizontal="center" vertical="center"/>
    </xf>
    <xf borderId="13" fillId="9" fontId="10" numFmtId="0" xfId="0" applyAlignment="1" applyBorder="1" applyFont="1">
      <alignment horizontal="center" shrinkToFit="0" vertical="center" wrapText="1"/>
    </xf>
    <xf borderId="13" fillId="9" fontId="36" numFmtId="0" xfId="0" applyAlignment="1" applyBorder="1" applyFont="1">
      <alignment horizontal="center" vertical="center"/>
    </xf>
    <xf borderId="13" fillId="9" fontId="36" numFmtId="0" xfId="0" applyAlignment="1" applyBorder="1" applyFont="1">
      <alignment horizontal="center" shrinkToFit="0" vertical="center" wrapText="1"/>
    </xf>
    <xf borderId="12" fillId="2" fontId="9" numFmtId="165" xfId="0" applyAlignment="1" applyBorder="1" applyFont="1" applyNumberFormat="1">
      <alignment horizontal="center" vertical="center"/>
    </xf>
    <xf borderId="12" fillId="5" fontId="36" numFmtId="0" xfId="0" applyAlignment="1" applyBorder="1" applyFont="1">
      <alignment horizontal="center" vertical="center"/>
    </xf>
    <xf borderId="12" fillId="5" fontId="36" numFmtId="0" xfId="0" applyAlignment="1" applyBorder="1" applyFont="1">
      <alignment horizontal="center" shrinkToFit="0" vertical="center" wrapText="1"/>
    </xf>
    <xf borderId="13" fillId="2" fontId="39" numFmtId="0" xfId="0" applyAlignment="1" applyBorder="1" applyFont="1">
      <alignment horizontal="center" shrinkToFit="0" vertical="center" wrapText="1"/>
    </xf>
    <xf borderId="13" fillId="2" fontId="9" numFmtId="167" xfId="0" applyAlignment="1" applyBorder="1" applyFont="1" applyNumberFormat="1">
      <alignment horizontal="center" vertical="center"/>
    </xf>
    <xf borderId="13" fillId="2" fontId="9" numFmtId="0" xfId="0" applyAlignment="1" applyBorder="1" applyFont="1">
      <alignment horizontal="center" shrinkToFit="0" vertical="center" wrapText="1"/>
    </xf>
    <xf borderId="13" fillId="2" fontId="10" numFmtId="0" xfId="0" applyAlignment="1" applyBorder="1" applyFont="1">
      <alignment horizontal="center" shrinkToFit="0" vertical="center" wrapText="1"/>
    </xf>
    <xf borderId="13" fillId="2" fontId="36" numFmtId="0" xfId="0" applyAlignment="1" applyBorder="1" applyFont="1">
      <alignment horizontal="center" vertical="center"/>
    </xf>
    <xf borderId="13" fillId="2" fontId="36" numFmtId="0" xfId="0" applyAlignment="1" applyBorder="1" applyFont="1">
      <alignment horizontal="center" shrinkToFit="0" vertical="center" wrapText="1"/>
    </xf>
    <xf borderId="13" fillId="10" fontId="40" numFmtId="0" xfId="0" applyAlignment="1" applyBorder="1" applyFont="1">
      <alignment horizontal="center" shrinkToFit="0" vertical="center" wrapText="1"/>
    </xf>
    <xf borderId="13" fillId="10" fontId="9" numFmtId="167" xfId="0" applyAlignment="1" applyBorder="1" applyFont="1" applyNumberFormat="1">
      <alignment horizontal="center" vertical="center"/>
    </xf>
    <xf borderId="13" fillId="10" fontId="9" numFmtId="0" xfId="0" applyAlignment="1" applyBorder="1" applyFont="1">
      <alignment horizontal="center" shrinkToFit="0" vertical="center" wrapText="1"/>
    </xf>
    <xf borderId="13" fillId="10" fontId="10" numFmtId="0" xfId="0" applyAlignment="1" applyBorder="1" applyFont="1">
      <alignment horizontal="center" shrinkToFit="0" vertical="center" wrapText="1"/>
    </xf>
    <xf borderId="13" fillId="10" fontId="36" numFmtId="0" xfId="0" applyAlignment="1" applyBorder="1" applyFont="1">
      <alignment horizontal="center" vertical="center"/>
    </xf>
    <xf borderId="13" fillId="10" fontId="36" numFmtId="0" xfId="0" applyAlignment="1" applyBorder="1" applyFont="1">
      <alignment horizontal="center" shrinkToFit="0" vertical="center" wrapText="1"/>
    </xf>
    <xf borderId="13" fillId="2" fontId="41" numFmtId="0" xfId="0" applyAlignment="1" applyBorder="1" applyFont="1">
      <alignment horizontal="center" vertical="center"/>
    </xf>
    <xf borderId="13" fillId="2" fontId="41" numFmtId="0" xfId="0" applyAlignment="1" applyBorder="1" applyFont="1">
      <alignment horizontal="center" shrinkToFit="0" vertical="center" wrapText="1"/>
    </xf>
    <xf borderId="13" fillId="0" fontId="12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13" fillId="0" fontId="42" numFmtId="0" xfId="0" applyAlignment="1" applyBorder="1" applyFont="1">
      <alignment horizontal="center" shrinkToFit="0" vertical="center" wrapText="1"/>
    </xf>
    <xf borderId="12" fillId="8" fontId="36" numFmtId="0" xfId="0" applyAlignment="1" applyBorder="1" applyFont="1">
      <alignment horizontal="center" vertical="center"/>
    </xf>
    <xf borderId="12" fillId="8" fontId="36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vertical="center"/>
    </xf>
    <xf borderId="13" fillId="9" fontId="9" numFmtId="0" xfId="0" applyAlignment="1" applyBorder="1" applyFont="1">
      <alignment horizontal="center" vertical="center"/>
    </xf>
    <xf borderId="13" fillId="0" fontId="9" numFmtId="164" xfId="0" applyAlignment="1" applyBorder="1" applyFont="1" applyNumberFormat="1">
      <alignment horizontal="center" vertical="center"/>
    </xf>
    <xf borderId="12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shrinkToFit="0" vertical="center" wrapText="1"/>
    </xf>
    <xf borderId="12" fillId="2" fontId="41" numFmtId="0" xfId="0" applyAlignment="1" applyBorder="1" applyFont="1">
      <alignment horizontal="center" vertical="center"/>
    </xf>
    <xf borderId="12" fillId="2" fontId="41" numFmtId="0" xfId="0" applyAlignment="1" applyBorder="1" applyFont="1">
      <alignment horizontal="center" shrinkToFit="0" vertical="center" wrapText="1"/>
    </xf>
    <xf borderId="12" fillId="0" fontId="43" numFmtId="0" xfId="0" applyAlignment="1" applyBorder="1" applyFont="1">
      <alignment horizontal="center" vertical="center"/>
    </xf>
    <xf borderId="12" fillId="0" fontId="43" numFmtId="0" xfId="0" applyAlignment="1" applyBorder="1" applyFont="1">
      <alignment horizontal="center" shrinkToFit="0" vertical="center" wrapText="1"/>
    </xf>
    <xf borderId="12" fillId="10" fontId="9" numFmtId="165" xfId="0" applyAlignment="1" applyBorder="1" applyFont="1" applyNumberFormat="1">
      <alignment horizontal="center" vertical="center"/>
    </xf>
    <xf borderId="12" fillId="10" fontId="43" numFmtId="0" xfId="0" applyAlignment="1" applyBorder="1" applyFont="1">
      <alignment horizontal="center" vertical="center"/>
    </xf>
    <xf borderId="12" fillId="10" fontId="43" numFmtId="0" xfId="0" applyAlignment="1" applyBorder="1" applyFont="1">
      <alignment horizontal="center" shrinkToFit="0" vertical="center" wrapText="1"/>
    </xf>
    <xf borderId="12" fillId="12" fontId="44" numFmtId="0" xfId="0" applyAlignment="1" applyBorder="1" applyFill="1" applyFont="1">
      <alignment horizontal="center" shrinkToFit="0" vertical="center" wrapText="1"/>
    </xf>
    <xf borderId="12" fillId="12" fontId="9" numFmtId="167" xfId="0" applyAlignment="1" applyBorder="1" applyFont="1" applyNumberFormat="1">
      <alignment horizontal="center" vertical="center"/>
    </xf>
    <xf borderId="12" fillId="12" fontId="9" numFmtId="165" xfId="0" applyAlignment="1" applyBorder="1" applyFont="1" applyNumberFormat="1">
      <alignment horizontal="center" vertical="center"/>
    </xf>
    <xf borderId="12" fillId="12" fontId="9" numFmtId="0" xfId="0" applyAlignment="1" applyBorder="1" applyFont="1">
      <alignment horizontal="center" shrinkToFit="0" vertical="center" wrapText="1"/>
    </xf>
    <xf borderId="12" fillId="12" fontId="10" numFmtId="0" xfId="0" applyAlignment="1" applyBorder="1" applyFont="1">
      <alignment horizontal="center" shrinkToFit="0" vertical="center" wrapText="1"/>
    </xf>
    <xf borderId="12" fillId="12" fontId="11" numFmtId="0" xfId="0" applyAlignment="1" applyBorder="1" applyFont="1">
      <alignment horizontal="center" vertical="center"/>
    </xf>
    <xf borderId="12" fillId="12" fontId="11" numFmtId="0" xfId="0" applyAlignment="1" applyBorder="1" applyFont="1">
      <alignment horizontal="center" shrinkToFit="0" vertical="center" wrapText="1"/>
    </xf>
    <xf borderId="12" fillId="0" fontId="45" numFmtId="0" xfId="0" applyAlignment="1" applyBorder="1" applyFont="1">
      <alignment horizontal="center" vertical="center"/>
    </xf>
    <xf borderId="12" fillId="0" fontId="46" numFmtId="167" xfId="0" applyAlignment="1" applyBorder="1" applyFont="1" applyNumberFormat="1">
      <alignment horizontal="center" vertical="center"/>
    </xf>
    <xf borderId="12" fillId="0" fontId="46" numFmtId="167" xfId="0" applyBorder="1" applyFont="1" applyNumberFormat="1"/>
    <xf borderId="12" fillId="0" fontId="47" numFmtId="0" xfId="0" applyAlignment="1" applyBorder="1" applyFont="1">
      <alignment horizontal="center" vertical="center"/>
    </xf>
    <xf borderId="12" fillId="0" fontId="48" numFmtId="0" xfId="0" applyAlignment="1" applyBorder="1" applyFont="1">
      <alignment horizontal="center" vertical="center"/>
    </xf>
    <xf borderId="12" fillId="8" fontId="9" numFmtId="165" xfId="0" applyAlignment="1" applyBorder="1" applyFont="1" applyNumberFormat="1">
      <alignment horizontal="center" vertical="center"/>
    </xf>
    <xf borderId="12" fillId="8" fontId="48" numFmtId="0" xfId="0" applyAlignment="1" applyBorder="1" applyFont="1">
      <alignment horizontal="center" vertical="center"/>
    </xf>
    <xf borderId="12" fillId="8" fontId="43" numFmtId="0" xfId="0" applyAlignment="1" applyBorder="1" applyFont="1">
      <alignment horizontal="center" shrinkToFit="0" vertical="center" wrapText="1"/>
    </xf>
    <xf borderId="12" fillId="0" fontId="9" numFmtId="165" xfId="0" applyAlignment="1" applyBorder="1" applyFont="1" applyNumberFormat="1">
      <alignment horizontal="center" vertical="center"/>
    </xf>
    <xf borderId="12" fillId="2" fontId="36" numFmtId="0" xfId="0" applyAlignment="1" applyBorder="1" applyFont="1">
      <alignment horizontal="center" vertical="center"/>
    </xf>
    <xf borderId="12" fillId="2" fontId="36" numFmtId="0" xfId="0" applyAlignment="1" applyBorder="1" applyFont="1">
      <alignment horizontal="center" shrinkToFit="0" vertical="center" wrapText="1"/>
    </xf>
    <xf borderId="12" fillId="2" fontId="9" numFmtId="164" xfId="0" applyAlignment="1" applyBorder="1" applyFont="1" applyNumberFormat="1">
      <alignment horizontal="center" vertical="center"/>
    </xf>
    <xf borderId="12" fillId="10" fontId="36" numFmtId="0" xfId="0" applyAlignment="1" applyBorder="1" applyFont="1">
      <alignment horizontal="center" vertical="center"/>
    </xf>
    <xf borderId="12" fillId="10" fontId="36" numFmtId="0" xfId="0" applyAlignment="1" applyBorder="1" applyFont="1">
      <alignment horizontal="center" shrinkToFit="0" vertical="center" wrapText="1"/>
    </xf>
    <xf borderId="12" fillId="8" fontId="49" numFmtId="0" xfId="0" applyAlignment="1" applyBorder="1" applyFont="1">
      <alignment horizontal="center" vertical="center"/>
    </xf>
    <xf borderId="12" fillId="2" fontId="50" numFmtId="0" xfId="0" applyAlignment="1" applyBorder="1" applyFont="1">
      <alignment horizontal="center" vertical="center"/>
    </xf>
    <xf borderId="12" fillId="2" fontId="50" numFmtId="0" xfId="0" applyAlignment="1" applyBorder="1" applyFont="1">
      <alignment horizontal="center" shrinkToFit="0" vertical="center" wrapText="1"/>
    </xf>
    <xf borderId="12" fillId="2" fontId="25" numFmtId="167" xfId="0" applyAlignment="1" applyBorder="1" applyFont="1" applyNumberFormat="1">
      <alignment horizontal="center" vertical="center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0" xfId="0" applyAlignment="1" applyBorder="1" applyFont="1">
      <alignment horizontal="center" vertical="center"/>
    </xf>
    <xf borderId="12" fillId="8" fontId="12" numFmtId="0" xfId="0" applyAlignment="1" applyBorder="1" applyFont="1">
      <alignment horizontal="center" vertical="center"/>
    </xf>
    <xf borderId="12" fillId="12" fontId="12" numFmtId="0" xfId="0" applyAlignment="1" applyBorder="1" applyFont="1">
      <alignment horizontal="center" vertical="center"/>
    </xf>
    <xf borderId="12" fillId="12" fontId="9" numFmtId="0" xfId="0" applyAlignment="1" applyBorder="1" applyFont="1">
      <alignment horizontal="center" vertical="center"/>
    </xf>
    <xf borderId="12" fillId="0" fontId="9" numFmtId="167" xfId="0" applyAlignment="1" applyBorder="1" applyFont="1" applyNumberForma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shrinkToFit="0" vertical="center" wrapText="1"/>
    </xf>
    <xf borderId="12" fillId="0" fontId="12" numFmtId="0" xfId="0" applyAlignment="1" applyBorder="1" applyFont="1">
      <alignment horizontal="left" shrinkToFit="0" vertical="center" wrapText="1"/>
    </xf>
    <xf borderId="12" fillId="12" fontId="9" numFmtId="167" xfId="0" applyAlignment="1" applyBorder="1" applyFont="1" applyNumberFormat="1">
      <alignment horizontal="center" shrinkToFit="0" vertical="center" wrapText="1"/>
    </xf>
    <xf borderId="10" fillId="12" fontId="9" numFmtId="165" xfId="0" applyAlignment="1" applyBorder="1" applyFont="1" applyNumberFormat="1">
      <alignment horizontal="center" vertical="center"/>
    </xf>
    <xf borderId="13" fillId="12" fontId="9" numFmtId="0" xfId="0" applyAlignment="1" applyBorder="1" applyFont="1">
      <alignment horizontal="center" shrinkToFit="0" vertical="center" wrapText="1"/>
    </xf>
    <xf borderId="12" fillId="12" fontId="34" numFmtId="0" xfId="0" applyAlignment="1" applyBorder="1" applyFont="1">
      <alignment horizontal="center" vertical="center"/>
    </xf>
    <xf borderId="12" fillId="12" fontId="34" numFmtId="0" xfId="0" applyAlignment="1" applyBorder="1" applyFont="1">
      <alignment horizontal="center" shrinkToFit="0" vertical="center" wrapText="1"/>
    </xf>
    <xf borderId="7" fillId="12" fontId="9" numFmtId="165" xfId="0" applyAlignment="1" applyBorder="1" applyFont="1" applyNumberFormat="1">
      <alignment horizontal="center" vertical="center"/>
    </xf>
    <xf borderId="12" fillId="13" fontId="51" numFmtId="0" xfId="0" applyAlignment="1" applyBorder="1" applyFill="1" applyFont="1">
      <alignment horizontal="center" shrinkToFit="0" vertical="center" wrapText="1"/>
    </xf>
    <xf borderId="12" fillId="13" fontId="9" numFmtId="167" xfId="0" applyAlignment="1" applyBorder="1" applyFont="1" applyNumberFormat="1">
      <alignment horizontal="center" shrinkToFit="0" vertical="center" wrapText="1"/>
    </xf>
    <xf borderId="10" fillId="13" fontId="9" numFmtId="165" xfId="0" applyAlignment="1" applyBorder="1" applyFont="1" applyNumberFormat="1">
      <alignment horizontal="center" vertical="center"/>
    </xf>
    <xf borderId="12" fillId="13" fontId="9" numFmtId="0" xfId="0" applyAlignment="1" applyBorder="1" applyFont="1">
      <alignment horizontal="center" shrinkToFit="0" vertical="center" wrapText="1"/>
    </xf>
    <xf borderId="12" fillId="13" fontId="10" numFmtId="0" xfId="0" applyAlignment="1" applyBorder="1" applyFont="1">
      <alignment horizontal="center" shrinkToFit="0" vertical="center" wrapText="1"/>
    </xf>
    <xf borderId="12" fillId="13" fontId="12" numFmtId="0" xfId="0" applyAlignment="1" applyBorder="1" applyFont="1">
      <alignment horizontal="center" vertical="center"/>
    </xf>
    <xf borderId="12" fillId="13" fontId="12" numFmtId="0" xfId="0" applyAlignment="1" applyBorder="1" applyFont="1">
      <alignment horizontal="center" shrinkToFit="0" vertical="center" wrapText="1"/>
    </xf>
    <xf borderId="7" fillId="13" fontId="9" numFmtId="165" xfId="0" applyAlignment="1" applyBorder="1" applyFont="1" applyNumberFormat="1">
      <alignment horizontal="center" vertical="center"/>
    </xf>
    <xf borderId="12" fillId="13" fontId="9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shrinkToFit="0" wrapText="1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center"/>
    </xf>
    <xf borderId="0" fillId="0" fontId="52" numFmtId="0" xfId="0" applyAlignment="1" applyFont="1">
      <alignment horizontal="center" shrinkToFit="0" vertical="center" wrapText="1"/>
    </xf>
    <xf borderId="0" fillId="0" fontId="53" numFmtId="0" xfId="0" applyFont="1"/>
    <xf borderId="0" fillId="0" fontId="53" numFmtId="165" xfId="0" applyFont="1" applyNumberFormat="1"/>
    <xf borderId="0" fillId="0" fontId="45" numFmtId="169" xfId="0" applyAlignment="1" applyFont="1" applyNumberFormat="1">
      <alignment horizontal="center" vertical="center"/>
    </xf>
    <xf borderId="0" fillId="0" fontId="45" numFmtId="0" xfId="0" applyFont="1"/>
    <xf borderId="0" fillId="0" fontId="45" numFmtId="166" xfId="0" applyFont="1" applyNumberFormat="1"/>
    <xf borderId="0" fillId="0" fontId="54" numFmtId="0" xfId="0" applyFont="1"/>
    <xf borderId="0" fillId="0" fontId="45" numFmtId="164" xfId="0" applyFont="1" applyNumberFormat="1"/>
    <xf borderId="0" fillId="0" fontId="45" numFmtId="165" xfId="0" applyFont="1" applyNumberFormat="1"/>
    <xf borderId="0" fillId="0" fontId="45" numFmtId="167" xfId="0" applyFont="1" applyNumberFormat="1"/>
    <xf borderId="0" fillId="0" fontId="45" numFmtId="168" xfId="0" applyFont="1" applyNumberFormat="1"/>
    <xf borderId="0" fillId="0" fontId="45" numFmtId="4" xfId="0" applyFont="1" applyNumberFormat="1"/>
    <xf borderId="0" fillId="0" fontId="45" numFmtId="0" xfId="0" applyAlignment="1" applyFont="1">
      <alignment shrinkToFit="0" vertical="center" wrapText="1"/>
    </xf>
    <xf borderId="0" fillId="0" fontId="45" numFmtId="0" xfId="0" applyAlignment="1" applyFont="1">
      <alignment vertical="center"/>
    </xf>
    <xf borderId="0" fillId="0" fontId="55" numFmtId="0" xfId="0" applyAlignment="1" applyFont="1">
      <alignment horizontal="center" vertical="center"/>
    </xf>
    <xf borderId="0" fillId="0" fontId="45" numFmtId="0" xfId="0" applyAlignment="1" applyFont="1">
      <alignment shrinkToFit="0" wrapText="1"/>
    </xf>
    <xf borderId="0" fillId="0" fontId="56" numFmtId="0" xfId="0" applyAlignment="1" applyFont="1">
      <alignment horizontal="center"/>
    </xf>
    <xf borderId="0" fillId="0" fontId="2" numFmtId="0" xfId="0" applyAlignment="1" applyFont="1">
      <alignment horizontal="center"/>
    </xf>
    <xf borderId="12" fillId="4" fontId="5" numFmtId="0" xfId="0" applyAlignment="1" applyBorder="1" applyFont="1">
      <alignment horizontal="center" vertical="center"/>
    </xf>
    <xf borderId="12" fillId="4" fontId="5" numFmtId="167" xfId="0" applyAlignment="1" applyBorder="1" applyFont="1" applyNumberFormat="1">
      <alignment horizontal="center" vertical="center"/>
    </xf>
    <xf borderId="12" fillId="4" fontId="5" numFmtId="0" xfId="0" applyAlignment="1" applyBorder="1" applyFont="1">
      <alignment horizontal="center" shrinkToFit="0" vertical="center" wrapText="1"/>
    </xf>
    <xf borderId="14" fillId="4" fontId="5" numFmtId="0" xfId="0" applyAlignment="1" applyBorder="1" applyFont="1">
      <alignment horizontal="center" shrinkToFit="0" vertical="center" wrapText="1"/>
    </xf>
    <xf borderId="0" fillId="4" fontId="57" numFmtId="0" xfId="0" applyAlignment="1" applyFont="1">
      <alignment horizontal="center" shrinkToFit="0" vertical="center" wrapText="1"/>
    </xf>
    <xf borderId="1" fillId="14" fontId="56" numFmtId="0" xfId="0" applyAlignment="1" applyBorder="1" applyFill="1" applyFont="1">
      <alignment horizontal="center" vertical="center"/>
    </xf>
    <xf borderId="2" fillId="0" fontId="58" numFmtId="0" xfId="0" applyBorder="1" applyFont="1"/>
    <xf borderId="3" fillId="0" fontId="58" numFmtId="0" xfId="0" applyBorder="1" applyFont="1"/>
    <xf borderId="0" fillId="14" fontId="56" numFmtId="0" xfId="0" applyAlignment="1" applyFont="1">
      <alignment horizontal="center" vertical="center"/>
    </xf>
    <xf borderId="10" fillId="0" fontId="49" numFmtId="0" xfId="0" applyAlignment="1" applyBorder="1" applyFont="1">
      <alignment horizontal="center" vertical="center"/>
    </xf>
    <xf borderId="10" fillId="0" fontId="49" numFmtId="167" xfId="0" applyAlignment="1" applyBorder="1" applyFont="1" applyNumberFormat="1">
      <alignment horizontal="center" vertical="center"/>
    </xf>
    <xf borderId="10" fillId="0" fontId="49" numFmtId="0" xfId="0" applyAlignment="1" applyBorder="1" applyFont="1">
      <alignment horizontal="center" shrinkToFit="0" vertical="center" wrapText="1"/>
    </xf>
    <xf borderId="12" fillId="0" fontId="4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2" fillId="0" fontId="49" numFmtId="0" xfId="0" applyAlignment="1" applyBorder="1" applyFont="1">
      <alignment horizontal="center" vertical="center"/>
    </xf>
    <xf borderId="12" fillId="0" fontId="49" numFmtId="164" xfId="0" applyAlignment="1" applyBorder="1" applyFont="1" applyNumberFormat="1">
      <alignment horizontal="center" vertical="center"/>
    </xf>
    <xf borderId="13" fillId="0" fontId="49" numFmtId="0" xfId="0" applyAlignment="1" applyBorder="1" applyFont="1">
      <alignment horizontal="center" shrinkToFit="0" vertical="center" wrapText="1"/>
    </xf>
    <xf borderId="13" fillId="0" fontId="11" numFmtId="0" xfId="0" applyAlignment="1" applyBorder="1" applyFont="1">
      <alignment horizontal="center" vertical="center"/>
    </xf>
    <xf borderId="13" fillId="0" fontId="48" numFmtId="164" xfId="0" applyAlignment="1" applyBorder="1" applyFont="1" applyNumberFormat="1">
      <alignment horizontal="center" vertical="center"/>
    </xf>
    <xf borderId="13" fillId="0" fontId="49" numFmtId="167" xfId="0" applyAlignment="1" applyBorder="1" applyFont="1" applyNumberFormat="1">
      <alignment horizontal="center" vertical="center"/>
    </xf>
    <xf borderId="13" fillId="0" fontId="49" numFmtId="0" xfId="0" applyAlignment="1" applyBorder="1" applyFont="1">
      <alignment horizontal="center" vertical="center"/>
    </xf>
    <xf borderId="13" fillId="0" fontId="49" numFmtId="164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13" fillId="15" fontId="49" numFmtId="0" xfId="0" applyAlignment="1" applyBorder="1" applyFill="1" applyFont="1">
      <alignment horizontal="center" vertical="center"/>
    </xf>
    <xf borderId="0" fillId="0" fontId="48" numFmtId="0" xfId="0" applyAlignment="1" applyFont="1">
      <alignment horizontal="center" shrinkToFit="0" vertical="center" wrapText="1"/>
    </xf>
    <xf borderId="12" fillId="0" fontId="49" numFmtId="167" xfId="0" applyAlignment="1" applyBorder="1" applyFont="1" applyNumberFormat="1">
      <alignment horizontal="center" shrinkToFit="0" vertical="center" wrapText="1"/>
    </xf>
    <xf borderId="12" fillId="0" fontId="49" numFmtId="167" xfId="0" applyAlignment="1" applyBorder="1" applyFont="1" applyNumberFormat="1">
      <alignment horizontal="center" vertical="center"/>
    </xf>
    <xf borderId="12" fillId="0" fontId="49" numFmtId="0" xfId="0" applyAlignment="1" applyBorder="1" applyFont="1">
      <alignment horizontal="left" vertical="center"/>
    </xf>
    <xf borderId="12" fillId="0" fontId="49" numFmtId="167" xfId="0" applyAlignment="1" applyBorder="1" applyFont="1" applyNumberFormat="1">
      <alignment horizontal="left" vertical="center"/>
    </xf>
    <xf borderId="12" fillId="0" fontId="49" numFmtId="167" xfId="0" applyAlignment="1" applyBorder="1" applyFont="1" applyNumberFormat="1">
      <alignment horizontal="left" shrinkToFit="0" vertical="center" wrapText="1"/>
    </xf>
    <xf borderId="12" fillId="0" fontId="49" numFmtId="0" xfId="0" applyAlignment="1" applyBorder="1" applyFont="1">
      <alignment horizontal="left" shrinkToFit="0" vertical="center" wrapText="1"/>
    </xf>
    <xf borderId="12" fillId="0" fontId="36" numFmtId="0" xfId="0" applyAlignment="1" applyBorder="1" applyFont="1">
      <alignment horizontal="left" shrinkToFit="0" vertical="center" wrapText="1"/>
    </xf>
    <xf borderId="0" fillId="0" fontId="48" numFmtId="0" xfId="0" applyAlignment="1" applyFont="1">
      <alignment horizontal="left" shrinkToFit="0" vertical="center" wrapText="1"/>
    </xf>
    <xf borderId="12" fillId="0" fontId="36" numFmtId="167" xfId="0" applyAlignment="1" applyBorder="1" applyFont="1" applyNumberFormat="1">
      <alignment horizontal="center" vertical="center"/>
    </xf>
    <xf borderId="0" fillId="0" fontId="12" numFmtId="167" xfId="0" applyAlignment="1" applyFont="1" applyNumberFormat="1">
      <alignment horizontal="center"/>
    </xf>
    <xf borderId="0" fillId="0" fontId="12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COUNTA de Processo versus Responsável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DASHBOARD!$AE$1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DASHBOARD!$AD$2:$AD$10</c:f>
            </c:strRef>
          </c:cat>
          <c:val>
            <c:numRef>
              <c:f>DASHBOARD!$AE$2:$AE$10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Projetado e Executado/Em contratação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'Página1'!$B$1:$B$2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'Página1'!$A$3:$A$5</c:f>
            </c:strRef>
          </c:cat>
          <c:val>
            <c:numRef>
              <c:f>'Página1'!$B$3:$B$5</c:f>
              <c:numCache/>
            </c:numRef>
          </c:val>
        </c:ser>
        <c:ser>
          <c:idx val="1"/>
          <c:order val="1"/>
          <c:tx>
            <c:strRef>
              <c:f>'Página1'!$C$1:$C$2</c:f>
            </c:strRef>
          </c:tx>
          <c:spPr>
            <a:solidFill>
              <a:srgbClr val="F79646"/>
            </a:solidFill>
            <a:ln cmpd="sng">
              <a:noFill/>
            </a:ln>
          </c:spPr>
          <c:cat>
            <c:strRef>
              <c:f>'Página1'!$A$3:$A$5</c:f>
            </c:strRef>
          </c:cat>
          <c:val>
            <c:numRef>
              <c:f>'Página1'!$C$3:$C$5</c:f>
              <c:numCache/>
            </c:numRef>
          </c:val>
        </c:ser>
        <c:axId val="1430685452"/>
        <c:axId val="1317083565"/>
      </c:barChart>
      <c:catAx>
        <c:axId val="14306854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17083565"/>
      </c:catAx>
      <c:valAx>
        <c:axId val="1317083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3068545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2.png"/><Relationship Id="rId10" Type="http://schemas.openxmlformats.org/officeDocument/2006/relationships/image" Target="../media/Chart18.png"/><Relationship Id="rId13" Type="http://schemas.openxmlformats.org/officeDocument/2006/relationships/image" Target="../media/image5.png"/><Relationship Id="rId12" Type="http://schemas.openxmlformats.org/officeDocument/2006/relationships/image" Target="../media/image4.png"/><Relationship Id="rId1" Type="http://schemas.openxmlformats.org/officeDocument/2006/relationships/image" Target="../media/Chart9.png"/><Relationship Id="rId2" Type="http://schemas.openxmlformats.org/officeDocument/2006/relationships/image" Target="../media/Chart10.png"/><Relationship Id="rId3" Type="http://schemas.openxmlformats.org/officeDocument/2006/relationships/image" Target="../media/Chart11.png"/><Relationship Id="rId4" Type="http://schemas.openxmlformats.org/officeDocument/2006/relationships/image" Target="../media/Chart12.png"/><Relationship Id="rId9" Type="http://schemas.openxmlformats.org/officeDocument/2006/relationships/image" Target="../media/Chart17.png"/><Relationship Id="rId15" Type="http://schemas.openxmlformats.org/officeDocument/2006/relationships/image" Target="../media/image3.png"/><Relationship Id="rId14" Type="http://schemas.openxmlformats.org/officeDocument/2006/relationships/image" Target="../media/image1.png"/><Relationship Id="rId5" Type="http://schemas.openxmlformats.org/officeDocument/2006/relationships/chart" Target="../charts/chart1.xml"/><Relationship Id="rId6" Type="http://schemas.openxmlformats.org/officeDocument/2006/relationships/image" Target="../media/Chart14.png"/><Relationship Id="rId7" Type="http://schemas.openxmlformats.org/officeDocument/2006/relationships/image" Target="../media/Chart15.png"/><Relationship Id="rId8" Type="http://schemas.openxmlformats.org/officeDocument/2006/relationships/image" Target="../media/Chart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419100</xdr:colOff>
      <xdr:row>2</xdr:row>
      <xdr:rowOff>133350</xdr:rowOff>
    </xdr:from>
    <xdr:ext cx="1828800" cy="1905000"/>
    <xdr:pic>
      <xdr:nvPicPr>
        <xdr:cNvPr id="450550469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1000125</xdr:colOff>
      <xdr:row>2</xdr:row>
      <xdr:rowOff>1000125</xdr:rowOff>
    </xdr:from>
    <xdr:ext cx="1933575" cy="1038225"/>
    <xdr:pic>
      <xdr:nvPicPr>
        <xdr:cNvPr id="611435180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514350</xdr:colOff>
      <xdr:row>2</xdr:row>
      <xdr:rowOff>133350</xdr:rowOff>
    </xdr:from>
    <xdr:ext cx="3028950" cy="1905000"/>
    <xdr:pic>
      <xdr:nvPicPr>
        <xdr:cNvPr id="1870732841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2</xdr:row>
      <xdr:rowOff>133350</xdr:rowOff>
    </xdr:from>
    <xdr:ext cx="2771775" cy="1905000"/>
    <xdr:pic>
      <xdr:nvPicPr>
        <xdr:cNvPr id="729144531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381000</xdr:colOff>
      <xdr:row>2</xdr:row>
      <xdr:rowOff>133350</xdr:rowOff>
    </xdr:from>
    <xdr:ext cx="2114550" cy="1905000"/>
    <xdr:pic>
      <xdr:nvPicPr>
        <xdr:cNvPr id="940507846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</xdr:row>
      <xdr:rowOff>133350</xdr:rowOff>
    </xdr:from>
    <xdr:ext cx="2962275" cy="1905000"/>
    <xdr:pic>
      <xdr:nvPicPr>
        <xdr:cNvPr id="296396584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990600</xdr:colOff>
      <xdr:row>2</xdr:row>
      <xdr:rowOff>133350</xdr:rowOff>
    </xdr:from>
    <xdr:ext cx="1933575" cy="752475"/>
    <xdr:pic>
      <xdr:nvPicPr>
        <xdr:cNvPr id="569883886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952500</xdr:colOff>
      <xdr:row>2</xdr:row>
      <xdr:rowOff>133350</xdr:rowOff>
    </xdr:from>
    <xdr:ext cx="3267075" cy="1905000"/>
    <xdr:pic>
      <xdr:nvPicPr>
        <xdr:cNvPr id="100232416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742950</xdr:colOff>
      <xdr:row>0</xdr:row>
      <xdr:rowOff>142875</xdr:rowOff>
    </xdr:from>
    <xdr:ext cx="971550" cy="723900"/>
    <xdr:pic>
      <xdr:nvPicPr>
        <xdr:cNvPr id="462526079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857250</xdr:colOff>
      <xdr:row>1</xdr:row>
      <xdr:rowOff>28575</xdr:rowOff>
    </xdr:from>
    <xdr:ext cx="4495800" cy="2895600"/>
    <xdr:pic>
      <xdr:nvPicPr>
        <xdr:cNvPr id="2065834300" name="Chart1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857250</xdr:colOff>
      <xdr:row>17</xdr:row>
      <xdr:rowOff>19050</xdr:rowOff>
    </xdr:from>
    <xdr:ext cx="4495800" cy="3495675"/>
    <xdr:pic>
      <xdr:nvPicPr>
        <xdr:cNvPr id="556225640" name="Chart1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266700</xdr:colOff>
      <xdr:row>17</xdr:row>
      <xdr:rowOff>19050</xdr:rowOff>
    </xdr:from>
    <xdr:ext cx="6257925" cy="3495675"/>
    <xdr:pic>
      <xdr:nvPicPr>
        <xdr:cNvPr id="1751692666" name="Chart1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352425</xdr:colOff>
      <xdr:row>8</xdr:row>
      <xdr:rowOff>9525</xdr:rowOff>
    </xdr:from>
    <xdr:ext cx="3048000" cy="1581150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609600</xdr:colOff>
      <xdr:row>4</xdr:row>
      <xdr:rowOff>104775</xdr:rowOff>
    </xdr:from>
    <xdr:ext cx="3028950" cy="2247900"/>
    <xdr:pic>
      <xdr:nvPicPr>
        <xdr:cNvPr id="579438261" name="Chart1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685800</xdr:colOff>
      <xdr:row>1</xdr:row>
      <xdr:rowOff>28575</xdr:rowOff>
    </xdr:from>
    <xdr:ext cx="4352925" cy="2895600"/>
    <xdr:pic>
      <xdr:nvPicPr>
        <xdr:cNvPr id="944814511" name="Chart1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371475</xdr:colOff>
      <xdr:row>1</xdr:row>
      <xdr:rowOff>28575</xdr:rowOff>
    </xdr:from>
    <xdr:ext cx="3028950" cy="1200150"/>
    <xdr:pic>
      <xdr:nvPicPr>
        <xdr:cNvPr id="1420818643" name="Chart1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685800</xdr:colOff>
      <xdr:row>17</xdr:row>
      <xdr:rowOff>19050</xdr:rowOff>
    </xdr:from>
    <xdr:ext cx="4352925" cy="3495675"/>
    <xdr:pic>
      <xdr:nvPicPr>
        <xdr:cNvPr id="811830513" name="Chart1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609600</xdr:colOff>
      <xdr:row>1</xdr:row>
      <xdr:rowOff>28575</xdr:rowOff>
    </xdr:from>
    <xdr:ext cx="1952625" cy="628650"/>
    <xdr:pic>
      <xdr:nvPicPr>
        <xdr:cNvPr id="1215556837" name="Chart1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30</xdr:row>
      <xdr:rowOff>171450</xdr:rowOff>
    </xdr:from>
    <xdr:ext cx="2409825" cy="723900"/>
    <xdr:pic>
      <xdr:nvPicPr>
        <xdr:cNvPr id="0" name="image2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942975</xdr:colOff>
      <xdr:row>10</xdr:row>
      <xdr:rowOff>9525</xdr:rowOff>
    </xdr:from>
    <xdr:ext cx="438150" cy="428625"/>
    <xdr:pic>
      <xdr:nvPicPr>
        <xdr:cNvPr id="0" name="image4.png" title="Imagem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752475</xdr:colOff>
      <xdr:row>8</xdr:row>
      <xdr:rowOff>66675</xdr:rowOff>
    </xdr:from>
    <xdr:ext cx="390525" cy="371475"/>
    <xdr:pic>
      <xdr:nvPicPr>
        <xdr:cNvPr id="0" name="image5.png" title="Imagem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762000</xdr:colOff>
      <xdr:row>11</xdr:row>
      <xdr:rowOff>190500</xdr:rowOff>
    </xdr:from>
    <xdr:ext cx="323850" cy="323850"/>
    <xdr:pic>
      <xdr:nvPicPr>
        <xdr:cNvPr id="0" name="image1.png" title="Imagem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752475</xdr:colOff>
      <xdr:row>25</xdr:row>
      <xdr:rowOff>180975</xdr:rowOff>
    </xdr:from>
    <xdr:ext cx="438150" cy="428625"/>
    <xdr:pic>
      <xdr:nvPicPr>
        <xdr:cNvPr id="0" name="image3.png" title="Imagem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0</xdr:row>
      <xdr:rowOff>0</xdr:rowOff>
    </xdr:from>
    <xdr:ext cx="5715000" cy="3533775"/>
    <xdr:graphicFrame>
      <xdr:nvGraphicFramePr>
        <xdr:cNvPr id="19" name="Chart 1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ATHEUS AGUIAR MÖLLER" id="{3500057b-884e-4c59-af64-c2fad19128a3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T410" sheet="DEMANDAS"/>
  </cacheSource>
  <cacheFields>
    <cacheField name="83" numFmtId="0">
      <sharedItems>
        <s v="23070.029949/2026-19"/>
        <s v="23070.030002/2026-42"/>
        <s v="23070.028049/2026-46"/>
        <s v="23070.025014/2026-55"/>
        <s v="23070.027146/2026-11"/>
        <s v="23070.025697/2026-41"/>
        <s v="23070.006960/2025-11"/>
        <s v="23070.021444/2026-06"/>
        <s v="23070.003214/2026-57"/>
        <s v="23070.024573/2026-48"/>
        <s v="Sem Formalização"/>
        <s v="23070.023926/2026-92"/>
        <s v="23070.022268/2026-11"/>
        <s v="23070.022551/2026-43"/>
        <s v="23070.022539/2026-39"/>
        <s v="23070.020103/2026-13"/>
        <s v="23070.019566/2026-24"/>
        <s v="23070.020292/2026-16"/>
        <s v="23070.020118/2026-73"/>
        <s v="23070.019989/2026-44"/>
        <s v="23070.019998/2026-35"/>
        <s v="23070.018395/2026-16"/>
        <s v="23070.003984/2024-38"/>
        <s v="23070.017429/2026-55"/>
        <s v="23070.017091/2026-31"/>
        <s v="23070.016743/2026-11"/>
        <s v="23070.016474/2026-92"/>
        <s v="23070.014352/2026-61"/>
        <s v="23070.016056/2026-03"/>
        <s v="23070.064793/2025-23"/>
        <s v="23070.031555/2025-31"/>
        <s v="23070.056214/2024-98"/>
        <s v="23070.013152/2026-91"/>
        <s v="23070.015877/2026-14"/>
        <s v="23070.015271/2026-89"/>
        <s v="23070.015098/2026-19"/>
        <s v="23070.017502/2025-16"/>
        <s v="23070.014042/2026-47"/>
        <s v="23070.051742/2024-51"/>
        <s v="23070.005137/2026-70"/>
        <s v="23070.004853/2026-30"/>
        <s v="23070.056235/2025-94"/>
        <s v="23070.058426/2025-91"/>
        <s v="23070.013820/2026-81"/>
        <s v="23070.010756/2026-86"/>
        <s v="23070.010749/2026-84"/>
        <s v="23070.011365/2026-89"/>
        <s v="23070.005133/2026-91"/>
        <s v="23070.006867/2026-98"/>
        <s v="23070.007254/2026-78"/>
        <s v="23070.006581/2026-11"/>
        <s v="23070.004426/2026-51"/>
        <s v="23070.003664/2026-40"/>
        <s v="23070.003499/2026-26"/>
        <s v="23070.001782/2026-13"/>
        <s v="23070.000588/2026-11"/>
        <s v="23070.052863/2025-09"/>
        <s v="23070.054474/2025-18"/>
        <s v="23070.055311/2025-44"/>
        <s v="23070.055822/2025-66"/>
        <s v="23070.055684/2025-15"/>
        <s v="23070.056709/2025-06"/>
        <s v="23070.056674/2025-05"/>
        <s v="23070.059465/2025-13"/>
        <s v="23070.061475/2025-19"/>
        <s v="23070.040492/2022-61"/>
        <s v="23070.038678/2025-01"/>
        <s v="23070.053532/2025-88"/>
        <s v="23070.055738/2025-42"/>
        <s v="23070.056948/2024-77"/>
        <s v="23070.055512/2025-41"/>
        <s v="23070.052186/2025-11"/>
        <s v="23070.052510/2025-09"/>
        <s v="23070.054298/2025-14"/>
        <s v="23070.046107/2025-32"/>
        <s v="23070.050566/2025-11"/>
        <s v="23070.049884/2025-39"/>
        <s v="23070.049876/2025-92"/>
        <s v="23070.051025/2025-18"/>
        <s v="23070.049379/2025-94"/>
        <s v="23070.047932/2025-54"/>
        <s v="23070.048590/2025-90"/>
        <s v="23070.050654/2024-31"/>
        <s v="23070.030487/2022-41"/>
        <s v="23070.058409/2024-72"/>
        <s v="23070.037658/2025-13"/>
        <s v="23070.016962/2025-19"/>
        <s v="23070.041408/2025-70"/>
        <s v="23070.041327/2025-70"/>
        <s v="23070.040461/2025-53"/>
        <s v="23070.039798/2025-18"/>
        <s v="23070.039339/2025-34"/>
        <s v="23070.039025/2025-31"/>
        <s v="23070.035921/2025-21"/>
        <s v="23070.004504/2025-37"/>
        <s v="23070.004156/2025-06"/>
        <s v="23070.053145/2024-61"/>
        <s v="23070.029850/2025-28"/>
        <s v="23070.019497/2025-78"/>
        <s v="23070.025812/2025-04"/>
        <s v="23070.028227/2025-58"/>
        <s v="23070.028669/2025-02"/>
        <s v="23070.025922/2025-68"/>
        <s v="23070.026806/2025-66"/>
        <s v="23070.019724/2025-65"/>
        <s v="23070.021752/2025-42"/>
        <s v="23070.014688/2025-43"/>
        <s v="23070.008267/2025-83"/>
        <s v="23070.014060/2025-48"/>
        <s v="23070.009574/2025-81"/>
        <s v="23070.006799/2025-86"/>
        <s v="23070.000248/2025-17"/>
        <s v="23070.007529/2025-92"/>
        <s v="23070.003807/2025-32"/>
        <s v="23070.052675/2024-91"/>
        <s v="23070.004005/2025-40"/>
        <s v="23070.060980/2024-57"/>
        <s v="23070.002729/2025-59"/>
        <s v="23070.064764/2024-81"/>
        <s v="23070.051786/2024-81"/>
        <s v="23070.060594/2024-65"/>
        <s v="23070.060989/2024-68"/>
        <s v="23070.049857/2024-85"/>
        <s v="23070.059356/2024-15"/>
        <s v="23070.060741/2024-05"/>
        <s v="23070.059345/2024-27"/>
        <s v="23070.045207/2024-61"/>
        <s v="23070.053014/2024-83"/>
        <s v="23070.055636/2024-46"/>
        <s v="23070.058035/2024-95"/>
        <s v="23070.010723/2020-41"/>
        <s v="23070.056904/2024-47"/>
        <s v="23070.055609/2024-73"/>
        <s v="23070.055022/2024-64"/>
        <s v="23070.044243/2024-15"/>
        <s v="23070.051552/2024-33"/>
        <s v="23070.006878/2024-14"/>
        <s v="23070.046575/2024-26"/>
        <s v="23070.046285/2024-82"/>
        <s v="23070.047491/2024-18"/>
        <s v="23070.046952/2024-27"/>
        <s v="23070.045894/2024-14"/>
        <s v="23070.040004/2024-88"/>
        <s v="23070.020540/2024-67"/>
        <s v="23070.000355/2024-56"/>
        <s v="23070.050377/2024-67"/>
        <s v="23070.050243/2024-46"/>
        <s v="23070.049632/2024-29"/>
        <s v="23070.050164/2024-35"/>
        <s v="23070.042668/2024-81"/>
        <s v="23070.010518/2024-17"/>
        <s v="23070.065916/2022-09"/>
        <s v="23070.047251/2024-13"/>
        <s v="23070.047250/2024-61"/>
        <s v="23070.045852/2024-83"/>
        <s v="23070.042914/2024-03"/>
        <s v="23070.025532/2024-15"/>
        <s v="23070.018636/2024-65"/>
        <s v="23070.037121/2024-64"/>
        <s v="23070.022754/2024-78"/>
        <s v="23070.019460/2024-69"/>
        <s v="23070.025592/2024-20"/>
        <s v="23070.021399/2024-10"/>
        <s v="Sem Formalização Email 28/08/24"/>
        <s v="Sem Formalização Email 27/08/24"/>
        <s v="23070.042052/2024-19"/>
        <s v="23070.042319/2024-60"/>
        <s v="23070.040807/2024-32"/>
        <s v="23070.040874/2024-57"/>
        <s v="23070.026821/2023-42"/>
        <s v="23070.023356/2023-98"/>
        <s v="23070.034546/2024-11"/>
        <s v="23070.033540/2024-27"/>
        <s v="23070.031070/2024-67"/>
        <s v="23070.031679/2024-36"/>
        <s v="23070.029829/2024-41"/>
        <s v="23070.029130/2024-81"/>
        <s v="23070.024770/2024-03"/>
        <s v="23070.020539/2024-32"/>
        <s v="23070.006092/2024-99"/>
        <s v="23070.070962/2023-01"/>
        <s v="23070.018472/2023-95"/>
        <s v="23070.018699/2024-11"/>
        <s v="23070.008734/2024-94"/>
        <s v="23070.009844/2024-73"/>
        <s v="23070.013720/2024-92"/>
        <s v="23070.011603/2024-94"/>
        <s v="Não Formalizada"/>
        <s v="23070.005224/2024-65"/>
        <s v="23070.002405/2024-30"/>
        <s v="23070.002978/2024-63"/>
        <s v="23070.002980/2024-32"/>
        <s v="23070.023547/2023-50"/>
        <s v="23070.006974/2024-54"/>
        <s v="23070.005644/2024-41"/>
        <s v="23070.005320/2024-11"/>
        <s v="23070.005117/2024-37"/>
        <s v="23070.071983/2023-35"/>
        <s v="23070.000196/2024-90"/>
        <s v="23070.065907/2023-91"/>
        <s v="23070.052908/2023-75"/>
        <s v="23070.066472/2023-00"/>
        <s v="23070.032696/2023-18"/>
        <s v="23070.046411/2023-18"/>
        <s v="23070.066746/2023-52"/>
        <s v="23070.065957/2023-78"/>
        <s v="23070.065954/2023-34"/>
        <s v="23070.065180/2023-41"/>
        <s v="23070.045229/2023-40"/>
        <s v="23070.061396/2022-57"/>
        <s v="23070.062303/2023-92"/>
        <s v="23070.040786/2023-74"/>
        <s v="23070.057247/2023-74"/>
        <s v="23070.001872/2023-61"/>
        <s v="23070.052344/2023-71"/>
        <s v="23070.030779/2023-64"/>
        <s v="23070.042552/2023-61"/>
        <s v="23070.048996/2023-19"/>
        <s v="23070.049932/2023-27"/>
        <s v="23070.048827/2023-71"/>
        <s v="23070.045454/2023-86"/>
        <s v="23070.038124/2023-34"/>
        <s v="23070.030455/2023-26"/>
        <s v="23070.031741/2023-17"/>
        <s v="23070.031678/2023-19"/>
        <s v="23070.038623/2023-21"/>
        <s v="23070.033629/2023-11"/>
        <s v="23070.048371/2023-49"/>
        <s v="23070.051658/2020-11"/>
        <s v="23070.009936/2019-96"/>
        <s v="23070.029011/2020-03"/>
        <s v="23070.009934/2019-05"/>
        <s v="23070.035929/2023-26"/>
        <s v="23070.041985/2023-08"/>
        <s v="23070.036561/2023-13"/>
        <s v="23070.036554/2023-11"/>
        <s v="23070.030539/2023-60"/>
        <s v="23070.036149/2023-01"/>
        <s v="23070.036124/2023-08"/>
        <s v="23070.041664/2023-03"/>
        <s v="23070.033635/2023-60"/>
        <s v="23070.000682/2023-27"/>
        <s v="23070.034112/2023-31"/>
        <s v="23070.001711/2023-78"/>
        <s v="23070.033660/2023-43"/>
        <s v="23070.001704/2020-23"/>
        <s v="23070.020640/2023-11"/>
        <s v="23070.030994/2023-65"/>
        <s v="23070.020683/2023-98"/>
        <s v="23070.028437/2023-84"/>
        <s v="23070.030660/2023-91"/>
        <s v="23070.030767/2023-30"/>
        <s v="23070.030771/2023-06"/>
        <s v="23070.027630/2022-17"/>
        <s v="23070.014278/2023-31"/>
        <s v="23070.029351/2023-79"/>
        <s v="23070.028150/2023-54"/>
        <s v="23070.025122/2023-85"/>
        <s v="23070.023185/2023-05"/>
        <s v="23070.024124/2023-57"/>
        <s v="23070.021765/2023-50"/>
        <s v="23070.020803/2023-57"/>
        <s v="23070.020536/2023-18"/>
        <s v="23070.008888/2023-03"/>
        <s v="23070.017237/2023-04"/>
        <s v="23070.013078/2023-61"/>
        <s v="23070.014366/2023-32"/>
        <s v="23070.012208/2023-48"/>
        <s v="23070.013339/2023-42"/>
        <s v="23070.044893/2022-91"/>
        <s v="23070.001685/2023-88"/>
        <s v="23070.011816/2023-35"/>
        <s v="23070.009256/2023-59"/>
        <s v="23070.007641/2023-61"/>
        <s v="23070.008120/2023-21"/>
        <s v="23070.004829/2023-58"/>
        <s v="23070.004866/2023-66"/>
        <s v="23070.001682/2023-44"/>
        <s v="23070.001741/2023-84"/>
        <s v="23070.055161/2022-26"/>
        <s v="23070.004549/2023-40"/>
        <s v="23070.000630/2023-51"/>
        <s v="23070.001190/2023-59"/>
        <s v="23070.000907/2023-45"/>
        <s v="23070.068861/2022-81"/>
        <s v="23070.066852/2022-55"/>
        <s v="23070.066656/2022-81"/>
        <s v="23070.066588/2022-50"/>
        <s v="23070.065409/2022-67"/>
        <s v="23070.028671/2022-21"/>
        <s v="23070.029636/2022-29"/>
        <s v="23070.044887/2022-33"/>
        <s v="23070.028412/2022-08"/>
        <s v="23070.053234/2022-45"/>
        <s v="23070.057059/2022-65"/>
        <s v="23070.058864/2023-97"/>
        <s v="23070.055314/2022-35"/>
        <s v="23070.028217/2022-70"/>
        <s v="23070.045747/2022-82"/>
        <s v="23070.029613/2022-14"/>
        <s v="23070.042170/2022-57"/>
        <s v="23070.001095/2022-74"/>
        <s v="23070.042107/2022-11"/>
        <s v="23070.051642/2022-62"/>
        <s v="23070.043782/2022-67"/>
        <s v="23070.050221/2022-14"/>
        <s v="23070.045756/2022-73"/>
        <s v="23070.048456/2022-46"/>
        <s v="23070.045758/2022-62"/>
        <s v="23070.049220/2022-27"/>
        <s v="23070.047133/2022-35"/>
        <s v="23070.047627/2022-10"/>
        <s v="23070.035498/2022-17"/>
        <s v="23070.043956/2022-91"/>
        <s v="23070.038546/2022-29"/>
        <s v="23070.039359/2022-62"/>
        <s v="23070.039581/2022-65"/>
        <s v="23070.038632/2022-31"/>
        <s v="23070.037748/2022-53"/>
        <s v="23070.033390/2022-90"/>
        <s v="23070.036765/2022-73"/>
        <s v="23070.039018/2022-97"/>
        <s v="23070.029149/2022-66"/>
        <s v="23070.028791/2022-28"/>
        <s v="23070.018415/2022-25"/>
        <s v="23070.019724/2022-12"/>
        <s v="23070.019702/2022-52"/>
        <s v="23070.022975/2022-84"/>
        <s v="5295/2022"/>
        <s v="23070.055742/2021-87"/>
        <s v="23070.025192/2022-52"/>
        <s v="23070.030570/2021-39"/>
        <s v="23070.009704/2022-33"/>
        <s v="23070.019422/2022-44"/>
        <s v="23070.008692/2022-20"/>
        <s v="23070.017400/2022-40"/>
        <s v="23070.008803/2022-06"/>
        <s v="23070.015519/2022-88"/>
        <s v="23070.007070/2022-84"/>
        <s v="23070.015343/2022-64"/>
        <s v="23070.011300/2022-18"/>
        <s v="23070.060408/2021-45"/>
        <s v="23070.016295/2022-21"/>
        <s v="23070.015139/2021-62"/>
        <s v="23070.014943/2022-13"/>
        <s v="23070.009481/2022-12"/>
        <s v="23070.011335/2022-49"/>
        <s v="23070.004998/2022-15"/>
        <s v="23070.002349/2022-71"/>
        <s v="23070.062373/2021-89"/>
        <s v="23070.064821/2021-89"/>
        <s v="23070.053410/2021-68"/>
        <s v="23070.050030/2021-71"/>
        <s v="23070.019724/2021-31"/>
        <s v="23070.040768/2021-21"/>
        <s v="23070.038695/2020-26"/>
        <s v="23070.022105/2020-43"/>
        <s v="23070.058041/2021-08"/>
        <s v="23070.057937/2021-61"/>
        <s v="23070.048994/2021-50"/>
        <s v="23070.048564/2021-38"/>
        <s v="23070.058560/2020-87"/>
        <s v="23070.021829/2020-70"/>
        <s v="23070.035985/2019-84"/>
        <s v="23070.035300/2019-08"/>
        <s v="23070.035539/2019-70"/>
        <s v="23070.018648/2019-22"/>
        <s v="23070.012528/2019-11"/>
      </sharedItems>
    </cacheField>
    <cacheField name="Recebido" numFmtId="164">
      <sharedItems containsDate="1" containsString="0" containsBlank="1">
        <d v="2026-06-22T00:00:00Z"/>
        <d v="2026-06-17T00:00:00Z"/>
        <d v="2026-06-09T00:00:00Z"/>
        <d v="2026-06-08T00:00:00Z"/>
        <d v="2026-06-01T00:00:00Z"/>
        <d v="2026-05-22T00:00:00Z"/>
        <d v="2026-05-21T00:00:00Z"/>
        <d v="2026-05-18T00:00:00Z"/>
        <d v="2026-05-15T00:00:00Z"/>
        <d v="2026-05-13T00:00:00Z"/>
        <d v="2026-05-11T00:00:00Z"/>
        <d v="2026-05-05T00:00:00Z"/>
        <d v="2026-04-29T00:00:00Z"/>
        <d v="2026-04-27T00:00:00Z"/>
        <d v="2026-04-26T00:00:00Z"/>
        <d v="2026-04-18T00:00:00Z"/>
        <d v="2026-04-17T00:00:00Z"/>
        <d v="2026-04-08T00:00:00Z"/>
        <d v="2026-04-06T00:00:00Z"/>
        <d v="2026-04-02T00:00:00Z"/>
        <d v="2026-04-01T00:00:00Z"/>
        <d v="2026-03-31T00:00:00Z"/>
        <d v="2026-03-30T00:00:00Z"/>
        <d v="2026-03-27T00:00:00Z"/>
        <d v="2026-03-26T00:00:00Z"/>
        <d v="2026-03-25T00:00:00Z"/>
        <d v="2026-03-24T00:00:00Z"/>
        <d v="2026-03-20T00:00:00Z"/>
        <d v="2026-03-19T00:00:00Z"/>
        <d v="2026-03-17T00:00:00Z"/>
        <d v="2026-03-07T00:00:00Z"/>
        <d v="2026-03-03T00:00:00Z"/>
        <d v="2026-02-27T00:00:00Z"/>
        <d v="2026-02-23T00:00:00Z"/>
        <d v="2026-02-13T00:00:00Z"/>
        <d v="2026-02-12T00:00:00Z"/>
        <d v="2026-02-10T00:00:00Z"/>
        <d v="2026-01-29T00:00:00Z"/>
        <d v="2026-01-27T00:00:00Z"/>
        <d v="2026-01-26T00:00:00Z"/>
        <d v="2026-01-19T00:00:00Z"/>
        <d v="2026-01-16T00:00:00Z"/>
        <d v="2026-01-12T00:00:00Z"/>
        <d v="2025-12-26T00:00:00Z"/>
        <d v="2025-12-11T00:00:00Z"/>
        <d v="2025-12-10T00:00:00Z"/>
        <d v="2025-12-08T00:00:00Z"/>
        <d v="2025-11-27T00:00:00Z"/>
        <d v="2025-10-29T00:00:00Z"/>
        <d v="2025-10-28T00:00:00Z"/>
        <d v="2025-10-22T00:00:00Z"/>
        <d v="2025-10-08T00:00:00Z"/>
        <d v="2025-10-15T00:00:00Z"/>
        <d v="2025-10-14T00:00:00Z"/>
        <d v="2025-10-07T00:00:00Z"/>
        <d v="2025-09-26T00:00:00Z"/>
        <d v="2025-09-25T00:00:00Z"/>
        <d v="2025-09-18T00:00:00Z"/>
        <d v="2025-09-15T00:00:00Z"/>
        <d v="2025-09-11T00:00:00Z"/>
        <d v="2025-09-04T00:00:00Z"/>
        <d v="2025-08-28T00:00:00Z"/>
        <d v="2025-08-22T00:00:00Z"/>
        <d v="2025-08-18T00:00:00Z"/>
        <d v="2025-08-14T00:00:00Z"/>
        <d v="2025-08-06T00:00:00Z"/>
        <d v="2025-08-05T00:00:00Z"/>
        <d v="2025-07-31T00:00:00Z"/>
        <d v="2025-07-28T00:00:00Z"/>
        <d v="2025-07-27T00:00:00Z"/>
        <d v="2025-07-14T00:00:00Z"/>
        <d v="2025-07-10T00:00:00Z"/>
        <d v="2025-06-30T00:00:00Z"/>
        <d v="2025-06-10T00:00:00Z"/>
        <d v="2025-06-05T00:00:00Z"/>
        <d v="2025-06-03T00:00:00Z"/>
        <d v="2025-06-02T00:00:00Z"/>
        <d v="2025-05-28T00:00:00Z"/>
        <d v="2025-05-20T00:00:00Z"/>
        <d v="2025-05-06T00:00:00Z"/>
        <d v="2025-04-17T00:00:00Z"/>
        <d v="2025-03-25T00:00:00Z"/>
        <d v="2025-03-19T00:00:00Z"/>
        <d v="2025-03-14T00:00:00Z"/>
        <d v="2025-03-07T00:00:00Z"/>
        <d v="2025-02-27T00:00:00Z"/>
        <d v="2025-02-06T00:00:00Z"/>
        <d v="2025-02-21T00:00:00Z"/>
        <d v="2025-02-20T00:00:00Z"/>
        <d v="2025-02-11T00:00:00Z"/>
        <d v="2025-02-04T00:00:00Z"/>
        <d v="2025-01-22T00:00:00Z"/>
        <d v="2025-01-20T00:00:00Z"/>
        <d v="2024-12-27T00:00:00Z"/>
        <d v="2024-12-19T00:00:00Z"/>
        <d v="2024-12-12T00:00:00Z"/>
        <d v="2024-12-10T00:00:00Z"/>
        <d v="2024-12-04T00:00:00Z"/>
        <d v="2024-12-03T00:00:00Z"/>
        <d v="2024-11-29T00:00:00Z"/>
        <d v="2024-11-25T00:00:00Z"/>
        <d v="2024-11-21T00:00:00Z"/>
        <d v="2024-11-19T00:00:00Z"/>
        <d v="2024-11-14T00:00:00Z"/>
        <d v="2024-11-12T00:00:00Z"/>
        <d v="2024-11-07T00:00:00Z"/>
        <d v="2024-11-04T00:00:00Z"/>
        <d v="2024-10-29T00:00:00Z"/>
        <d v="2024-10-23T00:00:00Z"/>
        <d v="2024-10-21T00:00:00Z"/>
        <d v="2024-10-15T00:00:00Z"/>
        <d v="2024-10-10T00:00:00Z"/>
        <d v="2024-10-08T00:00:00Z"/>
        <d v="2024-04-16T00:00:00Z"/>
        <d v="2024-10-07T00:00:00Z"/>
        <d v="2024-09-30T00:00:00Z"/>
        <d v="2024-09-26T00:00:00Z"/>
        <d v="2024-09-25T00:00:00Z"/>
        <d v="2024-09-19T00:00:00Z"/>
        <d v="2024-09-16T00:00:00Z"/>
        <d v="2024-09-12T00:00:00Z"/>
        <d v="2024-09-10T00:00:00Z"/>
        <d v="2024-09-05T00:00:00Z"/>
        <d v="2024-09-02T00:00:00Z"/>
        <d v="2024-09-06T00:00:00Z"/>
        <d v="2024-08-30T00:00:00Z"/>
        <d v="2024-08-28T00:00:00Z"/>
        <d v="2024-08-27T00:00:00Z"/>
        <d v="2024-08-22T00:00:00Z"/>
        <d v="2024-08-21T00:00:00Z"/>
        <d v="2024-08-20T00:00:00Z"/>
        <d v="2024-08-14T00:00:00Z"/>
        <d v="2024-08-08T00:00:00Z"/>
        <d v="2024-07-22T00:00:00Z"/>
        <m/>
        <d v="2024-07-24T00:00:00Z"/>
        <d v="2024-07-19T00:00:00Z"/>
        <d v="2024-07-12T00:00:00Z"/>
        <d v="2024-07-02T00:00:00Z"/>
        <d v="2024-07-01T00:00:00Z"/>
        <d v="2024-06-27T00:00:00Z"/>
        <d v="2024-06-28T00:00:00Z"/>
        <d v="2024-04-26T00:00:00Z"/>
        <d v="2024-04-05T00:00:00Z"/>
        <d v="2024-04-24T00:00:00Z"/>
        <d v="2024-04-01T00:00:00Z"/>
        <d v="2024-03-15T00:00:00Z"/>
        <d v="2024-03-02T00:00:00Z"/>
        <d v="2024-03-01T00:00:00Z"/>
        <d v="2024-02-16T00:00:00Z"/>
        <d v="2024-02-15T00:00:00Z"/>
        <d v="2024-02-06T00:00:00Z"/>
        <d v="2024-01-31T00:00:00Z"/>
        <d v="2024-01-22T00:00:00Z"/>
        <d v="2024-01-03T00:00:00Z"/>
        <d v="2023-12-22T00:00:00Z"/>
        <d v="2023-12-05T00:00:00Z"/>
        <d v="2023-11-24T00:00:00Z"/>
        <d v="2023-11-23T00:00:00Z"/>
        <d v="2023-11-20T00:00:00Z"/>
        <d v="2023-11-14T00:00:00Z"/>
        <d v="2023-11-11T00:00:00Z"/>
        <d v="2023-11-10T00:00:00Z"/>
        <d v="2023-11-09T00:00:00Z"/>
        <d v="2023-10-31T00:00:00Z"/>
        <d v="2023-10-18T00:00:00Z"/>
        <d v="2023-10-06T00:00:00Z"/>
        <d v="2023-09-19T00:00:00Z"/>
        <d v="2023-03-19T00:00:00Z"/>
        <d v="2023-09-12T00:00:00Z"/>
        <d v="2023-09-08T00:00:00Z"/>
        <d v="2023-09-05T00:00:00Z"/>
        <d v="2023-08-28T00:00:00Z"/>
        <d v="2023-08-18T00:00:00Z"/>
        <d v="2023-08-09T00:00:00Z"/>
        <d v="2023-08-04T00:00:00Z"/>
        <d v="2023-08-03T00:00:00Z"/>
        <d v="2023-08-02T00:00:00Z"/>
        <d v="2023-07-11T00:00:00Z"/>
        <d v="2023-07-10T00:00:00Z"/>
        <d v="2023-07-05T00:00:00Z"/>
        <d v="2023-08-25T00:00:00Z"/>
        <d v="2023-08-16T00:00:00Z"/>
        <d v="2023-06-29T00:00:00Z"/>
        <d v="2023-07-31T00:00:00Z"/>
        <d v="2023-07-28T00:00:00Z"/>
        <d v="2023-06-28T00:00:00Z"/>
        <d v="2023-06-27T00:00:00Z"/>
        <d v="2023-07-26T00:00:00Z"/>
        <d v="2023-07-06T00:00:00Z"/>
        <d v="2023-06-16T00:00:00Z"/>
        <d v="2023-06-14T00:00:00Z"/>
        <d v="2023-06-07T00:00:00Z"/>
        <d v="2023-06-05T00:00:00Z"/>
        <d v="2023-05-30T00:00:00Z"/>
        <d v="2023-05-23T00:00:00Z"/>
        <d v="2023-05-18T00:00:00Z"/>
        <d v="2023-05-04T00:00:00Z"/>
        <d v="2023-05-03T00:00:00Z"/>
        <d v="2023-05-02T00:00:00Z"/>
        <d v="2023-04-24T00:00:00Z"/>
        <d v="2023-04-18T00:00:00Z"/>
        <d v="2023-04-10T00:00:00Z"/>
        <d v="2023-03-31T00:00:00Z"/>
        <d v="2023-03-21T00:00:00Z"/>
        <d v="2023-03-14T00:00:00Z"/>
        <d v="2023-03-13T00:00:00Z"/>
        <d v="2023-03-08T00:00:00Z"/>
        <d v="2023-03-06T00:00:00Z"/>
        <d v="2023-03-02T00:00:00Z"/>
        <d v="2023-02-28T00:00:00Z"/>
        <d v="2023-02-24T00:00:00Z"/>
        <d v="2023-02-03T00:00:00Z"/>
        <d v="2023-01-31T00:00:00Z"/>
        <d v="2023-01-20T00:00:00Z"/>
        <d v="2023-01-13T00:00:00Z"/>
        <d v="2022-11-30T00:00:00Z"/>
        <d v="2023-01-30T00:00:00Z"/>
        <d v="2023-01-11T00:00:00Z"/>
        <d v="2023-01-09T00:00:00Z"/>
        <d v="2022-12-19T00:00:00Z"/>
        <d v="2022-12-12T00:00:00Z"/>
        <d v="2022-12-08T00:00:00Z"/>
        <d v="2022-12-07T00:00:00Z"/>
        <d v="2022-12-06T00:00:00Z"/>
        <d v="2022-11-04T00:00:00Z"/>
        <d v="2022-11-01T00:00:00Z"/>
        <d v="2022-10-18T00:00:00Z"/>
        <d v="2022-10-06T00:00:00Z"/>
        <d v="2022-08-31T00:00:00Z"/>
        <d v="2022-08-24T00:00:00Z"/>
        <d v="2022-08-17T00:00:00Z"/>
        <d v="2022-08-08T00:00:00Z"/>
        <d v="2022-08-05T00:00:00Z"/>
        <d v="2022-09-26T00:00:00Z"/>
        <d v="2022-09-21T00:00:00Z"/>
        <d v="2022-09-13T00:00:00Z"/>
        <d v="2022-09-09T00:00:00Z"/>
        <d v="2022-09-06T00:00:00Z"/>
        <d v="2022-08-26T00:00:00Z"/>
        <d v="2022-08-16T00:00:00Z"/>
        <d v="2022-08-10T00:00:00Z"/>
        <d v="2022-07-29T00:00:00Z"/>
        <d v="2022-07-27T00:00:00Z"/>
        <d v="2022-07-15T00:00:00Z"/>
        <d v="2022-07-14T00:00:00Z"/>
        <d v="2022-07-08T00:00:00Z"/>
        <d v="2022-07-06T00:00:00Z"/>
        <d v="2022-06-05T00:00:00Z"/>
        <d v="2022-06-03T00:00:00Z"/>
        <d v="2023-05-19T00:00:00Z"/>
        <d v="2022-05-19T00:00:00Z"/>
        <d v="2022-05-18T00:00:00Z"/>
        <d v="2022-05-16T00:00:00Z"/>
        <d v="2022-05-14T00:00:00Z"/>
        <d v="2022-05-12T00:00:00Z"/>
        <d v="2022-05-06T00:00:00Z"/>
        <d v="2022-05-04T00:00:00Z"/>
        <d v="2022-04-25T00:00:00Z"/>
        <d v="2022-04-18T00:00:00Z"/>
        <d v="2022-04-12T00:00:00Z"/>
        <d v="2022-04-06T00:00:00Z"/>
        <d v="2022-04-01T00:00:00Z"/>
        <d v="2022-03-25T00:00:00Z"/>
        <d v="2022-03-31T00:00:00Z"/>
        <d v="2022-03-23T00:00:00Z"/>
        <d v="2022-03-16T00:00:00Z"/>
        <d v="2022-02-22T00:00:00Z"/>
        <d v="2022-02-17T00:00:00Z"/>
        <d v="2022-01-20T00:00:00Z"/>
        <d v="2021-12-03T00:00:00Z"/>
        <d v="2021-10-05T00:00:00Z"/>
        <d v="2021-09-21T00:00:00Z"/>
        <d v="2021-08-26T00:00:00Z"/>
        <d v="2021-08-04T00:00:00Z"/>
        <d v="2021-06-22T00:00:00Z"/>
        <d v="2021-11-04T00:00:00Z"/>
        <d v="2021-11-05T00:00:00Z"/>
        <d v="2021-09-14T00:00:00Z"/>
        <d v="2021-01-18T00:00:00Z"/>
        <d v="2020-05-07T00:00:00Z"/>
        <d v="2019-10-02T00:00:00Z"/>
        <d v="2019-09-26T00:00:00Z"/>
        <d v="2019-10-23T00:00:00Z"/>
        <d v="2019-08-23T00:00:00Z"/>
        <d v="2019-04-30T00:00:00Z"/>
      </sharedItems>
    </cacheField>
    <cacheField name="A.R.">
      <sharedItems containsSemiMixedTypes="0" containsDate="1" containsString="0" containsMixedTypes="1">
        <d v="2026-06-22T00:00:00Z"/>
        <d v="2026-06-17T00:00:00Z"/>
        <d v="2026-06-09T00:00:00Z"/>
        <d v="2026-06-08T00:00:00Z"/>
        <d v="2026-06-01T00:00:00Z"/>
        <d v="2026-05-22T00:00:00Z"/>
        <d v="2026-05-21T00:00:00Z"/>
        <d v="2026-05-18T00:00:00Z"/>
        <d v="2026-05-15T00:00:00Z"/>
        <d v="2026-05-13T00:00:00Z"/>
        <d v="2026-05-11T00:00:00Z"/>
        <d v="2026-05-05T00:00:00Z"/>
        <d v="2026-04-29T00:00:00Z"/>
        <d v="2026-04-27T00:00:00Z"/>
        <d v="2026-04-26T00:00:00Z"/>
        <d v="2026-04-18T00:00:00Z"/>
        <d v="2026-04-17T00:00:00Z"/>
        <d v="2026-04-08T00:00:00Z"/>
        <d v="2026-04-06T00:00:00Z"/>
        <d v="2026-04-02T00:00:00Z"/>
        <d v="2026-04-01T00:00:00Z"/>
        <d v="2026-03-31T00:00:00Z"/>
        <d v="2026-03-30T00:00:00Z"/>
        <d v="2026-03-27T00:00:00Z"/>
        <d v="2026-03-26T00:00:00Z"/>
        <d v="2026-03-25T00:00:00Z"/>
        <d v="2026-03-24T00:00:00Z"/>
        <d v="2026-03-20T00:00:00Z"/>
        <d v="2026-03-19T00:00:00Z"/>
        <d v="2026-03-17T00:00:00Z"/>
        <d v="2026-03-07T00:00:00Z"/>
        <d v="2026-03-03T00:00:00Z"/>
        <d v="2026-02-27T00:00:00Z"/>
        <d v="2026-02-23T00:00:00Z"/>
        <d v="2026-02-13T00:00:00Z"/>
        <d v="2026-02-12T00:00:00Z"/>
        <d v="2026-02-10T00:00:00Z"/>
        <d v="2026-01-29T00:00:00Z"/>
        <d v="2026-01-27T00:00:00Z"/>
        <d v="2026-01-26T00:00:00Z"/>
        <d v="2026-01-19T00:00:00Z"/>
        <d v="2026-01-16T00:00:00Z"/>
        <d v="2026-01-12T00:00:00Z"/>
        <d v="2025-12-26T00:00:00Z"/>
        <d v="2025-12-11T00:00:00Z"/>
        <d v="2025-12-10T00:00:00Z"/>
        <d v="2025-12-08T00:00:00Z"/>
        <d v="2025-11-27T00:00:00Z"/>
        <d v="2025-10-29T00:00:00Z"/>
        <d v="2025-10-28T00:00:00Z"/>
        <d v="2025-10-22T00:00:00Z"/>
        <d v="2025-10-08T00:00:00Z"/>
        <d v="2025-10-15T00:00:00Z"/>
        <d v="2025-10-14T00:00:00Z"/>
        <d v="2025-10-07T00:00:00Z"/>
        <d v="2025-09-26T00:00:00Z"/>
        <d v="2025-09-25T00:00:00Z"/>
        <d v="2025-09-18T00:00:00Z"/>
        <d v="2025-09-15T00:00:00Z"/>
        <d v="2025-09-11T00:00:00Z"/>
        <d v="2025-09-04T00:00:00Z"/>
        <d v="2025-08-28T00:00:00Z"/>
        <d v="2025-08-22T00:00:00Z"/>
        <d v="2025-08-18T00:00:00Z"/>
        <d v="2025-08-14T00:00:00Z"/>
        <d v="2025-08-06T00:00:00Z"/>
        <d v="2025-08-05T00:00:00Z"/>
        <d v="2025-07-31T00:00:00Z"/>
        <d v="2025-07-28T00:00:00Z"/>
        <d v="2025-07-27T00:00:00Z"/>
        <d v="2025-07-14T00:00:00Z"/>
        <d v="2025-07-10T00:00:00Z"/>
        <d v="2025-06-30T00:00:00Z"/>
        <d v="2025-06-10T00:00:00Z"/>
        <d v="2025-06-05T00:00:00Z"/>
        <d v="2025-06-03T00:00:00Z"/>
        <d v="2025-06-02T00:00:00Z"/>
        <d v="2025-05-28T00:00:00Z"/>
        <d v="2025-05-20T00:00:00Z"/>
        <d v="2025-05-06T00:00:00Z"/>
        <d v="2025-04-17T00:00:00Z"/>
        <d v="2025-03-25T00:00:00Z"/>
        <d v="2025-03-19T00:00:00Z"/>
        <d v="2025-03-14T00:00:00Z"/>
        <d v="2025-03-07T00:00:00Z"/>
        <d v="2025-02-27T00:00:00Z"/>
        <d v="2025-02-06T00:00:00Z"/>
        <d v="2025-02-21T00:00:00Z"/>
        <d v="2025-02-20T00:00:00Z"/>
        <d v="2025-02-11T00:00:00Z"/>
        <d v="2025-02-04T00:00:00Z"/>
        <d v="2025-01-22T00:00:00Z"/>
        <d v="2025-01-20T00:00:00Z"/>
        <d v="2024-12-27T00:00:00Z"/>
        <d v="2024-12-19T00:00:00Z"/>
        <d v="2024-12-12T00:00:00Z"/>
        <d v="2024-12-10T00:00:00Z"/>
        <d v="2024-12-04T00:00:00Z"/>
        <d v="2024-12-03T00:00:00Z"/>
        <d v="2024-11-29T00:00:00Z"/>
        <d v="2024-11-25T00:00:00Z"/>
        <d v="2024-11-21T00:00:00Z"/>
        <d v="2024-11-19T00:00:00Z"/>
        <d v="2024-11-14T00:00:00Z"/>
        <d v="2024-11-12T00:00:00Z"/>
        <d v="2024-11-07T00:00:00Z"/>
        <d v="2024-11-04T00:00:00Z"/>
        <d v="2024-10-29T00:00:00Z"/>
        <d v="2024-10-23T00:00:00Z"/>
        <d v="2024-10-21T00:00:00Z"/>
        <d v="2024-10-15T00:00:00Z"/>
        <d v="2024-10-10T00:00:00Z"/>
        <d v="2024-10-08T00:00:00Z"/>
        <d v="2024-04-16T00:00:00Z"/>
        <d v="2024-10-07T00:00:00Z"/>
        <d v="2024-09-30T00:00:00Z"/>
        <d v="2024-09-26T00:00:00Z"/>
        <d v="2024-09-25T00:00:00Z"/>
        <d v="2024-09-19T00:00:00Z"/>
        <d v="2024-09-16T00:00:00Z"/>
        <d v="2024-09-12T00:00:00Z"/>
        <d v="2024-09-10T00:00:00Z"/>
        <d v="2024-09-05T00:00:00Z"/>
        <d v="2024-09-02T00:00:00Z"/>
        <d v="2024-09-06T00:00:00Z"/>
        <d v="2024-08-30T00:00:00Z"/>
        <d v="2024-08-28T00:00:00Z"/>
        <d v="2024-08-27T00:00:00Z"/>
        <d v="2024-08-22T00:00:00Z"/>
        <d v="2024-08-21T00:00:00Z"/>
        <d v="2024-08-20T00:00:00Z"/>
        <d v="2024-08-14T00:00:00Z"/>
        <d v="2024-08-08T00:00:00Z"/>
        <d v="2024-07-22T00:00:00Z"/>
        <n v="2024.0"/>
        <d v="2024-07-24T00:00:00Z"/>
        <d v="2024-07-19T00:00:00Z"/>
        <d v="2024-07-12T00:00:00Z"/>
        <d v="2024-07-02T00:00:00Z"/>
        <d v="2024-07-01T00:00:00Z"/>
        <d v="2024-06-27T00:00:00Z"/>
        <d v="2024-06-28T00:00:00Z"/>
        <d v="2024-04-26T00:00:00Z"/>
        <d v="2024-04-05T00:00:00Z"/>
        <d v="2024-04-24T00:00:00Z"/>
        <d v="2024-04-01T00:00:00Z"/>
        <d v="2024-03-15T00:00:00Z"/>
        <d v="2024-03-02T00:00:00Z"/>
        <d v="2024-03-01T00:00:00Z"/>
        <d v="2024-02-16T00:00:00Z"/>
        <d v="2024-02-15T00:00:00Z"/>
        <d v="2024-02-06T00:00:00Z"/>
        <d v="2024-01-31T00:00:00Z"/>
        <d v="2024-01-22T00:00:00Z"/>
        <d v="2024-01-03T00:00:00Z"/>
        <d v="2023-12-22T00:00:00Z"/>
        <d v="2023-12-05T00:00:00Z"/>
        <d v="2023-11-24T00:00:00Z"/>
        <d v="2023-11-23T00:00:00Z"/>
        <d v="2023-11-20T00:00:00Z"/>
        <d v="2023-11-14T00:00:00Z"/>
        <d v="2023-11-11T00:00:00Z"/>
        <d v="2023-11-10T00:00:00Z"/>
        <d v="2023-11-09T00:00:00Z"/>
        <d v="2023-10-31T00:00:00Z"/>
        <d v="2023-10-18T00:00:00Z"/>
        <d v="2023-10-06T00:00:00Z"/>
        <d v="2023-09-19T00:00:00Z"/>
        <d v="2023-03-19T00:00:00Z"/>
        <d v="2023-09-12T00:00:00Z"/>
        <d v="2023-09-08T00:00:00Z"/>
        <d v="2023-09-05T00:00:00Z"/>
        <d v="2023-08-28T00:00:00Z"/>
        <d v="2023-08-18T00:00:00Z"/>
        <d v="2023-08-09T00:00:00Z"/>
        <d v="2023-08-04T00:00:00Z"/>
        <d v="2023-08-03T00:00:00Z"/>
        <d v="2023-08-02T00:00:00Z"/>
        <d v="2023-07-11T00:00:00Z"/>
        <d v="2023-07-10T00:00:00Z"/>
        <d v="2023-07-05T00:00:00Z"/>
        <d v="2023-08-25T00:00:00Z"/>
        <d v="2023-08-16T00:00:00Z"/>
        <d v="2023-06-29T00:00:00Z"/>
        <d v="2023-07-31T00:00:00Z"/>
        <d v="2023-07-28T00:00:00Z"/>
        <d v="2023-06-28T00:00:00Z"/>
        <d v="2023-06-27T00:00:00Z"/>
        <d v="2023-07-26T00:00:00Z"/>
        <d v="2023-07-06T00:00:00Z"/>
        <d v="2023-06-16T00:00:00Z"/>
        <d v="2023-06-14T00:00:00Z"/>
        <d v="2023-06-07T00:00:00Z"/>
        <d v="2023-06-05T00:00:00Z"/>
        <d v="2023-05-30T00:00:00Z"/>
        <d v="2023-05-23T00:00:00Z"/>
        <d v="2023-05-18T00:00:00Z"/>
        <d v="2023-05-04T00:00:00Z"/>
        <d v="2023-05-03T00:00:00Z"/>
        <d v="2023-05-02T00:00:00Z"/>
        <d v="2023-04-24T00:00:00Z"/>
        <d v="2023-04-18T00:00:00Z"/>
        <d v="2023-04-10T00:00:00Z"/>
        <d v="2023-03-31T00:00:00Z"/>
        <d v="2023-03-21T00:00:00Z"/>
        <d v="2023-03-14T00:00:00Z"/>
        <d v="2023-03-13T00:00:00Z"/>
        <d v="2023-03-08T00:00:00Z"/>
        <d v="2023-03-06T00:00:00Z"/>
        <d v="2023-03-02T00:00:00Z"/>
        <d v="2023-02-28T00:00:00Z"/>
        <d v="2023-02-24T00:00:00Z"/>
        <d v="2023-02-03T00:00:00Z"/>
        <d v="2023-01-31T00:00:00Z"/>
        <d v="2023-01-20T00:00:00Z"/>
        <d v="2023-01-13T00:00:00Z"/>
        <d v="2022-11-30T00:00:00Z"/>
        <d v="2023-01-30T00:00:00Z"/>
        <d v="2023-01-11T00:00:00Z"/>
        <d v="2023-01-09T00:00:00Z"/>
        <d v="2022-12-19T00:00:00Z"/>
        <d v="2022-12-12T00:00:00Z"/>
        <d v="2022-12-08T00:00:00Z"/>
        <d v="2022-12-07T00:00:00Z"/>
        <d v="2022-12-06T00:00:00Z"/>
        <d v="2022-11-04T00:00:00Z"/>
        <d v="2022-11-01T00:00:00Z"/>
        <d v="2022-10-18T00:00:00Z"/>
        <d v="2022-10-06T00:00:00Z"/>
        <d v="2022-08-31T00:00:00Z"/>
        <d v="2022-08-24T00:00:00Z"/>
        <d v="2022-08-17T00:00:00Z"/>
        <d v="2022-08-08T00:00:00Z"/>
        <d v="2022-08-05T00:00:00Z"/>
        <d v="2022-09-26T00:00:00Z"/>
        <d v="2022-09-21T00:00:00Z"/>
        <d v="2022-09-13T00:00:00Z"/>
        <d v="2022-09-09T00:00:00Z"/>
        <d v="2022-09-06T00:00:00Z"/>
        <d v="2022-08-26T00:00:00Z"/>
        <d v="2022-08-16T00:00:00Z"/>
        <d v="2022-08-10T00:00:00Z"/>
        <d v="2022-07-29T00:00:00Z"/>
        <d v="2022-07-27T00:00:00Z"/>
        <d v="2022-07-15T00:00:00Z"/>
        <d v="2022-07-14T00:00:00Z"/>
        <d v="2022-07-08T00:00:00Z"/>
        <d v="2022-07-06T00:00:00Z"/>
        <d v="2022-06-05T00:00:00Z"/>
        <d v="2022-06-03T00:00:00Z"/>
        <d v="2023-05-19T00:00:00Z"/>
        <d v="2022-05-19T00:00:00Z"/>
        <d v="2022-05-18T00:00:00Z"/>
        <d v="2022-05-16T00:00:00Z"/>
        <d v="2022-05-14T00:00:00Z"/>
        <d v="2022-05-12T00:00:00Z"/>
        <d v="2022-05-06T00:00:00Z"/>
        <d v="2022-05-04T00:00:00Z"/>
        <d v="2022-04-25T00:00:00Z"/>
        <d v="2022-04-18T00:00:00Z"/>
        <d v="2022-04-12T00:00:00Z"/>
        <d v="2022-04-06T00:00:00Z"/>
        <d v="2022-04-01T00:00:00Z"/>
        <d v="2022-03-25T00:00:00Z"/>
        <d v="2022-03-31T00:00:00Z"/>
        <d v="2022-03-23T00:00:00Z"/>
        <d v="2022-03-16T00:00:00Z"/>
        <d v="2022-02-22T00:00:00Z"/>
        <d v="2022-02-17T00:00:00Z"/>
        <d v="2022-01-20T00:00:00Z"/>
        <d v="2021-12-03T00:00:00Z"/>
        <d v="2021-10-05T00:00:00Z"/>
        <d v="2021-09-21T00:00:00Z"/>
        <d v="2021-08-26T00:00:00Z"/>
        <d v="2021-08-04T00:00:00Z"/>
        <d v="2021-06-22T00:00:00Z"/>
        <d v="2021-11-04T00:00:00Z"/>
        <d v="2021-11-05T00:00:00Z"/>
        <d v="2021-09-14T00:00:00Z"/>
        <d v="2021-01-18T00:00:00Z"/>
        <d v="2020-05-07T00:00:00Z"/>
        <d v="2019-10-02T00:00:00Z"/>
        <d v="2019-09-26T00:00:00Z"/>
        <d v="2019-10-23T00:00:00Z"/>
        <d v="2019-08-23T00:00:00Z"/>
        <d v="2019-04-30T00:00:00Z"/>
      </sharedItems>
    </cacheField>
    <cacheField name="Unidade" numFmtId="0">
      <sharedItems containsBlank="1">
        <s v="EVZ"/>
        <s v="FM"/>
        <s v="FF"/>
        <s v="GR"/>
        <s v="SEINFRA"/>
        <s v="FIRMINOPOLIS"/>
        <s v="BC"/>
        <s v="PROPESSOAS"/>
        <s v="FL"/>
        <s v="IQ"/>
        <s v="CEPAE"/>
        <s v="CGA"/>
        <s v="EA"/>
        <s v="DCF"/>
        <s v="IPTSP"/>
        <s v="SIN"/>
        <s v="ICB"/>
        <s v="DEC"/>
        <s v="Reitoria"/>
        <s v="IESA"/>
        <s v="PRAE"/>
        <s v="FD"/>
        <s v="FANUT"/>
        <s v="DASS"/>
        <s v="UAECSA-RG"/>
        <s v="FEN"/>
        <s v="PRPI"/>
        <s v="DIR-RG"/>
        <s v="FE"/>
        <s v="EMC"/>
        <s v="IME"/>
        <s v="SETI"/>
        <s v="CE"/>
        <s v="IF"/>
        <s v="Centro Cultural"/>
        <s v="FCT"/>
        <s v="HV"/>
        <s v="SECOM"/>
        <s v="DCOM"/>
        <s v="CEGRAF"/>
        <s v="Museu Antropológico"/>
        <s v="PTSS"/>
        <s v="NIPEE-DH"/>
        <s v="FIC"/>
        <s v="FCS"/>
        <s v="EECA"/>
        <s v="RG"/>
        <s v="FO"/>
        <s v="CEROF"/>
        <s v="INF"/>
        <s v="CIDARQ"/>
        <s v=" EECA"/>
        <s v="ESTÁGIO"/>
        <s v="HC/EBSERH"/>
        <s v="FH"/>
        <s v="EA "/>
        <s v="Herbário"/>
        <s v="EMAC"/>
        <s v="FEFD"/>
        <s v="FAV"/>
        <s v="IPTSP "/>
        <s v="PTS"/>
        <s v="Faculdade de Direito / DCOM"/>
        <s v="DLOG"/>
        <s v="SDH"/>
        <s v="PRPG"/>
        <s v="FACE"/>
        <s v="MUSEU"/>
        <s v="LAMES"/>
        <s v="SECPLAN"/>
        <s v="DAP"/>
        <s v="CIAR"/>
        <s v="Rádio Universitária"/>
        <s v="PROEC"/>
        <s v="SRI"/>
        <s v="PROEC - Centro de Eventos"/>
        <s v="DFP"/>
        <s v="UAECH-RG"/>
        <s v="PROGRAD"/>
        <s v="VD-CN"/>
        <s v="Instituto Verbena"/>
        <s v="CC"/>
        <s v="CDPA"/>
        <m/>
        <s v="CPA/EVZ"/>
        <s v="FEN/FANUT"/>
        <s v="CEPEA"/>
        <s v="IQ "/>
        <s v="CERCOMP"/>
      </sharedItems>
    </cacheField>
    <cacheField name="Campus" numFmtId="0">
      <sharedItems containsBlank="1">
        <s v="Samambaia"/>
        <s v="Colemar"/>
        <s v="Goiás"/>
        <m/>
        <s v="Firminópolis"/>
        <s v="Anápolis"/>
        <s v="Ap. Goiânia"/>
        <s v="Cidade Ocidental"/>
        <s v="Externo"/>
        <s v="Caldas Novas"/>
      </sharedItems>
    </cacheField>
    <cacheField name="Regional" numFmtId="0">
      <sharedItems containsBlank="1">
        <s v="Goiânia"/>
        <s v="Goiás"/>
        <m/>
        <s v="Firminópolis"/>
        <s v="Cidade Ocidental"/>
        <s v="Caldas Novas"/>
      </sharedItems>
    </cacheField>
    <cacheField name="Conteúdo" numFmtId="0">
      <sharedItems>
        <s v="Adequação Biotério EVZ - Resolução CONCEA nº 57/2022"/>
        <s v="Revitalização Estacionamento FM"/>
        <s v="Cercon Prédio Odontologia"/>
        <s v="Regularização Área Campus Goiás"/>
        <s v="Estágio Enzo Gabriel Moreira Campos"/>
        <s v="Construção Auditório Firminópolis"/>
        <s v="Ata Projetos Complementares PR SRP 90.011/2025"/>
        <s v="Reforma do Serviço de Atendimento ao Usuário da Biblioteca Central"/>
        <s v="Reforma do Laboratório de Plantas Tóxicas da EVZ/UFG"/>
        <s v="Adequações para sala do UFG Memória"/>
        <s v="Estacionamento SIASS"/>
        <s v="Nova edificação p/ Centro de Línguas FL"/>
        <s v="Requalificação estacionamento FM"/>
        <s v="Proteção Portas e Janelas Cozinha Firminópolis"/>
        <s v="Adequação Central de Gás Firminópolis"/>
        <s v="Adequação p/ depósito de reagentes e solventes LABSO-111A (IQ 1)"/>
        <s v="Adequações Biotério junto ao CONCEA"/>
        <s v="Cobertura entre blocos Firminópolis"/>
        <s v="Guarita CEPAE"/>
        <s v="Adequação Calçadas Estacionamento Acessibilidade Firminópolis"/>
        <s v="Reforma Dispensa de Alimentos Firminópolis"/>
        <s v="Adequação Layout CGA"/>
        <s v="Estágio Probatório Murillo"/>
        <s v="Cópia Projeto Caixa d´Água Agronomia"/>
        <s v="Justificativa DCF CNPJ UFG"/>
        <s v="Adequações Entrada Faculdade de Medicina"/>
        <s v="Especificação Mobiliário Especial FM"/>
        <s v="Criação de Almoxarifado CMBiotecs IPSTSP"/>
        <s v="Reforma Auditório FL"/>
        <s v="Reforma Espaço IntegraSIN Centro de Convivência"/>
        <s v="Edifício destinado à Central de Análise Multiusuária (CAM) IQ"/>
        <s v="Ampliação do prédio do NUPEC-IQ/UFG"/>
        <s v="Novo edifício de salas para professores, servidores técnico-administrativos e alunos ICB"/>
        <s v="Manutenção do piso de madeira do Teatro e da Sala de Dança do Centro Cultural"/>
        <s v="Reforma Gabinete Reitoria"/>
        <s v="Projeto p/ LERAF IESA"/>
        <s v="Projeto Executivo Serviço Odontologico aprovado VISA"/>
        <s v="Adequação Sanitários FD Pav. Superior Graduação"/>
        <s v="Mobiliário Acessível Lab. Dietética FANUT"/>
        <s v="Reforma do Centro de Saúde Campus Samambaia"/>
        <s v="Reformas Banheiros, Corredores, Salas FM"/>
        <s v="Adequação da infraestrutura Setor de Patologia Animal EVZ"/>
        <s v="Alvará VISA p/ CNES - DASS"/>
        <s v="Layout da Sala 202 – Setor de Parasitologia/IPTSP"/>
        <s v="Avaliação  área para a criação de um laboratório de pesquisa e extensão (LERAF) IESA"/>
        <s v="Adaptação de Sala de Aula e Sala de Podcast FD"/>
        <s v="Troca Telhado &quot;Bloco B&quot; Campus Areião - Goiás"/>
        <s v="Reforma Sanitários FEN"/>
        <s v="Quadro de Áreas p/ Contrato Limpeza"/>
        <s v="Estudo Preliminar Lab. Economia Circular p/ Edital FINEP"/>
        <s v="Adequação de Layout e Pintura Interior SIN"/>
        <s v="Sanitários Pav. Superior FD"/>
        <s v="Reforma Instituto de Neurologia - Doenças Raras em Neurologia FM/HC"/>
        <s v="Solicita arquivos projetos de Infra. PTS"/>
        <s v="Adequação Acessibilidade Miniauditório FL"/>
        <s v="Adequação Acessibilidade Calçadas qd. 71"/>
        <s v="Reforma Espaços Dep. Ecologia ICB I e ICB V"/>
        <s v="Projeto de Reforma p/ Casa do Estudante"/>
        <s v="Solicitação de Plantas e Projeto Estrutural FM"/>
        <s v="Reforma PROPESSOAS"/>
        <s v="Reforma Sanitários Edu. Infantil"/>
        <s v="Reforma Sala 239 LABCMAT - FE"/>
        <s v="Herbário UFG. Elaboração de projeto estrutural e planta baixa para ampliação."/>
        <s v="Avaliação Espaço p/ lab. extensão IESA"/>
        <s v="Solicitação de espaço e infraestrutura para instalação de Hangar - EMC"/>
        <s v="Solicitação de Alvará de Funcionamento do Centro de Psicologia"/>
        <s v="Reforma Layout NPJ - FD"/>
        <s v="CERCON RUs"/>
        <s v="Sistema Incêndio IME Relatório DASS"/>
        <s v="Autorização uso do espaço p/ Campo de Futebol Robótica"/>
        <s v="Projeto Central de Lavagem, Preparo de material e Esterilização"/>
        <s v="Informações Projetos de Incêndio ICBs"/>
        <s v="Regularização Endereço Numeração Predial EA"/>
        <s v="Projeto Sinalização Salas "/>
        <s v="Cercamento Área Anápolis"/>
        <s v="Análise Instalação Container CERCOMP"/>
        <s v="Averiguar as placas fotovoltaicas - CERCON"/>
        <s v="Alvará Sanitário FEN 2026"/>
        <s v="Readequação de espaço físico para gabinetes docentes"/>
        <s v="Adequações EMC Laboratórios e Vestiário"/>
        <s v="Aquisição Extintores Centro Cultural"/>
        <s v="Espaço Containers Resíduos FE e FM"/>
        <s v="Adequação física dos Laboratórios da Faculdade de Nutrição"/>
        <s v="Adequações VISA Farmácia Universitária"/>
        <s v="Contratação RRT p/ 2026"/>
        <s v="Usina Fotovoltaica Vistoria CBMGO"/>
        <s v="Informa Vistoria CBMGO"/>
        <s v="Projeto, Construção de Pergolado de Madeira"/>
        <s v="Adequação Salas Centro Cirúrgico Pequenos Animais"/>
        <s v="Elaboração de projeto para a construção da portaria de acesso ao Campus"/>
        <s v="Criação de estúdio audiovisual Secom"/>
        <s v="Layout da sala da Coordenação de Análise e Planejamento DCOM"/>
        <s v="Reanalise Locação de Containers EMC"/>
        <s v="Ampliação DMEQ"/>
        <s v="Relatório sistema preventivo de combate a incêndio da FEFD/UFG"/>
        <s v="Manutenção dos equipamentos de segurança contra incêndio  BC"/>
        <s v="Horta FCT"/>
        <s v="Readequação do laboratório de soldagem, com abertura de porta de acesso e construção de sala de eletrônica"/>
        <s v="Adequações Projeto de Incêndio e Relatório DASS"/>
        <s v="Renovação CERCON FEN/FANUT"/>
        <s v="Instalação Corrimão Centro de Eventos"/>
        <s v="Controle Acesso Biblioteca Seccional"/>
        <s v="Seção de uso de área experimental para trabalhos com excências florestais exóticas"/>
        <s v="Especificação pintura e iluminação"/>
        <s v="Relatório DASS FEN/FANUT"/>
        <s v="Revisão Unidade de Reciclagem de Polímeros"/>
        <s v="Adaptação do acesso ao prédio do NDH"/>
        <s v="Projeto para Sala de Práticas Clínicas Veterinárias"/>
        <s v="Projeto Ateliê Tipográfico"/>
        <s v="Escada de Marinheiro Campus Areião - RG"/>
        <s v="Adequações no CMPEA Biotério IPTSP"/>
        <s v="Recarga Extintores EMC"/>
        <s v="Recarga Extintores IQ"/>
        <s v="Solicita Plantas IESA"/>
        <s v="PPCI Evento Temporário Agro Centro Oeste Familiar"/>
        <s v="Relato de falta de acessibilidade - Adequações mobiliário"/>
        <s v="Reformas FF Emenda Parlamentar"/>
        <s v="Alterações exigidas pelo Corpo de Bombeiros Agência de Inovação"/>
        <s v="Passarela Núcleo Takinahaky"/>
        <s v="Avaliação e planejamento de obra de reforma em espaço no Bloco G da EMC"/>
        <s v="Substituição Telhado"/>
        <s v="Adequações LABITEC p/ Edital FINEP"/>
        <s v="Construção de uma edificação na área externa do prédio da EMC"/>
        <s v="Revisão Adequação Salas RU"/>
        <s v="Avaliação p/ Instalação tomografia"/>
        <s v="Alvará Sanitário FEN"/>
        <s v="Alvarás/Licenciamento Sanitário CEROF"/>
        <s v="2 ª Etapa Construção CEIA"/>
        <s v="Ampliação Lab. Microfluídica"/>
        <s v="Intervenção para Arcondicionado INF"/>
        <s v="Projeto de Reforma FD/PPGDP"/>
        <s v="Placa Obra PAC"/>
        <s v="Adequação e Aprovação VISA Serviço Odontológico"/>
        <s v="Vistoria Bombeiros Nuclisolos"/>
        <s v="Adequação p/ CECANE/ FANUT na antiga PRAE"/>
        <s v="Reaprovação CMBiotecs VISA"/>
        <s v="Passarelas e rampas para acessibilidade do Núcleo Takinahaky"/>
        <s v="RRTs CAU 2025"/>
        <s v="Maquete para exposição casarão da Rua 20"/>
        <s v="Acesso Plantas FL"/>
        <s v="Adequação CEMEL - Edital FINEP"/>
        <s v="Adequação Centro de Telecuidado Farmacêutico"/>
        <s v="Planta de Implantação Faz. São Tomé Pinto CEEPEX"/>
        <s v="Detalhe Substituição Janela Centro de Aulas Engenharia"/>
        <s v="Análise proposta de urbanização PTS"/>
        <s v="Parecer Rampa FD"/>
        <s v="Novo Balcão de Atendimento e salas de Videoconferência"/>
        <s v="Levantamento A. Esquadrias Centos de Aulas A,B,C,D e E"/>
        <s v="Construção de Abrigos de Residuos FO, FEN/FANUT"/>
        <s v="Estudo/autorização plantio árvores NDH"/>
        <s v="Reforma e ampliação CEI"/>
        <s v="Layout Livraria Pátio das Humanidades"/>
        <s v="Solicita acesso as plantas dos prédios da FL e outras informações"/>
        <s v="Reforma Laboratório de Plantas Tóxicas da EVZ"/>
        <s v="Reforma da calçada do Labmaco da EECA"/>
        <s v="Projetos Complementares CPCBio - Biotério"/>
        <s v="Levantamento Laboratório de Microbiologia de Alimentos e Água do CPA"/>
        <s v="Reforma p/ Salas de Balança LCQM"/>
        <s v="Reforma no Prédio do Centro Primavesi de Agroecologia - CEPA"/>
        <s v="Reforma sala 252 FE"/>
        <s v="Reforma Jardim Externo FE"/>
        <s v="Grades Janelas FF"/>
        <s v="Reforma Calçada Rua 240 QD 87 Acessibilidade"/>
        <s v="Vistoria Bombeiros FCT"/>
        <s v="Providências em Relação a Projeto de Incêndio"/>
        <s v="Layout Matrículas Remanecentes 2025 - Centro de Aulas Baru"/>
        <s v="Reforma e substituição de corrimão e guarda-corpo"/>
        <s v="Solicitação Plantas INF"/>
        <s v="Estágio Elionai Tavares Oliveira"/>
        <s v="Revisão Calçadas HC"/>
        <s v="Reforma LABMACO - Bloco H"/>
        <s v="Execução Projeto de Incêndio Suinocultura"/>
        <s v="Projeto de Incêndio Almoxarifado IQ"/>
        <s v="Reforma da Administração/Secretaria"/>
        <s v="Reforma Sala 29"/>
        <s v="2ª Etapa Área Convivência Campus Samambaia"/>
        <s v="1ª Etapa Área Convivência Campus Samambaia"/>
        <s v="Informação Área Centro de Convivência Agroquima"/>
        <s v="Intervenções Sala 146 - Quadros e nobreaks p/ Mini Data Center"/>
        <s v="Ginásio Multiuso CEPAE - FAV"/>
        <s v="Projeto Área Externa CEU V"/>
        <s v="Levantamento Edifícios Área Básica"/>
        <s v="Ampliação Espaços CEPAE"/>
        <s v="Análise Implantação Containers"/>
        <s v="Estudo Passarela EMC/EMAC"/>
        <s v="Projeto para entrada CPA EVZ"/>
        <s v="Novo prédio do Setor de Engenharia de Alimentos - EA"/>
        <s v="Estudo Implantação Horta no Campus Aparecida"/>
        <s v="Estudo Implantação Base GCM no Campus Aparecida"/>
        <s v="Contratação Poltronas Salão Nobre"/>
        <s v="Informação Áreas  do PTSS"/>
        <s v="Elaboração de projeto para a construção de um novo laboratório com área de 100m²"/>
        <s v="Criação Novo Campus Cidade Ocidental"/>
        <s v="Serviço Odontologico Locação Abrigo Novo Compressor"/>
        <s v="Compilado Projetos Reformas para Edital FINEP"/>
        <s v="Reforma Clínica de Musicoterapia e Cici Pinheiro"/>
        <s v="Diagnostico e Levatamento dos Projetos de Incêndio"/>
        <s v="Definição Local Pista de Testes"/>
        <s v="23070.034546/2024-11"/>
        <s v="Reforma Ginásio de Lutas"/>
        <s v="Reforma no Laboratório Fitotecnia - Antiga Micro usina de Álcool"/>
        <s v="Expansão Bloco B IESA"/>
        <s v="Cobertura Externa LPD&amp;I"/>
        <s v="Portaria Campus Aparecida"/>
        <s v="Informações, Plano de  Acessibilidade - Visita MEC"/>
        <s v="Reforma Antiga FARMATEC"/>
        <s v="Análise locação de containers"/>
        <s v="Letreiro Entrada "/>
        <s v="RRTs CAU 2024"/>
        <s v="Termo Aditivo de Estágio Esther Silva Sousa"/>
        <s v="Oficio Solicitando Informações p/ Aprovação no IPHAN do Novo Centro de Aulas de Goiás"/>
        <s v="Faixa de Pedestre Faculdade de Letras"/>
        <s v=" Reforma para as salas 2000 e 2001, no 2⁰ andar"/>
        <s v="Reforma e Adaptação de Laboratório (NeuroGene/ICB/UFG"/>
        <s v="Reforma parcial de um dos alojamentos dos estudantes do Curso de Agronomia - PRONERA"/>
        <s v="Centro de Aulas 2"/>
        <s v="Avaliar Projeto LABTIME"/>
        <s v="Reforma da Recepção do Laboratório Margarida Dobler"/>
        <s v="Projeto para Sacada Agência de Inovação PRPI"/>
        <s v="Análise e Consolidação Plano Diretor Parque Tecnológico"/>
        <s v="Porta giratória barreira cachoros"/>
        <s v="Atualização da planta baixa do CA de Biologia - ICB"/>
        <s v="Estudo Preliminar Centro de Equoterapia"/>
        <s v="Notificação CBMGO Nota de irregularidade Edifícios Área Básica"/>
        <s v="Solicita planta. Avaliar as necessidades"/>
        <s v="Análise Área Posto Avançado CBMGO"/>
        <s v="Ampliação CIET"/>
        <s v="Apoio pregação poltronas Salão Nobre"/>
        <s v="Documentos necessários para licença ambiental  para funcionamento do CMBiotecs. CERCOM Bombeiros."/>
        <s v="Sala de descanso DLOG"/>
        <s v="Nova Central de Segurança qd 86 Campus Colemar"/>
        <s v="Demandas diversas FM"/>
        <s v="Substituição da porta da secretaria da DCOM/DLOG"/>
        <s v="Adequações provisórias p/ Cerise"/>
        <s v="Adequação LAMAF p/ CERISE"/>
        <s v="Viabilidade Implantação anxo Modular FARMATEC"/>
        <s v="RU Campus Aparecida"/>
        <s v="Relatório Implantação Escola de Pós Graduação"/>
        <s v="Projeto de Sinalização"/>
        <s v="Centro de Excelência em Hidrogênio e Tecnologias Energéticas Sustentáveis (CEHTES)"/>
        <s v="Solicita participação e acompanhamento dos projetos"/>
        <s v=" Elaboração de projeto para adequação do Galpão da CPAT/DLOG"/>
        <s v="Demandas diversas IPTSP"/>
        <s v="Revisão do layout do Laboratório de Biotecnologia de Microrganismos (LBMIC)"/>
        <s v="Adequação subsolo do pátio das Humanidades"/>
        <s v="Layout Matrículas 2ª Chamada - CE"/>
        <s v="Sinalização Estacionamento"/>
        <s v="Estudo redistribuição e possível ampliação das salas FD"/>
        <s v="Estacioamento e Acessibilidade  FAV e CIAR"/>
        <s v="Layout Cidarq para projeto eletrico"/>
        <s v="Novo projeto de paisagismo para CEUs I e III. Aditivo obra."/>
        <s v="Infraestrutura para Operação de Instalações Laboratoriais de Centro de Excelência para Agricultura"/>
        <s v="Documentação p/ CNES sede PRAE e PRAE antiga Colemar"/>
        <s v="Condições estruturais no novo campus e normativas de segurança para povoamento"/>
        <s v="Projeto encaminhando p/ impressão. Assinado pelo Adriano 25/09/23. Aguardando entrada na VISA, encaminhamento Farmácia. Retornado a unidade solicitando atulizações das tratativas c/ VISA. Relatório da 2ª análise recebido em 02/02/26. Correções analise VIS"/>
        <s v="Reforma FACE"/>
        <s v="Muro CEU III. Aditivo obra."/>
        <s v="Prédio Humanidades I FH"/>
        <s v="Reformar balcão recepção do Centro Analítico/FF/UFG (sala 26, 1º andar da FO/UFG)"/>
        <s v="Lab Biologia Molecular - Romulo Rocha - Projeto Concluído - Frederico"/>
        <s v="depósito de resíduos químicos e biológicos ICB - Projeto Concluído - Frederico"/>
        <s v="Anexo IQ - Projeto Concluído - Frederico"/>
        <s v="Almoxarifado de produtos químicos, ICB. Projeto Concluído - Frederico."/>
        <s v="Complemento Gradil Centro de Aulas D"/>
        <s v="Acesso de pedestre pela Rua 240"/>
        <s v="CNES Serviço Odontologio Campus Colemar"/>
        <s v="Troca telhado Museu"/>
        <s v="Troca telhado SEINFRA "/>
        <s v="Reforma  Setor de Aquicultura"/>
        <s v="Troca telhado e adequações predio Central da Agronomia"/>
        <s v="Troca telhado e adequações LAMES"/>
        <s v="Púlpito Auditório FCT"/>
        <s v="Acesso Pedestres 5ª AV. Faculdade de Farmácia"/>
        <s v="Rampa acesso estacionamento HC"/>
        <s v="Passarela entre o Pátio da Ciência e Prédio Central do IF (IF3)"/>
        <s v="Troca Cobertura OCA"/>
        <s v="Abrigo de Residuos Odontologia/Farmácia"/>
        <s v=" Revitalização do espaço do subsolo do CMBiotecs"/>
        <s v="Bancada Castelo LANAB IPTSP"/>
        <s v="Revitalização antigo estacionamento IPTSP"/>
        <s v="Recepção de amostras laboratoriais para análise no Setor de Medicina Veterinária Preventiva "/>
        <s v="Acessibilidade Calçadas Campus Samambaia"/>
        <s v="ADEQUAÇÃO DE TELHADO, CORREÇÕES DE PATOLOGIAS E PINTURA GERAL DO PRÉDIO DA REITORIA"/>
        <s v="Passarelas Fotovoltaicas Área Básica"/>
        <s v="Acessiblidade Especial EMAC"/>
        <s v="Adequações Microbiologia (Bacteriologia e Virologia) IPTSP"/>
        <s v="Reestruturação de acesso e recepção LACES/ICB/UFG"/>
        <s v="Piso Tátil e Iluminação"/>
        <s v="Layout LAMOVH para projeto elétrico"/>
        <s v="Readequação do projeto da Fábrica de Ração Animal/EVZ/UFG"/>
        <s v="Adequações SECPLAN"/>
        <s v="Fisioterapia no HC"/>
        <s v="Reforma Parasitologia Sala 2013"/>
        <s v="Adequação DAP -Serviço de Atendimento ao Servidor"/>
        <s v="Reforma Lab. Prof. Lucélia Sala 118"/>
        <s v="Reforma Núcleo de Pesquisa em Prótese e Implante"/>
        <s v="Reforma Internação"/>
        <s v="Demarcação de Vagas Ciar"/>
        <s v="Reforma Auditório "/>
        <s v="Sinalização de Emergência/ Incêndio CDIM"/>
        <s v="Ampliação IF"/>
        <s v="Layout Matricula"/>
        <s v="Reforma Área ADM"/>
        <s v="Abertura de Janelas Centro Cultura"/>
        <s v="Unificação Sala 08"/>
        <s v="Adequações Espaço "/>
        <s v="Reforma Faculdade de Direito - Salão Nobre"/>
        <s v="Reforma Recepção HV"/>
        <s v="Sala de Conselhos"/>
        <s v="Reforma Estudio de Gravação"/>
        <s v="Layout DFP/PROPESSOAS"/>
        <s v="Reforma Camarins Centro Cultura"/>
        <s v="Adaptação p/ Acessibilidade RU Samambaia"/>
        <s v="Parecer troca de cobertura átrio INF"/>
        <s v="Reforma do Biotério"/>
        <s v="Projeto de Bancas para Regional Goiás"/>
        <s v="Troca Piso Sala de Dança 3"/>
        <s v="Centro de Aulas A Reforma Salas de Informática"/>
        <s v="Estudo Técnico e Parecer para local de bombas a vácuo"/>
        <s v="Abertura Janela SIASS"/>
        <s v="Sinalização e Adequações p/ Incêndio"/>
        <s v="Projeto de iluminação"/>
        <s v="Reforma do prédio da CTR"/>
        <s v="Projeto de copa e espaço de convivência/integração para servidores do IPTSP"/>
        <s v="Projeto para instalação de janela na PRPI"/>
        <s v="Oficio a VISA para Aprovação Ala Florence Nightingale da FEN"/>
        <s v="Projeto Reforma LIBRIS"/>
        <s v="Solicita remoção de ilha na entrada"/>
        <s v="Sala Videoconferencias"/>
        <s v="Projeto Lacen - CEMEP"/>
        <s v="Projeto de Drenagem "/>
        <s v="Corredor lateral do IQ 2"/>
        <s v="Identificação Prédio de Humanidades II"/>
        <s v="Atualização Planta Baixa"/>
        <s v="Projeto Cozinha Guarita"/>
        <s v="Melhoria acesso aos geradores"/>
        <s v="Reforma p/ Parasitologia"/>
        <s v="Reforma do prédio da Coordenação de Transportes - CTR - DLOG"/>
        <s v="Sinalização Interna e Externa"/>
        <s v="Adequações Acessibilidade "/>
        <s v="Reforma do Auditório Prof. Farnese Dia"/>
        <s v="Levantamento IQ - Bloco I"/>
        <s v="Reforma Sala Direção e Troca de Portas"/>
        <s v="Adequação Sala Multiuso"/>
        <s v="Adequação espaçoa 3ª pavimento (est. Luiza)"/>
        <s v="Adequação para novo espaço de atendimento"/>
        <s v="Isolamento acústico entre o NEPAQ e gab. 6"/>
        <s v="Estudo Praça e Teatro FL"/>
        <s v="Reformas Secretaria Adm."/>
        <s v="Reforma LEPEHIS"/>
        <s v="Adaptação da sala 406 do Centro de Aulas D"/>
        <s v="Reformas 2 Salas Melhoramento de Plantas"/>
        <s v="Adaptação Gerencia Administrativa"/>
        <s v="Reforma Almoxarifado IQ"/>
        <s v="Ampliação da sala 07 do LABICOM"/>
        <s v="Revitalização A. externa FIC"/>
        <s v="Abertura de janela na coordenação de museologia"/>
        <s v="Troca Telhado SEINFRA CDPA"/>
        <s v="Readequação LACES"/>
        <s v="Revisão Centro de Convivência"/>
        <s v="Reforma Telhado"/>
        <s v="Adequação Lab. 239 e gabinete 241 no piso superior do IQ2 e construção de casa de gases"/>
        <s v=" Revitalização da área externa da FIC"/>
        <s v="Revisão Projetos CEUs"/>
        <s v="Reforma Guarita Secção de Vigilância"/>
        <s v="Abrigo para Compressores LACEM PROF. Boniek"/>
        <s v="Projeto de arquitetura para readequação de gabinete para docente"/>
        <s v="Projeto de reparo de esquadrias/ vidros e escadas"/>
        <s v="Solicitação de avaliação de obra inacabada e parecer para estimativa de custos"/>
        <s v="Cobertura p/ tanque externo"/>
        <s v="Lab. Cirurgia Experimental (Museu da Faculdade de Medicina e Laboratório de Neurocirurgia)"/>
        <s v="Projeto para homenagem póstuma à Profa. Aline Carvalho Batista"/>
        <s v="informações referentes a imóveis considerados pela universidade como de expressivo valor histórico-cultural"/>
        <s v="Paisagismo IQ"/>
        <s v="Projeto Estacionamento, Segurança Acessos"/>
        <s v="Alteração Layout da Coordenação de Cadastro/DAP/UFG"/>
        <s v="Informações sobre Projeto de Incêndio"/>
        <s v="Remodelação no ambiente da Pró-Reitoria de Gestão de Pessoa"/>
        <s v="Alteração em estrutura interna em prédio do CPA/EVZ"/>
        <s v="TERMO DE APOSTILAMENTO Nº 01/2021 AO CONTRATO N.º 427/2020 - TERMO DE APOSTILAMENTO Nº 01/2021 AO CONTRATO N.º 427/2020 - Licensa Autodesk"/>
        <s v="Processo ADM resposta acessibilidade p/ MP"/>
        <s v="Avaliação e vistoria de espaço do Centro de Pesquisa em Alimentos"/>
        <s v="Adequações CEPEA"/>
        <s v="Criar um Centro de Cuidados Farmacêuticos"/>
        <s v="Corpo de Bombeiros Agência de Inovação"/>
        <s v="Informações EA e EVZ para SPIUNET"/>
        <s v="Lecenciamento Agência de Inovação"/>
        <s v="Licenciamento Genética Humana"/>
        <s v="Criação de vagas de Estacionamento"/>
        <s v="Construção Laboratórios de Ensino, Expansão IQ novo cruso de graduação"/>
        <s v="Visita Projeto de Incêndio p/ CERCON"/>
        <s v="Ampliação LABTIME p/ Novo Estudo"/>
        <s v="Manual Área SPIUNET"/>
        <s v="Reforma da Central de Material e Esterilização do HV"/>
        <s v="Elevador e a construção de rampa de acesso da Faculdade de Letras"/>
        <s v=" Projeto de reforma da estufa para Cultivo de plantas ao lado do prédio do ICB I do Depto. de Botânica do Instituto de Ciências Biológicas"/>
        <s v="Sinalização externa vagas de estacionamento"/>
        <s v="Abrigo de Residuos"/>
        <s v="Intervenção Paliativa Estacionameto"/>
      </sharedItems>
    </cacheField>
    <cacheField name="Classificação" numFmtId="0">
      <sharedItems>
        <s v=" Reformas/Adequações"/>
        <s v="Paisagismo"/>
        <s v="Regularização/Aprovação"/>
        <s v="Outros"/>
        <s v="Administrativo"/>
        <s v="Construções Novas"/>
        <s v=" Estruturas de Apoio"/>
        <s v="Avaliação/Parecer/Estudo"/>
        <s v="Levantamento"/>
      </sharedItems>
    </cacheField>
    <cacheField name="Prioridade" numFmtId="0">
      <sharedItems>
        <s v="Alta"/>
        <s v="Normal"/>
        <s v="Baixa"/>
      </sharedItems>
    </cacheField>
    <cacheField name="Responsável" numFmtId="0">
      <sharedItems containsBlank="1">
        <m/>
        <s v="Matheus"/>
        <s v="Gerani"/>
        <s v="Leonardo"/>
        <s v="Adriano"/>
        <s v="Frederico"/>
        <s v="Murillo"/>
        <s v="Inah"/>
        <s v="Cruciano"/>
      </sharedItems>
    </cacheField>
    <cacheField name="Atribuído" numFmtId="0">
      <sharedItems containsDate="1" containsString="0" containsBlank="1">
        <m/>
        <d v="2026-06-09T00:00:00Z"/>
        <d v="2026-06-08T00:00:00Z"/>
        <d v="2026-06-01T00:00:00Z"/>
        <d v="2026-05-21T00:00:00Z"/>
        <d v="2026-05-18T00:00:00Z"/>
        <d v="2026-05-15T00:00:00Z"/>
        <d v="2026-04-29T00:00:00Z"/>
        <d v="2026-04-27T00:00:00Z"/>
        <d v="2026-04-10T00:00:00Z"/>
        <d v="2026-04-07T00:00:00Z"/>
        <d v="2026-05-13T00:00:00Z"/>
        <d v="2026-04-01T00:00:00Z"/>
        <d v="2026-04-15T00:00:00Z"/>
        <d v="2026-03-30T00:00:00Z"/>
        <d v="2026-05-11T00:00:00Z"/>
        <d v="2026-03-27T00:00:00Z"/>
        <d v="2026-03-25T00:00:00Z"/>
        <d v="2026-03-20T00:00:00Z"/>
        <d v="2026-04-13T00:00:00Z"/>
        <d v="2026-03-09T00:00:00Z"/>
        <d v="2026-03-03T00:00:00Z"/>
        <d v="2026-03-17T00:00:00Z"/>
        <d v="2026-03-13T00:00:00Z"/>
        <d v="2026-02-12T00:00:00Z"/>
        <d v="2026-02-10T00:00:00Z"/>
        <d v="2026-02-02T00:00:00Z"/>
        <d v="2026-01-26T00:00:00Z"/>
        <d v="2026-03-02T00:00:00Z"/>
        <d v="2026-01-16T00:00:00Z"/>
        <d v="2025-12-11T00:00:00Z"/>
        <d v="2025-12-15T00:00:00Z"/>
        <d v="2025-12-10T00:00:00Z"/>
        <d v="2025-12-08T00:00:00Z"/>
        <d v="2025-11-27T00:00:00Z"/>
        <d v="2025-10-29T00:00:00Z"/>
        <d v="2025-10-28T00:00:00Z"/>
        <d v="2025-10-15T00:00:00Z"/>
        <d v="2025-09-26T00:00:00Z"/>
        <d v="2026-09-25T00:00:00Z"/>
        <d v="2025-09-15T00:00:00Z"/>
        <d v="2025-10-14T00:00:00Z"/>
        <d v="2025-08-29T00:00:00Z"/>
        <d v="2025-08-18T00:00:00Z"/>
        <d v="2025-09-09T00:00:00Z"/>
        <d v="2025-08-06T00:00:00Z"/>
        <d v="2025-08-05T00:00:00Z"/>
        <d v="2025-07-28T00:00:00Z"/>
        <d v="2025-07-14T00:00:00Z"/>
        <d v="2025-07-10T00:00:00Z"/>
        <d v="2026-02-11T00:00:00Z"/>
        <d v="2025-06-10T00:00:00Z"/>
        <d v="2025-06-05T00:00:00Z"/>
        <d v="2026-05-27T00:00:00Z"/>
        <d v="2025-05-28T00:00:00Z"/>
        <d v="2025-05-20T00:00:00Z"/>
        <d v="2025-05-07T00:00:00Z"/>
        <d v="2025-07-02T00:00:00Z"/>
        <d v="2025-03-14T00:00:00Z"/>
        <d v="2025-02-28T00:00:00Z"/>
        <d v="2025-02-07T00:00:00Z"/>
        <d v="2025-02-21T00:00:00Z"/>
        <d v="2025-02-06T00:00:00Z"/>
        <d v="2025-01-22T00:00:00Z"/>
        <d v="2025-06-11T00:00:00Z"/>
        <d v="2024-12-27T00:00:00Z"/>
        <d v="2025-03-07T00:00:00Z"/>
        <d v="2024-12-17T00:00:00Z"/>
        <d v="2024-12-16T00:00:00Z"/>
        <d v="2024-12-03T00:00:00Z"/>
        <d v="2024-11-25T00:00:00Z"/>
        <d v="2024-11-21T00:00:00Z"/>
        <d v="2024-11-19T00:00:00Z"/>
        <d v="2024-11-12T00:00:00Z"/>
        <d v="5025-05-07T00:00:00Z"/>
        <d v="2024-10-29T00:00:00Z"/>
        <d v="2024-10-25T00:00:00Z"/>
        <d v="2024-10-21T00:00:00Z"/>
        <d v="2024-10-15T00:00:00Z"/>
        <d v="2025-03-17T00:00:00Z"/>
        <d v="2025-02-03T00:00:00Z"/>
        <d v="2024-04-16T00:00:00Z"/>
        <d v="2024-10-07T00:00:00Z"/>
        <d v="2025-09-10T00:00:00Z"/>
        <d v="2024-09-26T00:00:00Z"/>
        <d v="2024-09-25T00:00:00Z"/>
        <d v="2024-08-19T00:00:00Z"/>
        <d v="2024-09-30T00:00:00Z"/>
        <d v="2024-09-20T00:00:00Z"/>
        <d v="2024-09-13T00:00:00Z"/>
        <d v="2024-09-10T00:00:00Z"/>
        <d v="2024-09-09T00:00:00Z"/>
        <d v="2024-09-02T00:00:00Z"/>
        <d v="2024-09-06T00:00:00Z"/>
        <d v="2024-09-03T00:00:00Z"/>
        <d v="2024-08-22T00:00:00Z"/>
        <d v="2024-08-14T00:00:00Z"/>
        <d v="2024-08-08T00:00:00Z"/>
        <d v="2024-07-22T00:00:00Z"/>
        <d v="2024-07-03T00:00:00Z"/>
        <d v="2024-07-12T00:00:00Z"/>
        <d v="2024-07-25T00:00:00Z"/>
        <d v="2024-06-28T00:00:00Z"/>
        <d v="2024-04-05T00:00:00Z"/>
        <d v="2024-04-09T00:00:00Z"/>
        <d v="2024-04-24T00:00:00Z"/>
        <d v="2024-10-04T00:00:00Z"/>
        <d v="2024-10-08T00:00:00Z"/>
        <d v="2024-03-02T00:00:00Z"/>
        <d v="2024-03-01T00:00:00Z"/>
        <d v="2024-02-16T00:00:00Z"/>
        <d v="2024-02-19T00:00:00Z"/>
        <d v="2024-02-06T00:00:00Z"/>
        <d v="2023-02-02T00:00:00Z"/>
        <d v="2024-01-22T00:00:00Z"/>
        <d v="2023-11-23T00:00:00Z"/>
        <d v="2023-11-20T00:00:00Z"/>
        <d v="2023-11-16T00:00:00Z"/>
        <d v="2023-11-10T00:00:00Z"/>
        <d v="2023-01-16T00:00:00Z"/>
        <d v="2023-12-05T00:00:00Z"/>
        <d v="2023-10-18T00:00:00Z"/>
        <d v="2023-11-01T00:00:00Z"/>
        <d v="2023-09-13T00:00:00Z"/>
        <d v="2023-11-03T00:00:00Z"/>
        <d v="2023-08-28T00:00:00Z"/>
        <d v="2023-08-09T00:00:00Z"/>
        <d v="2023-08-18T00:00:00Z"/>
        <d v="2023-08-10T00:00:00Z"/>
        <d v="2023-08-02T00:00:00Z"/>
        <d v="2023-07-05T00:00:00Z"/>
        <d v="2023-07-17T00:00:00Z"/>
        <d v="2023-07-31T00:00:00Z"/>
        <d v="2023-06-28T00:00:00Z"/>
        <d v="2023-06-27T00:00:00Z"/>
        <d v="2023-07-27T00:00:00Z"/>
        <d v="2023-07-03T00:00:00Z"/>
        <d v="2023-06-14T00:00:00Z"/>
        <d v="2023-06-07T00:00:00Z"/>
        <d v="2023-07-19T00:00:00Z"/>
        <d v="2023-05-30T00:00:00Z"/>
        <d v="2023-08-16T00:00:00Z"/>
        <d v="2025-09-01T00:00:00Z"/>
        <d v="2023-07-28T00:00:00Z"/>
        <d v="2023-06-12T00:00:00Z"/>
        <d v="2023-05-09T00:00:00Z"/>
        <d v="2023-04-27T00:00:00Z"/>
        <d v="2023-04-24T00:00:00Z"/>
        <d v="2023-03-31T00:00:00Z"/>
        <d v="2023-03-30T00:00:00Z"/>
        <d v="2023-03-14T00:00:00Z"/>
        <d v="2023-03-27T00:00:00Z"/>
        <d v="2023-03-08T00:00:00Z"/>
        <d v="2023-04-26T00:00:00Z"/>
        <d v="2023-03-06T00:00:00Z"/>
        <d v="2023-04-03T00:00:00Z"/>
        <d v="2023-02-03T00:00:00Z"/>
        <d v="2023-02-10T00:00:00Z"/>
        <d v="2023-01-13T00:00:00Z"/>
        <d v="2023-02-06T00:00:00Z"/>
        <d v="2023-04-06T00:00:00Z"/>
        <d v="2023-01-10T00:00:00Z"/>
        <d v="2022-12-12T00:00:00Z"/>
        <d v="2022-12-08T00:00:00Z"/>
        <d v="2024-07-11T00:00:00Z"/>
        <d v="2022-11-30T00:00:00Z"/>
        <d v="2022-10-06T00:00:00Z"/>
        <d v="2022-11-09T00:00:00Z"/>
        <d v="2022-08-22T00:00:00Z"/>
        <d v="2022-09-02T00:00:00Z"/>
        <d v="2022-11-08T00:00:00Z"/>
        <d v="2022-10-04T00:00:00Z"/>
        <d v="2022-09-13T00:00:00Z"/>
        <d v="2022-10-05T00:00:00Z"/>
        <d v="2022-08-16T00:00:00Z"/>
        <d v="2022-07-29T00:00:00Z"/>
        <d v="2022-07-08T00:00:00Z"/>
        <d v="2022-07-06T00:00:00Z"/>
        <d v="2022-06-10T00:00:00Z"/>
        <d v="2022-05-16T00:00:00Z"/>
        <d v="2022-06-07T00:00:00Z"/>
        <d v="2022-05-12T00:00:00Z"/>
        <d v="2022-05-04T00:00:00Z"/>
        <d v="2022-04-25T00:00:00Z"/>
        <d v="2022-04-12T00:00:00Z"/>
        <d v="2022-05-05T00:00:00Z"/>
        <d v="2022-05-02T00:00:00Z"/>
        <d v="2022-04-11T00:00:00Z"/>
        <d v="2023-05-03T00:00:00Z"/>
        <d v="2022-03-31T00:00:00Z"/>
        <d v="2022-02-17T00:00:00Z"/>
        <d v="2022-01-20T00:00:00Z"/>
        <d v="2021-12-03T00:00:00Z"/>
        <d v="2021-11-09T00:00:00Z"/>
        <d v="2021-09-14T00:00:00Z"/>
      </sharedItems>
    </cacheField>
    <cacheField name="Prev. Início">
      <sharedItems containsDate="1" containsBlank="1" containsMixedTypes="1">
        <m/>
        <s v=" "/>
        <d v="2026-06-18T00:00:00Z"/>
        <d v="2026-06-15T00:00:00Z"/>
        <d v="2026-04-17T00:00:00Z"/>
        <d v="2026-04-15T00:00:00Z"/>
        <d v="2026-04-02T00:00:00Z"/>
        <d v="2026-05-11T00:00:00Z"/>
        <d v="2026-03-30T00:00:00Z"/>
        <d v="2026-06-01T00:00:00Z"/>
        <d v="2026-03-26T00:00:00Z"/>
        <d v="2026-05-12T00:00:00Z"/>
        <d v="2026-03-23T00:00:00Z"/>
        <d v="2026-04-13T00:00:00Z"/>
        <d v="2026-05-14T00:00:00Z"/>
        <d v="2026-03-09T00:00:00Z"/>
        <d v="2026-03-03T00:00:00Z"/>
        <d v="2026-03-19T00:00:00Z"/>
        <d v="2026-02-12T00:00:00Z"/>
        <d v="2026-03-04T00:00:00Z"/>
        <d v="2026-01-19T00:00:00Z"/>
        <d v="2025-12-11T00:00:00Z"/>
        <d v="2025-12-08T00:00:00Z"/>
        <d v="2025-11-28T00:00:00Z"/>
        <d v="2025-11-07T00:00:00Z"/>
        <d v="2026-02-06T00:00:00Z"/>
        <d v="2025-10-15T00:00:00Z"/>
        <d v="2025-10-21T00:00:00Z"/>
        <d v="2025-10-06T00:00:00Z"/>
        <d v="2025-09-29T00:00:00Z"/>
        <d v="2025-09-15T00:00:00Z"/>
        <d v="2025-09-03T00:00:00Z"/>
        <d v="2025-09-23T00:00:00Z"/>
        <d v="2025-08-11T00:00:00Z"/>
        <d v="2025-08-07T00:00:00Z"/>
        <d v="2025-08-06T00:00:00Z"/>
        <d v="2028-07-29T00:00:00Z"/>
        <d v="2025-07-29T00:00:00Z"/>
        <d v="2025-07-15T00:00:00Z"/>
        <d v="2026-03-18T00:00:00Z"/>
        <d v="2026-02-10T00:00:00Z"/>
        <d v="2025-05-30T00:00:00Z"/>
        <d v="2025-05-21T00:00:00Z"/>
        <d v="2025-05-22T00:00:00Z"/>
        <d v="2025-07-09T00:00:00Z"/>
        <d v="2025-04-15T00:00:00Z"/>
        <d v="2025-03-19T00:00:00Z"/>
        <d v="2025-10-01T00:00:00Z"/>
        <d v="2025-03-03T00:00:00Z"/>
        <d v="2025-02-11T00:00:00Z"/>
        <d v="2025-02-07T00:00:00Z"/>
        <d v="2025-03-31T00:00:00Z"/>
        <d v="2025-02-26T00:00:00Z"/>
        <d v="2025-06-17T00:00:00Z"/>
        <d v="2025-01-30T00:00:00Z"/>
        <d v="2024-12-17T00:00:00Z"/>
        <d v="2024-12-03T00:00:00Z"/>
        <d v="2025-01-22T00:00:00Z"/>
        <d v="2024-11-28T00:00:00Z"/>
        <d v="2024-11-25T00:00:00Z"/>
        <d v="2024-11-27T00:00:00Z"/>
        <d v="2024-11-19T00:00:00Z"/>
        <d v="2024-11-12T00:00:00Z"/>
        <d v="2025-05-12T00:00:00Z"/>
        <d v="2025-05-04T00:00:00Z"/>
        <d v="2024-10-30T00:00:00Z"/>
        <d v="2024-10-25T00:00:00Z"/>
        <d v="2024-10-21T00:00:00Z"/>
        <d v="2024-11-08T00:00:00Z"/>
        <d v="2025-03-18T00:00:00Z"/>
        <d v="2025-02-17T00:00:00Z"/>
        <d v="2025-09-19T00:00:00Z"/>
        <d v="2024-09-30T00:00:00Z"/>
        <d v="2024-09-17T00:00:00Z"/>
        <d v="2024-04-24T00:00:00Z"/>
        <d v="2024-02-01T00:00:00Z"/>
        <d v="2025-09-05T00:00:00Z"/>
        <d v="2025-05-23T00:00:00Z"/>
        <d v="2024-07-11T00:00:00Z"/>
        <d v="2026-07-06T00:00:00Z"/>
      </sharedItems>
    </cacheField>
    <cacheField name="Início">
      <sharedItems containsDate="1" containsBlank="1" containsMixedTypes="1">
        <m/>
        <d v="2026-06-24T00:00:00Z"/>
        <d v="2026-07-01T00:00:00Z"/>
        <d v="2026-05-18T00:00:00Z"/>
        <d v="2026-06-15T00:00:00Z"/>
        <d v="2026-05-05T00:00:00Z"/>
        <d v="2026-04-17T00:00:00Z"/>
        <d v="2026-05-13T00:00:00Z"/>
        <d v="2026-04-15T00:00:00Z"/>
        <d v="2026-04-02T00:00:00Z"/>
        <d v="2026-05-08T00:00:00Z"/>
        <d v="2026-05-11T00:00:00Z"/>
        <d v="2026-03-30T00:00:00Z"/>
        <d v="2026-06-01T00:00:00Z"/>
        <d v="2026-03-26T00:00:00Z"/>
        <d v="2026-05-12T00:00:00Z"/>
        <d v="2026-03-23T00:00:00Z"/>
        <d v="2026-03-13T00:00:00Z"/>
        <d v="2026-05-15T00:00:00Z"/>
        <d v="2026-03-09T00:00:00Z"/>
        <d v="2026-03-03T00:00:00Z"/>
        <d v="2026-03-19T00:00:00Z"/>
        <d v="2026-02-12T00:00:00Z"/>
        <d v="2026-02-10T00:00:00Z"/>
        <d v="2026-04-30T00:00:00Z"/>
        <d v="2026-01-19T00:00:00Z"/>
        <d v="2026-02-03T00:00:00Z"/>
        <d v="2025-12-12T00:00:00Z"/>
        <d v="2025-12-11T00:00:00Z"/>
        <d v="2025-12-08T00:00:00Z"/>
        <d v="2025-11-28T00:00:00Z"/>
        <d v="2025-11-24T00:00:00Z"/>
        <d v="2026-03-04T00:00:00Z"/>
        <d v="2026-02-06T00:00:00Z"/>
        <d v="2025-10-15T00:00:00Z"/>
        <d v="2025-10-21T00:00:00Z"/>
        <d v="2026-01-16T00:00:00Z"/>
        <d v="2025-09-29T00:00:00Z"/>
        <d v="2025-09-15T00:00:00Z"/>
        <d v="2025-09-03T00:00:00Z"/>
        <d v="2025-09-24T00:00:00Z"/>
        <d v="2025-08-07T00:00:00Z"/>
        <d v="2025-08-06T00:00:00Z"/>
        <d v="2028-07-29T00:00:00Z"/>
        <d v="2025-07-29T00:00:00Z"/>
        <d v="2026-03-18T00:00:00Z"/>
        <d v="2026-07-29T00:00:00Z"/>
        <d v="2025-05-30T00:00:00Z"/>
        <d v="2025-05-21T00:00:00Z"/>
        <d v="2025-05-22T00:00:00Z"/>
        <d v="2025-07-07T00:00:00Z"/>
        <d v="2025-04-16T00:00:00Z"/>
        <d v="2025-03-20T00:00:00Z"/>
        <d v="2025-03-03T00:00:00Z"/>
        <d v="2025-02-11T00:00:00Z"/>
        <d v="2025-02-07T00:00:00Z"/>
        <d v="2025-03-31T00:00:00Z"/>
        <d v="2025-02-26T00:00:00Z"/>
        <d v="2025-01-23T00:00:00Z"/>
        <d v="2025-06-23T00:00:00Z"/>
        <d v="2025-01-30T00:00:00Z"/>
        <d v="2024-12-17T00:00:00Z"/>
        <d v="2024-12-03T00:00:00Z"/>
        <d v="2025-01-22T00:00:00Z"/>
        <d v="2024-11-28T00:00:00Z"/>
        <d v="2024-11-25T00:00:00Z"/>
        <d v="2024-11-27T00:00:00Z"/>
        <d v="2024-11-19T00:00:00Z"/>
        <n v="2024.0"/>
        <d v="2025-05-13T00:00:00Z"/>
        <s v="04/05/0205"/>
        <d v="2024-10-30T00:00:00Z"/>
        <d v="2024-10-25T00:00:00Z"/>
        <d v="2024-10-21T00:00:00Z"/>
        <d v="2024-11-08T00:00:00Z"/>
        <d v="2025-03-18T00:00:00Z"/>
        <d v="2025-02-17T00:00:00Z"/>
        <d v="2025-11-03T00:00:00Z"/>
        <d v="2024-10-07T00:00:00Z"/>
        <d v="2025-09-19T00:00:00Z"/>
        <d v="2024-09-30T00:00:00Z"/>
        <d v="2024-09-26T00:00:00Z"/>
        <d v="2024-11-12T00:00:00Z"/>
        <d v="2024-09-13T00:00:00Z"/>
        <d v="2024-09-10T00:00:00Z"/>
        <d v="2024-09-17T00:00:00Z"/>
        <d v="2024-08-23T00:00:00Z"/>
        <d v="2024-08-15T00:00:00Z"/>
        <d v="2024-08-08T00:00:00Z"/>
        <d v="2024-07-22T00:00:00Z"/>
        <d v="2024-07-12T00:00:00Z"/>
        <d v="2024-07-25T00:00:00Z"/>
        <d v="2024-07-15T00:00:00Z"/>
        <d v="2024-04-10T00:00:00Z"/>
        <d v="2024-05-14T00:00:00Z"/>
        <d v="2024-04-24T00:00:00Z"/>
        <d v="2024-10-04T00:00:00Z"/>
        <d v="2024-04-05T00:00:00Z"/>
        <d v="2024-11-07T00:00:00Z"/>
        <d v="2024-03-01T00:00:00Z"/>
        <d v="2024-02-19T00:00:00Z"/>
        <d v="2024-02-16T00:00:00Z"/>
        <d v="2024-02-06T00:00:00Z"/>
        <d v="2024-04-17T00:00:00Z"/>
        <d v="2023-11-20T00:00:00Z"/>
        <d v="2024-04-09T00:00:00Z"/>
        <d v="2024-02-01T00:00:00Z"/>
        <d v="2023-11-10T00:00:00Z"/>
        <d v="2023-10-25T00:00:00Z"/>
        <d v="2023-08-16T00:00:00Z"/>
        <s v="26/005/2025"/>
        <d v="2023-11-09T00:00:00Z"/>
        <d v="2024-07-11T00:00:00Z"/>
        <d v="2022-11-09T00:00:00Z"/>
        <d v="2026-07-06T00:00:00Z"/>
      </sharedItems>
    </cacheField>
    <cacheField name="Status" numFmtId="0">
      <sharedItems>
        <s v="Atribuir"/>
        <s v="Concluído"/>
        <s v="Em Andamento"/>
        <s v="A iniciar"/>
        <s v="Concl. s/ enc."/>
        <s v="Aguard. Definição"/>
        <s v="Pausado"/>
      </sharedItems>
    </cacheField>
    <cacheField name="A. Contr./Inter." numFmtId="0">
      <sharedItems containsString="0" containsBlank="1" containsNumber="1">
        <m/>
        <n v="37.12"/>
        <n v="10.94"/>
        <n v="564.5"/>
        <n v="271.0"/>
        <n v="366.8"/>
        <n v="408.74"/>
        <n v="530.0"/>
        <n v="234.74"/>
        <n v="48.3"/>
        <n v="155.95"/>
        <n v="525.39"/>
        <n v="36.31"/>
        <n v="1253.05"/>
        <n v="24.9"/>
        <n v="65.7"/>
        <n v="1334.61"/>
        <n v="99.29"/>
        <n v="340.87"/>
        <n v="44.76"/>
        <n v="73.0"/>
        <n v="105.8"/>
        <n v="43.3"/>
        <n v="50.0"/>
        <n v="398.35"/>
        <n v="12.4"/>
        <n v="77.8"/>
        <n v="120.0"/>
        <n v="735.65"/>
        <n v="5450.0"/>
        <n v="293.91"/>
        <n v="634.46"/>
        <n v="494.38"/>
        <n v="805.0"/>
        <n v="72.0"/>
        <n v="81.5"/>
        <n v="250.0"/>
        <n v="54.73"/>
        <n v="133.15"/>
        <n v="198.31"/>
        <n v="309.7"/>
        <n v="55.52"/>
        <n v="121.9"/>
        <n v="56.7"/>
        <n v="414.0"/>
        <n v="308.0"/>
        <n v="1770.6"/>
        <n v="700.25"/>
        <n v="3492.57"/>
        <n v="837.26"/>
        <n v="741.3"/>
        <n v="595.65"/>
        <n v="3.55"/>
        <n v="491.55"/>
        <n v="22.16"/>
        <n v="5087.11"/>
        <n v="4083.75"/>
        <n v="355.15"/>
        <n v="138.24"/>
        <n v="44.6"/>
        <n v="89.95"/>
        <n v="44.32"/>
        <n v="43.0"/>
        <n v="133.2"/>
        <n v="262.49"/>
        <n v="482.25"/>
        <n v="256.7"/>
        <n v="345.65"/>
        <n v="1823.7"/>
        <n v="48.16"/>
        <n v="361.0"/>
        <n v="126.7"/>
        <n v="980.0"/>
        <n v="473.5"/>
        <n v="800.3"/>
        <n v="24.0"/>
        <n v="48.39"/>
        <n v="250.76"/>
        <n v="25.78"/>
        <n v="122.54"/>
        <n v="108.89"/>
        <n v="54.25"/>
        <n v="105.0"/>
        <n v="122.9"/>
        <n v="220.0"/>
        <n v="77.2"/>
        <n v="16.47"/>
        <n v="5.78"/>
        <n v="6.4"/>
        <n v="14.32"/>
        <n v="476.35"/>
        <n v="115.0"/>
      </sharedItems>
    </cacheField>
    <cacheField name="Prev. Concl." numFmtId="0">
      <sharedItems containsDate="1" containsString="0" containsBlank="1">
        <m/>
        <d v="2026-06-26T00:00:00Z"/>
        <d v="2026-06-19T00:00:00Z"/>
        <d v="2026-05-08T00:00:00Z"/>
        <d v="2026-04-16T00:00:00Z"/>
        <d v="2026-04-14T00:00:00Z"/>
        <d v="2026-03-27T00:00:00Z"/>
        <d v="2026-06-12T00:00:00Z"/>
        <d v="2026-03-23T00:00:00Z"/>
        <d v="2026-05-26T00:00:00Z"/>
        <d v="2026-05-29T00:00:00Z"/>
        <d v="2026-03-10T00:00:00Z"/>
        <d v="2026-04-09T00:00:00Z"/>
        <d v="2026-03-05T00:00:00Z"/>
        <d v="2026-02-20T00:00:00Z"/>
        <d v="2026-01-23T00:00:00Z"/>
        <d v="2025-12-12T00:00:00Z"/>
        <d v="2025-12-03T00:00:00Z"/>
        <d v="2025-11-07T00:00:00Z"/>
        <d v="2026-02-17T00:00:00Z"/>
        <d v="2025-10-24T00:00:00Z"/>
        <d v="2025-09-11T00:00:00Z"/>
        <d v="2025-10-01T00:00:00Z"/>
        <d v="2025-10-03T00:00:00Z"/>
        <d v="2025-08-08T00:00:00Z"/>
        <d v="2025-08-07T00:00:00Z"/>
        <d v="2025-07-30T00:00:00Z"/>
        <d v="2025-07-31T00:00:00Z"/>
        <d v="2026-02-13T00:00:00Z"/>
        <d v="2025-05-30T00:00:00Z"/>
        <d v="2025-05-12T00:00:00Z"/>
        <d v="2025-07-21T00:00:00Z"/>
        <d v="2025-04-25T00:00:00Z"/>
        <d v="2025-04-06T00:00:00Z"/>
        <d v="2025-03-06T00:00:00Z"/>
        <d v="2025-02-18T00:00:00Z"/>
        <d v="2025-06-16T00:00:00Z"/>
        <d v="2025-04-04T00:00:00Z"/>
        <d v="2025-02-07T00:00:00Z"/>
        <d v="2025-07-02T00:00:00Z"/>
        <d v="2025-01-31T00:00:00Z"/>
        <d v="2025-06-09T00:00:00Z"/>
        <d v="2024-12-06T00:00:00Z"/>
        <d v="2024-11-21T00:00:00Z"/>
        <d v="2025-05-16T00:00:00Z"/>
        <d v="2025-05-23T00:00:00Z"/>
        <d v="2025-01-24T00:00:00Z"/>
        <d v="2024-10-28T00:00:00Z"/>
        <d v="2004-11-08T00:00:00Z"/>
        <d v="2025-03-28T00:00:00Z"/>
        <d v="2025-10-21T00:00:00Z"/>
        <d v="2025-10-09T00:00:00Z"/>
        <d v="2025-07-11T00:00:00Z"/>
        <d v="2024-11-04T00:00:00Z"/>
        <d v="2025-09-15T00:00:00Z"/>
        <d v="2025-07-01T00:00:00Z"/>
        <d v="2026-09-30T00:00:00Z"/>
      </sharedItems>
    </cacheField>
    <cacheField name="Conclusão" numFmtId="0">
      <sharedItems containsDate="1" containsString="0" containsBlank="1">
        <m/>
        <d v="2026-07-01T00:00:00Z"/>
        <d v="2026-06-22T00:00:00Z"/>
        <d v="2026-06-18T00:00:00Z"/>
        <d v="2026-05-11T00:00:00Z"/>
        <d v="2026-05-07T00:00:00Z"/>
        <d v="2026-05-16T00:00:00Z"/>
        <d v="2026-04-16T00:00:00Z"/>
        <d v="2026-05-08T00:00:00Z"/>
        <d v="2026-05-19T00:00:00Z"/>
        <d v="2026-06-01T00:00:00Z"/>
        <d v="2026-06-25T00:00:00Z"/>
        <d v="2026-03-27T00:00:00Z"/>
        <d v="2026-06-17T00:00:00Z"/>
        <d v="2026-03-23T00:00:00Z"/>
        <d v="2026-06-08T00:00:00Z"/>
        <d v="2026-03-09T00:00:00Z"/>
        <d v="2026-03-11T00:00:00Z"/>
        <d v="2026-04-08T00:00:00Z"/>
        <d v="2026-03-02T00:00:00Z"/>
        <d v="2026-02-10T00:00:00Z"/>
        <d v="2026-02-23T00:00:00Z"/>
        <d v="2026-05-13T00:00:00Z"/>
        <d v="2026-01-26T00:00:00Z"/>
        <d v="2026-01-30T00:00:00Z"/>
        <d v="2026-01-28T00:00:00Z"/>
        <d v="2025-12-12T00:00:00Z"/>
        <d v="2025-12-11T00:00:00Z"/>
        <d v="2025-12-08T00:00:00Z"/>
        <d v="2025-12-04T00:00:00Z"/>
        <d v="2025-11-24T00:00:00Z"/>
        <d v="2026-03-19T00:00:00Z"/>
        <d v="2026-08-19T00:00:00Z"/>
        <d v="2025-11-05T00:00:00Z"/>
        <d v="2025-10-31T00:00:00Z"/>
        <d v="2025-05-11T00:00:00Z"/>
        <d v="2026-02-06T00:00:00Z"/>
        <d v="2025-09-29T00:00:00Z"/>
        <d v="2025-09-15T00:00:00Z"/>
        <d v="2025-11-27T00:00:00Z"/>
        <d v="2025-09-18T00:00:00Z"/>
        <d v="2025-12-01T00:00:00Z"/>
        <d v="2025-10-01T00:00:00Z"/>
        <d v="2025-10-02T00:00:00Z"/>
        <d v="2025-10-03T00:00:00Z"/>
        <d v="2025-08-08T00:00:00Z"/>
        <d v="2025-07-30T00:00:00Z"/>
        <d v="2025-07-31T00:00:00Z"/>
        <d v="2026-03-30T00:00:00Z"/>
        <d v="2026-02-12T00:00:00Z"/>
        <d v="2025-06-24T00:00:00Z"/>
        <d v="2025-05-30T00:00:00Z"/>
        <d v="2025-06-11T00:00:00Z"/>
        <d v="2025-01-29T00:00:00Z"/>
        <d v="2025-07-26T00:00:00Z"/>
        <d v="2025-04-30T00:00:00Z"/>
        <d v="2025-04-06T00:00:00Z"/>
        <d v="2025-03-31T00:00:00Z"/>
        <d v="2025-02-13T00:00:00Z"/>
        <d v="2025-07-28T00:00:00Z"/>
        <d v="2025-04-02T00:00:00Z"/>
        <d v="2025-04-22T00:00:00Z"/>
        <d v="2025-02-14T00:00:00Z"/>
        <d v="2025-01-31T00:00:00Z"/>
        <d v="2025-01-22T00:00:00Z"/>
        <d v="2026-01-21T00:00:00Z"/>
        <d v="2025-07-09T00:00:00Z"/>
        <d v="2024-12-06T00:00:00Z"/>
        <d v="2024-12-16T00:00:00Z"/>
        <d v="2024-11-29T00:00:00Z"/>
        <d v="2026-02-02T00:00:00Z"/>
        <d v="2025-01-30T00:00:00Z"/>
        <d v="2024-11-26T00:00:00Z"/>
        <d v="2025-05-16T00:00:00Z"/>
        <d v="2025-05-28T00:00:00Z"/>
        <d v="2025-02-12T00:00:00Z"/>
        <d v="2024-11-04T00:00:00Z"/>
        <d v="2024-11-12T00:00:00Z"/>
        <d v="2025-06-04T00:00:00Z"/>
        <d v="2024-10-11T00:00:00Z"/>
        <d v="2024-09-30T00:00:00Z"/>
        <d v="2024-10-04T00:00:00Z"/>
        <d v="2024-10-14T00:00:00Z"/>
        <d v="2025-01-13T00:00:00Z"/>
        <d v="2024-02-21T00:00:00Z"/>
        <d v="2024-08-20T00:00:00Z"/>
        <d v="2024-09-20T00:00:00Z"/>
        <d v="2024-09-26T00:00:00Z"/>
        <d v="2024-09-10T00:00:00Z"/>
        <d v="2024-09-23T00:00:00Z"/>
        <d v="2025-08-01T00:00:00Z"/>
        <d v="2024-09-09T00:00:00Z"/>
        <d v="2024-11-08T00:00:00Z"/>
        <d v="2024-08-23T00:00:00Z"/>
        <d v="2024-09-17T00:00:00Z"/>
        <d v="2024-07-15T00:00:00Z"/>
        <d v="2024-07-26T00:00:00Z"/>
        <d v="2024-04-10T00:00:00Z"/>
        <d v="2024-08-06T00:00:00Z"/>
        <d v="2024-08-26T00:00:00Z"/>
        <d v="2025-02-06T00:00:00Z"/>
        <d v="2024-03-11T00:00:00Z"/>
        <d v="2024-06-25T00:00:00Z"/>
        <d v="2024-11-27T00:00:00Z"/>
        <d v="2024-04-09T00:00:00Z"/>
        <d v="2025-06-17T00:00:00Z"/>
        <d v="2024-07-31T00:00:00Z"/>
        <d v="2025-02-11T00:00:00Z"/>
        <d v="2024-08-19T00:00:00Z"/>
        <d v="2023-11-24T00:00:00Z"/>
        <d v="2024-01-02T00:00:00Z"/>
        <d v="2024-08-05T00:00:00Z"/>
        <d v="2023-11-23T00:00:00Z"/>
        <d v="2024-08-02T00:00:00Z"/>
        <d v="2023-11-10T00:00:00Z"/>
        <d v="2026-04-27T00:00:00Z"/>
        <d v="2026-03-31T00:00:00Z"/>
        <d v="2024-03-05T00:00:00Z"/>
        <d v="2024-11-20T00:00:00Z"/>
        <d v="2023-09-13T00:00:00Z"/>
        <d v="2024-02-15T00:00:00Z"/>
        <d v="2023-08-28T00:00:00Z"/>
        <d v="2023-11-22T00:00:00Z"/>
        <d v="2023-08-09T00:00:00Z"/>
        <d v="2023-09-08T00:00:00Z"/>
        <d v="2023-08-14T00:00:00Z"/>
        <d v="2024-07-24T00:00:00Z"/>
        <d v="2023-07-05T00:00:00Z"/>
        <d v="2024-01-25T00:00:00Z"/>
        <d v="2023-08-01T00:00:00Z"/>
        <d v="2023-09-11T00:00:00Z"/>
        <d v="2023-06-28T00:00:00Z"/>
        <d v="2023-06-27T00:00:00Z"/>
        <d v="2023-07-27T00:00:00Z"/>
        <d v="2023-07-28T00:00:00Z"/>
        <d v="2023-10-20T00:00:00Z"/>
        <d v="2023-07-04T00:00:00Z"/>
        <d v="2023-06-14T00:00:00Z"/>
        <d v="2023-05-30T00:00:00Z"/>
        <d v="2023-09-21T00:00:00Z"/>
        <d v="2023-11-16T00:00:00Z"/>
        <d v="2023-07-18T00:00:00Z"/>
        <d v="2023-08-16T00:00:00Z"/>
        <d v="2023-05-10T00:00:00Z"/>
        <d v="2023-10-25T00:00:00Z"/>
        <d v="2023-06-07T00:00:00Z"/>
        <d v="2023-08-03T00:00:00Z"/>
        <d v="2023-06-05T00:00:00Z"/>
        <d v="2023-03-27T00:00:00Z"/>
        <d v="2023-03-28T00:00:00Z"/>
        <d v="2023-04-27T00:00:00Z"/>
        <d v="2025-07-01T00:00:00Z"/>
        <d v="2023-04-05T00:00:00Z"/>
        <d v="2023-10-11T00:00:00Z"/>
        <d v="2023-06-12T00:00:00Z"/>
        <d v="2023-03-17T00:00:00Z"/>
        <d v="2023-04-24T00:00:00Z"/>
        <d v="2024-03-06T00:00:00Z"/>
        <d v="2024-09-06T00:00:00Z"/>
        <d v="2023-01-23T00:00:00Z"/>
        <d v="2023-01-12T00:00:00Z"/>
        <d v="2023-02-22T00:00:00Z"/>
        <d v="2022-12-19T00:00:00Z"/>
        <d v="2023-01-18T00:00:00Z"/>
        <d v="2022-12-20T00:00:00Z"/>
        <d v="2025-01-03T00:00:00Z"/>
        <d v="2023-12-05T00:00:00Z"/>
        <d v="2022-10-07T00:00:00Z"/>
        <d v="2023-11-09T00:00:00Z"/>
        <d v="2023-08-10T00:00:00Z"/>
        <d v="2022-11-03T00:00:00Z"/>
        <d v="2022-11-29T00:00:00Z"/>
        <d v="2022-11-01T00:00:00Z"/>
        <d v="2022-11-07T00:00:00Z"/>
        <d v="2023-08-07T00:00:00Z"/>
        <d v="2022-11-25T00:00:00Z"/>
        <d v="2022-08-26T00:00:00Z"/>
        <d v="2022-08-30T00:00:00Z"/>
        <d v="2022-08-22T00:00:00Z"/>
        <d v="2022-12-12T00:00:00Z"/>
        <d v="2023-04-13T00:00:00Z"/>
        <d v="2022-09-21T00:00:00Z"/>
        <d v="2022-08-16T00:00:00Z"/>
        <d v="2022-07-22T00:00:00Z"/>
        <d v="2022-09-14T00:00:00Z"/>
        <d v="2022-07-04T00:00:00Z"/>
        <d v="2023-06-13T00:00:00Z"/>
        <d v="2023-05-15T00:00:00Z"/>
        <d v="2023-05-11T00:00:00Z"/>
        <d v="2022-06-20T00:00:00Z"/>
        <d v="2022-08-11T00:00:00Z"/>
        <d v="2022-05-26T00:00:00Z"/>
        <d v="2022-05-03T00:00:00Z"/>
        <d v="2022-05-02T00:00:00Z"/>
        <d v="2022-08-09T00:00:00Z"/>
        <d v="2022-04-25T00:00:00Z"/>
        <d v="2022-04-08T00:00:00Z"/>
        <d v="2025-01-02T00:00:00Z"/>
        <d v="2022-05-05T00:00:00Z"/>
        <d v="2022-06-26T00:00:00Z"/>
        <d v="2022-05-11T00:00:00Z"/>
        <d v="2022-09-29T00:00:00Z"/>
        <d v="2024-12-18T00:00:00Z"/>
        <d v="2023-05-05T00:00:00Z"/>
        <d v="2021-09-30T00:00:00Z"/>
        <d v="2024-12-10T00:00:00Z"/>
        <d v="2023-07-20T00:00:00Z"/>
      </sharedItems>
    </cacheField>
    <cacheField name="A.C." numFmtId="0">
      <sharedItems containsDate="1" containsString="0" containsBlank="1">
        <m/>
        <d v="2026-07-01T00:00:00Z"/>
        <d v="2026-06-22T00:00:00Z"/>
        <d v="2026-06-18T00:00:00Z"/>
        <d v="2026-05-11T00:00:00Z"/>
        <d v="2026-05-07T00:00:00Z"/>
        <d v="2026-05-16T00:00:00Z"/>
        <d v="2026-04-16T00:00:00Z"/>
        <d v="2026-05-08T00:00:00Z"/>
        <d v="2026-05-19T00:00:00Z"/>
        <d v="2026-06-01T00:00:00Z"/>
        <d v="2026-06-25T00:00:00Z"/>
        <d v="2026-03-27T00:00:00Z"/>
        <d v="2026-06-17T00:00:00Z"/>
        <d v="2026-03-23T00:00:00Z"/>
        <d v="2026-06-08T00:00:00Z"/>
        <d v="2026-03-09T00:00:00Z"/>
        <d v="2026-03-11T00:00:00Z"/>
        <d v="2026-04-08T00:00:00Z"/>
        <d v="2026-03-02T00:00:00Z"/>
        <d v="2026-02-10T00:00:00Z"/>
        <d v="2026-02-23T00:00:00Z"/>
        <d v="2026-05-13T00:00:00Z"/>
        <d v="2026-01-26T00:00:00Z"/>
        <d v="2026-01-30T00:00:00Z"/>
        <d v="2026-01-28T00:00:00Z"/>
        <d v="2025-12-12T00:00:00Z"/>
        <d v="2025-12-11T00:00:00Z"/>
        <d v="2025-12-08T00:00:00Z"/>
        <d v="2025-12-04T00:00:00Z"/>
        <d v="2025-11-24T00:00:00Z"/>
        <d v="2026-03-19T00:00:00Z"/>
        <d v="2026-08-19T00:00:00Z"/>
        <d v="2025-11-05T00:00:00Z"/>
        <d v="2025-10-31T00:00:00Z"/>
        <d v="2025-05-11T00:00:00Z"/>
        <d v="2026-02-06T00:00:00Z"/>
        <d v="2025-09-29T00:00:00Z"/>
        <d v="2025-09-15T00:00:00Z"/>
        <d v="2025-11-27T00:00:00Z"/>
        <d v="2025-09-18T00:00:00Z"/>
        <d v="2025-12-01T00:00:00Z"/>
        <d v="2025-10-01T00:00:00Z"/>
        <d v="2025-10-02T00:00:00Z"/>
        <d v="2025-10-03T00:00:00Z"/>
        <d v="2025-08-08T00:00:00Z"/>
        <d v="2025-07-30T00:00:00Z"/>
        <d v="2025-07-31T00:00:00Z"/>
        <d v="2026-03-30T00:00:00Z"/>
        <d v="2026-02-12T00:00:00Z"/>
        <d v="2025-06-24T00:00:00Z"/>
        <d v="2025-05-30T00:00:00Z"/>
        <d v="2025-06-11T00:00:00Z"/>
        <d v="2025-01-29T00:00:00Z"/>
        <d v="2025-07-26T00:00:00Z"/>
        <d v="2025-04-30T00:00:00Z"/>
        <d v="2025-04-06T00:00:00Z"/>
        <d v="2025-03-31T00:00:00Z"/>
        <d v="2025-02-13T00:00:00Z"/>
        <d v="2025-07-28T00:00:00Z"/>
        <d v="2025-04-02T00:00:00Z"/>
        <d v="2025-04-22T00:00:00Z"/>
        <d v="2025-02-14T00:00:00Z"/>
        <d v="2025-01-31T00:00:00Z"/>
        <d v="2025-01-22T00:00:00Z"/>
        <d v="2026-01-21T00:00:00Z"/>
        <d v="2025-07-09T00:00:00Z"/>
        <d v="2024-12-06T00:00:00Z"/>
        <d v="2024-12-16T00:00:00Z"/>
        <d v="2024-11-29T00:00:00Z"/>
        <d v="2026-02-02T00:00:00Z"/>
        <d v="2025-01-30T00:00:00Z"/>
        <d v="2024-11-26T00:00:00Z"/>
        <d v="2025-05-16T00:00:00Z"/>
        <d v="2025-05-28T00:00:00Z"/>
        <d v="2025-02-12T00:00:00Z"/>
        <d v="2024-11-04T00:00:00Z"/>
        <d v="2024-11-12T00:00:00Z"/>
        <d v="2025-06-04T00:00:00Z"/>
        <d v="2024-10-11T00:00:00Z"/>
        <d v="2024-09-30T00:00:00Z"/>
        <d v="2024-10-04T00:00:00Z"/>
        <d v="2024-10-14T00:00:00Z"/>
        <d v="2025-01-13T00:00:00Z"/>
        <d v="2024-02-21T00:00:00Z"/>
        <d v="2024-08-20T00:00:00Z"/>
        <d v="2024-09-20T00:00:00Z"/>
        <d v="2024-09-26T00:00:00Z"/>
        <d v="2024-09-10T00:00:00Z"/>
        <d v="2024-09-23T00:00:00Z"/>
        <d v="2025-08-01T00:00:00Z"/>
        <d v="2024-09-09T00:00:00Z"/>
        <d v="2024-11-08T00:00:00Z"/>
        <d v="2024-08-23T00:00:00Z"/>
        <d v="2024-09-17T00:00:00Z"/>
        <d v="2024-07-15T00:00:00Z"/>
        <d v="2024-07-26T00:00:00Z"/>
        <d v="2024-04-10T00:00:00Z"/>
        <d v="2024-08-06T00:00:00Z"/>
        <d v="2024-08-26T00:00:00Z"/>
        <d v="2025-02-06T00:00:00Z"/>
        <d v="2024-03-11T00:00:00Z"/>
        <d v="2024-06-25T00:00:00Z"/>
        <d v="2024-11-27T00:00:00Z"/>
        <d v="2024-04-09T00:00:00Z"/>
        <d v="2025-06-17T00:00:00Z"/>
        <d v="2024-07-31T00:00:00Z"/>
        <d v="2025-02-11T00:00:00Z"/>
        <d v="2024-08-19T00:00:00Z"/>
        <d v="2023-11-24T00:00:00Z"/>
        <d v="2024-01-02T00:00:00Z"/>
        <d v="2024-08-05T00:00:00Z"/>
        <d v="2023-11-23T00:00:00Z"/>
        <d v="2024-08-02T00:00:00Z"/>
        <d v="2023-11-10T00:00:00Z"/>
        <d v="2026-04-27T00:00:00Z"/>
        <d v="2026-03-31T00:00:00Z"/>
        <d v="2024-03-05T00:00:00Z"/>
        <d v="2024-11-20T00:00:00Z"/>
        <d v="2023-09-13T00:00:00Z"/>
        <d v="2024-02-15T00:00:00Z"/>
        <d v="2023-08-28T00:00:00Z"/>
        <d v="2023-11-22T00:00:00Z"/>
        <d v="2023-08-09T00:00:00Z"/>
        <d v="2023-09-08T00:00:00Z"/>
        <d v="2023-08-14T00:00:00Z"/>
        <d v="2024-07-24T00:00:00Z"/>
        <d v="2023-07-05T00:00:00Z"/>
        <d v="2024-01-25T00:00:00Z"/>
        <d v="2023-08-01T00:00:00Z"/>
        <d v="2023-09-11T00:00:00Z"/>
        <d v="2023-06-28T00:00:00Z"/>
        <d v="2023-06-27T00:00:00Z"/>
        <d v="2023-07-27T00:00:00Z"/>
        <d v="2023-07-28T00:00:00Z"/>
        <d v="2023-10-20T00:00:00Z"/>
        <d v="2023-07-04T00:00:00Z"/>
        <d v="2023-06-14T00:00:00Z"/>
        <d v="2023-05-30T00:00:00Z"/>
        <d v="2023-09-21T00:00:00Z"/>
        <d v="2023-11-16T00:00:00Z"/>
        <d v="2023-07-18T00:00:00Z"/>
        <d v="2023-08-16T00:00:00Z"/>
        <d v="2023-05-10T00:00:00Z"/>
        <d v="2023-10-25T00:00:00Z"/>
        <d v="2023-06-07T00:00:00Z"/>
        <d v="2023-08-03T00:00:00Z"/>
        <d v="2023-06-05T00:00:00Z"/>
        <d v="2023-03-27T00:00:00Z"/>
        <d v="2023-03-28T00:00:00Z"/>
        <d v="2023-04-27T00:00:00Z"/>
        <d v="2025-07-01T00:00:00Z"/>
        <d v="2023-04-05T00:00:00Z"/>
        <d v="2023-10-11T00:00:00Z"/>
        <d v="2023-06-12T00:00:00Z"/>
        <d v="2023-03-17T00:00:00Z"/>
        <d v="2023-04-24T00:00:00Z"/>
        <d v="2024-03-06T00:00:00Z"/>
        <d v="2024-09-06T00:00:00Z"/>
        <d v="2023-01-23T00:00:00Z"/>
        <d v="2023-01-12T00:00:00Z"/>
        <d v="2023-02-22T00:00:00Z"/>
        <d v="2022-12-19T00:00:00Z"/>
        <d v="2023-01-18T00:00:00Z"/>
        <d v="2022-12-20T00:00:00Z"/>
        <d v="2025-01-03T00:00:00Z"/>
        <d v="2023-12-05T00:00:00Z"/>
        <d v="2022-10-07T00:00:00Z"/>
        <d v="2023-11-09T00:00:00Z"/>
        <d v="2023-08-10T00:00:00Z"/>
        <d v="2022-11-03T00:00:00Z"/>
        <d v="2022-11-29T00:00:00Z"/>
        <d v="2022-11-01T00:00:00Z"/>
        <d v="2022-11-07T00:00:00Z"/>
        <d v="2023-08-07T00:00:00Z"/>
        <d v="2022-11-25T00:00:00Z"/>
        <d v="2022-08-26T00:00:00Z"/>
        <d v="2022-08-30T00:00:00Z"/>
        <d v="2022-08-22T00:00:00Z"/>
        <d v="2022-12-12T00:00:00Z"/>
        <d v="2023-04-13T00:00:00Z"/>
        <d v="2022-09-21T00:00:00Z"/>
        <d v="2022-08-16T00:00:00Z"/>
        <d v="2022-07-22T00:00:00Z"/>
        <d v="2022-09-14T00:00:00Z"/>
        <d v="2022-07-04T00:00:00Z"/>
        <d v="2023-06-13T00:00:00Z"/>
        <d v="2023-05-15T00:00:00Z"/>
        <d v="2022-08-11T00:00:00Z"/>
        <d v="2022-05-26T00:00:00Z"/>
        <d v="2022-05-03T00:00:00Z"/>
        <d v="2022-05-02T00:00:00Z"/>
        <d v="2022-08-09T00:00:00Z"/>
        <d v="2022-04-25T00:00:00Z"/>
        <d v="2023-05-11T00:00:00Z"/>
        <d v="2022-04-08T00:00:00Z"/>
        <d v="2025-01-02T00:00:00Z"/>
        <d v="2022-05-05T00:00:00Z"/>
        <d v="2022-06-26T00:00:00Z"/>
        <d v="2022-05-11T00:00:00Z"/>
        <d v="2022-09-29T00:00:00Z"/>
        <d v="2024-12-18T00:00:00Z"/>
        <d v="2023-05-05T00:00:00Z"/>
        <d v="2021-09-30T00:00:00Z"/>
        <d v="2024-12-10T00:00:00Z"/>
        <d v="2023-07-20T00:00:00Z"/>
      </sharedItems>
    </cacheField>
    <cacheField name="Encaminhamento" numFmtId="0">
      <sharedItems containsBlank="1">
        <m/>
        <s v="DMOC"/>
        <s v="Retornado Secretário (a)"/>
        <s v="Executado"/>
        <s v="Retornado p/ Demandante"/>
        <s v="Concluído na SEINFRA"/>
        <s v="Compl. em Elaboração"/>
        <s v="DMURB"/>
        <s v="DMOE"/>
        <s v="Em Execução"/>
        <s v="DMEQ"/>
        <s v="Orçado"/>
        <s v="Em contratação"/>
        <s v="Contratato"/>
        <s v="Em orçamentação"/>
      </sharedItems>
    </cacheField>
    <cacheField name="Observações" numFmtId="0">
      <sharedItems containsBlank="1">
        <m/>
        <s v="Nova vistoria solicitada em 24/06 e encaminhada para acompanhamento."/>
        <s v="Retornar p/ preecnimento de formulário."/>
        <s v="Já existe processo, verificar duplicidade e retornar. previsão 2º semestre."/>
        <s v="Encaminhado p/ Poliana via email em 22/06/26."/>
        <s v="Encaminhado p/ DMOC em 18/06/26."/>
        <s v="Visita técnica em 05/05. Encaminhado p/ DMOC em 11/05/2026. Executado em 03/06/26."/>
        <s v="Estudo preliminar enviado p/ aprovação em 30/04/26. Aproavdo em encaminhando p/ DMOC em 07/05."/>
        <s v="Referente a 2ª Etapa da Avaliação. Solicitado prorrogação em 14/04."/>
        <s v="Arquivo não localizado a tempo."/>
        <s v="Solcitação feita ao DCF p/ aprovação do projeto do Serviço Doonto. na VISA."/>
        <s v="Início real em 23/03/26. Termino real em 31/03/2026. Encaminhado p/ DMOC em 16/04/26"/>
        <s v="Especificação feita e encaminhada por e-mail em 16/04/26."/>
        <s v="Retornado p/ prenchimento de formulário em 31/01/26."/>
        <s v="Previst PCA 2026 - Valor 100.000,00. Retornado para a unidade para definições internas. Área de Internveção 165,02 m²."/>
        <s v="Previsto PCA 2026 - Valor 35.000,00. Encaminhado a Poliana p/ Atribuir p. Fred em 11/05/2026"/>
        <s v="Reunião inicial 30/03/26. Apresentação proposta 15/04/26. Apresentação proposta final e aprovação 30/04/26. Encaminhado via email DCOM em 11/05/26. Apres. p/ empresa em 22/05/26."/>
        <s v="Encaminhado p/ DMOC em 01/07/26."/>
        <s v="Previsto PCA 2026 Valor 35.000,00. Reunião inicial 14/05. Reunião aprovação em 16/06/26. Encaminhado DMOC em 18/06/2026."/>
        <s v="Visita tec. em 26/03. Encaminanha p/ DMOC via email em 27/03."/>
        <s v="Previsto PCA 2026 - Valor 157.628,02. Encaminhado para aprovação em 12/06/26. Encaminhada DMOC em 17/06/2026."/>
        <s v="Priorizar Solicitação Natália IPTSP"/>
        <s v="Retornado p/ Poliana c/ parecer."/>
        <s v="Apres. Estudo Preliminar em 13/05/26. Conclusão Projeto em 25/05/26. Encaminhado análise IPHAN em 18/06/26. Aprovação IPHAN em 22/06/26."/>
        <s v="Previsto no PCA 2026 - Valor Previsto 90.000,00. Reunião inicial 14/05. Projeto enviado p/ aprovação em 27/05/26. Enviado p/ DMOC em 08/06/26."/>
        <s v="Encaminhado via e-mail."/>
        <s v="Visita inicial 27/02/26. Estudo preliminar enviado em 03/03/26. Reunião demandante e TAP 19/03/26. Projeto Concluído em 02/04/26. Aprovado em 07/04/26. TEP assindado em 07/04/26. Encaminhando p/ DMOC em 08/04/26. Proj. Elétrico Thyago email 26/05/26. Proj"/>
        <s v="Visita técnica 08/04/26."/>
        <s v="Reunião inicial em 06/02. Definicação do escopo do projeto em 12/02. TAP assinado 13/03/26.Apresentação projeto 27/02/26.TEP assinado e encaimhado DMOC em 02/03/26. "/>
        <s v="Encaminhado p/ Orçamento em 10/02/26."/>
        <s v="Visita in loco 12/02/26. Encaminhado p/ DMOC em 16/03/26."/>
        <s v="Encaminhado DMOE em 17/06/26."/>
        <s v="reunião inicial em  04/03. Apresentação estudo preliminar em 20/03. Proposta aprovada em 05/05//26."/>
        <s v="Proj. encaminhado via e-mail em 26/01/26. Orçamento encaminhado via e-mail em 29/01/26."/>
        <s v="Solicitação de info. adicionais em 02/02/26. Formulário retornado em 10/02/26."/>
        <s v="Retornado sugerindo conclusão. A demanda foi tratada no processo 23070.056235/2025-94."/>
        <s v="Encaminhar internamente p/ complementares avaliação e elaboração."/>
        <s v="Encaminhado p/ Joaquim em 28/01/26 para análise. Previsto PCA 2026 - Valor 62.445,12"/>
        <s v="Sugerido uso de nº oficial da reitoria."/>
        <s v="Encaminhado via e-mail p/ Poliana e Hiatha. "/>
        <s v="Enviado via e-mail p/ Poliana c/ orçamento (Marcelus)"/>
        <s v="Retornado p/ demandante c/ parecer aprovando locação."/>
        <s v="Retornado a FEN c/ Alvará Anexo ao processo."/>
        <s v="Reunião Inicial 06/02/26. Encamainhado p/ Avaliação IF em 10/02/2026. Aprovação em 18/02/26. Encaminhado p/ orçamento estimativo."/>
        <s v="Retornado informando q ue a solicitação foi atendida."/>
        <s v="Encaminhado via e-mail p/ Paulo Cotrim em 31/10."/>
        <s v="12/2025 Apresentação 1ª proposta. 02/2026 devolutiva FANUT p/ ajustes. Apresentação ajustes em 06/03/26. Contato cobrando devolutiva 08/04/26. Retornado p/ demandante em 11/05/26 para apreciação."/>
        <s v="Verificar Demanda VIsa C/ Adriano. Retornado a unidade em 08/10/25 solicitando atulizações do processo 23070.031678/2023-19. Retornado a unidade Esta demanda será tratada no processo citado."/>
        <s v="Documentos encaminhados p/ Marcio em 16/01/2026.ETP e Gerenciamento de Riscos Assinado em 30/01/26.TR assinado em 06/02/2026."/>
        <s v="Retornado ao Demandante informando não haver contrato viggente e recomendando contratação direta."/>
        <s v="Retornado ao Demandante informando ciência."/>
        <s v="Verificar atribuir p/ Frederico."/>
        <s v="Devolvido a unidade informando que a demanda será tratada no processo SEI 23070.029130/2024-81"/>
        <s v="Retornado p/ SECOM em 01/12 com estudo preliminar."/>
        <s v="Atribuido p/ Poliana."/>
        <s v="Retprnando ao demandante mantendo o encaminhamento."/>
        <s v="Retornado p/ unidade c/ informações. Retornado p/ SEINFRA em 26/02/26. Encaminanhado p/ DMOC em 02/03/26 p/ orçamento estimativo."/>
        <s v="Retornado p/ unidade c/ informações."/>
        <s v="Estudo Preliminar encaminhado em 04/09/25 para validação."/>
        <s v="R. Inicial em 23/09/2025."/>
        <s v="Encaminhado p/ DMOC em 03/10/25."/>
        <s v="Reunião revisão orçamento em 23/10/25. Retornado p/ demandante em 30/03/26."/>
        <s v="Visita in loco prevista 12/02/26. Encaminhado p/ DMOC em 19/03/26."/>
        <s v="Retornado p/ formulçário em 11/02/26."/>
        <s v="Encaminhado DMOC pra orçamento e viabilidade de execução em 12/02/2026."/>
        <s v="Reunião prof. Flávia 27/05/2025. Email c/ projeto antigo encaminham 28/05 em para avaliação. Retornado p/ formulário em 30/01/26. Existe Recurso"/>
        <s v="Retornado c/ plantas em pdf."/>
        <s v="Projeto aprovado no CBMGO em 30/05. Protocolo: 88071/25"/>
        <s v="Aguardando Visita junto c/ eng. Wilson. Enviado validação demante em 05/06/25. RRT Arquitetura e-mail 07/10/25."/>
        <s v="Retornado para condução pela equipe técnica interna do parque."/>
        <s v="Encaminhado DMOC em 28/07/25."/>
        <s v="Solicitado Formulário em 02/02/2026."/>
        <s v="Encaminhado via e-mail p/ Joaquim."/>
        <s v="Reu. inicial em 14/03 c/ Adriano. 2ª Reu. em 19/03 c/ comnsolidação das necessidades. Encaminhado prof. Helena."/>
        <s v="Reunião e Informações 28/02/25. Encaminhando p/ e-mail p/ Carlos Teixeira em 31/03."/>
        <s v="Necessidade de Projeto Elétrico, Ar-condicionado e Contratação externa p/ obra. Processo encaminhado a unidade p/ aprovação. Aprovação em 14/02/25. Encaminhado a DMOE."/>
        <s v="Reunião Inicial 07/02/25. Estudo preliminar apresentado em 14/03. Retornando p/ IQ via SEI."/>
        <s v="Concluído após despacho do Adriano informando encaminhamento."/>
        <s v="R. inicial em 26/02/25. Retorno Estudo Preliminar 10/04. Encaminhado DMOE em 12/05/25."/>
        <s v="Protocolando na VISA em 09/12/25. Protocolo 1782895. Taxa Análise encaminhada em 11/12. Relatório 1ª análise recebido em 23/01/26. Enviado p/ 2ª análise em 09/02/26. R02 recebida do Adriano em 24/03/26. Encaminhado p/ 3º análise em 01/04/2026. Enviado p/ "/>
        <s v="1ª avaliação realizada, ata e avaliação assinadas em 31/01. Encaminhando a DAD em 31/01."/>
        <s v="Atribuir p/ Murillo."/>
        <s v="Encaminnhado a DMOE para projeto de instalções em 22/01/2025."/>
        <s v="Inicialmente atribuído a Inah 21/02/25 (licença maternidade). Atribuído p/ Adriano em 02/07/25. Concluído, demanda duplicada 23070.008267/2025-83. "/>
        <s v="Portaria em 05/12/24. ETP e TR encaminhado ao Márcio em 06/12/024 p/ e-mail. Doumentos assinados SEI em 22/01/2025."/>
        <s v=" Email solicitanto mais informações encaminhando em 02/12/24. Reunião c/ Adriano 20/01/25. Retornado ao CIDARQ em 09/07/25."/>
        <s v="Prancha Estudo Premiminar, Orçamento Estimativo e Declaração enviados p/ WPP"/>
        <s v="Início anterior a atribuição do processo. Planta preliminar encaminhada em 27/11/2024. Encaminhado a DMOE para projeto de intalações. Ajuste arquitetura, esquasria e fechamento externo 23/01/2026."/>
        <s v="Contrato Pequenas Reformas. Encaminhado em 29/11 via email para Lucas."/>
        <s v="Retornado à PRPI com as resposta e recomendações pertinentes."/>
        <s v="Encaminhado p/ Hiatha."/>
        <s v="Verificar Atribuir p/ Frederico"/>
        <s v="Estagiária Elionai. Parcial Centro de Aulas E enviado e-amil p/ Lucas em 13/11/24. Encaminhado p/ e-mail para Lucas em 26/11/2024."/>
        <s v="Vista ao local em  13/05. Encaminhado ao solcicitante em 16/05/25."/>
        <s v="PREVISÃO CONCLUIR OBRA 11/12. Projeto básico concluido e encaminhado p/ avaliação em 16/05/25. Encaminhado p/ DMOE em 30/05/2025."/>
        <s v="Visita ao espaço 30/10/2024. Est. Andreyna."/>
        <s v="Demanda recebida via DMOC. Retornado p/ formulário em 11/02/26."/>
        <s v="Pedido informal DMOC. Em desenvolvimento est. Andreyna. Formalizado via SEI. Encaminhado a DMOC em 04/11/2024."/>
        <s v="Demanda recebida via DMOC. Verificar Projeto anterior do Adriano."/>
        <s v="Demanda recebida via DMOC. Encaminhado arquivo via processo e e-mail."/>
        <s v="Vista local em 18/03/25. Projeto encaminhado via e-mail p/ aprovação em 28/04."/>
        <s v="Retornado p/ formulário em 11/02/26."/>
        <s v="Pedido reunião apresentação EP 27/02/25. Apresetação Rev. 23/05/2025. Concluído e encaminhado DMOE em 05/06/2025."/>
        <s v="Verifiar c/ Poliana p/ atribuir ao Frederico."/>
        <s v="Encaminhado a DMOC p/ orçamento em 10/02/26."/>
        <s v="Encaminhada a DMOE p/ ciência e encaminhamentos. DMOE respondeu que solicitação será feita pelo 23070.050245/2024-35. Retornado a Unidade para Conclusão em 1/10/2024"/>
        <s v="R. Inicial em 19/09/25. Encaminhado p/ email para validação em 20/01/26. Apres. projeto em 26.01.26.Encaminhado p/ Joaquim p/ análise em 28/01/26. Retornado da analise em 12/03. Encaminhado DMOC p/ orçamento em 13/03/26."/>
        <s v="Conluído em 30/09/24. Encaminhado ao INF com plantas anexas."/>
        <s v="Concluído em 04/10/2024 não tendo mais providencias necessárias."/>
        <s v="Revisão Concluída e encaminhada a equipe de engenharia da EBSERH. Ficou acordado que eles junstariam com o outro projeto contratato e dariam os encaminhamentos necessários."/>
        <s v="Estudo básico encaminhado em 13/11. Encamihado Paulo Cotrim p/ orçamento estimativo."/>
        <s v="Projeto elaborado em 21/02/2024. Projeto anexado ao processo e encaminhado a DMOE em 07/10/2024."/>
        <s v="Projeto Concluído em 20/08/2024. Encaminhado por email para o Carlos Teixeira que estava elaborando orçamento. Em 07/10/24 o eng. Carlos informou que não ofi possivel incluir em orçamento, mas como o recurso é pequeno há a possibilidade de ser contemplado"/>
        <s v="Encaminhado a DMOE 07/02/2025."/>
        <s v="Concluído em 20/09/2024. Encaminhado a Dir. Obras em 30/09/2024."/>
        <s v="Encaminhado por e-mail para Marcelus e Poliana para avaliação da execução pela equipe"/>
        <s v="Atribuido ao Danillo com as informações solicitadas em 10/09/2024"/>
        <s v="Concluído em 23/09/2024. Encaminhado a DMOE em 26/09/2024."/>
        <s v="Encaminhando a FAV, registranto a disponibilidade de diálogo no processo."/>
        <s v="Em execução 02/2026."/>
        <s v="Previsão de Início em 13/09/2024"/>
        <s v="Atribuir p/ Gerani. Retornado p/ formulário em 11/02/26."/>
        <s v="Atribuir p/ Leonardo"/>
        <s v="Atribuir p/ Adriano"/>
        <s v="Atribuir p/ Gerani. Retornado p/ formulçário em 11/02/26."/>
        <s v="Estudo encaminhado a Poliana em 09/09/2024. Reunião agendada p/ 10/09/2024. Estudo encaminhando por email a FCT em 11/09/24."/>
        <s v="Portaria integrante técnio em 21/08/24.Poltronas instaladas em 08/11/2024."/>
        <s v="Concluído e encaminhado a Diretoria de Meio Ambiente em 23/08/2024."/>
        <s v="Não resposta do prof. Wilson Mozena, retornado para EA para avaliação da pertinência da demanda em 26/09/2024"/>
        <s v="Concluido informando os processos que tramitaram a concretação."/>
        <s v="Demanda Recebido informalmente por telefone do Cecílio. Murillo Visitou o local em 15/08/28. Aguardando detalhe e locação. Concluído e encaminhado p/ Dir. Obras em 23/08 por e-mail."/>
        <s v="Demanda recebida informalmente por telefone em 08/08. Gerani iniciou em 09/08. Concluído em 20/08/24. Sem encaminhamento, unidade não soube informar o prazo para submissão ao edital não sendo possivel acordar prazo c/ Diretoria de Obras para elaborar orça"/>
        <s v="Demanda apartir de visita do Prof. Jesiel. Em 22/07/24 foi realizada visita ao local c/ prof. Mayara. Primeira versão recebida em 09/09/2024. Concluído em 17/09/2024. Encaminhado a DMOE em 30/09/24 a/c Carlos Leandro."/>
        <s v="Concluo o presente processo, tendo de vista que está demanda será tratada no processo SEI 23070.025812/2025-04"/>
        <s v="ANO QUE VEM 2026. Atribuir p/ Gerani. Retornado p/ formulçário em 11/02/26."/>
        <s v="Resposta encaminhada em 15/07/24. Informando previsão de demolição da edificação confomre relatório de vistoria anexo ao processo. "/>
        <s v="Atribuir p / Adriano. Retornado p/ formulário em 11/02/26."/>
        <s v="Concluído e encaminhado a Dir. Obras em 26/07/24. "/>
        <s v="Responsta encaminhada por despacho a FM em 15/07"/>
        <s v="Estágiário (Ruiter) da FF está levantando informações e fazendo levantamento da situação existente."/>
        <s v="Encaminhado a Poliana com análise e parecer. Despacho de 01/12/25 mantendo o entendimento da analise anterior."/>
        <s v="Aguardando aprovação da Direção. Encaminhando p/ Poliana recomendando a conclusão do processo após informação dispensando ações da SEINFRA."/>
        <s v="Processo Concluído após despacho."/>
        <s v="Processo Concluído em 04/10/2024 tendo em vista que não a encaminhamentos a serem feitos. RECEBIDO EM 18/11/24 P/ CONNFIRMAÇÃO PRERIODO DE RECESSO. Retornado ao DFP c/ confirmação do período."/>
        <s v="Oficio encaminhado. Aprovação Necessária. Projeto aprovado em 26/08/24. SEI IPHAN 01516.000328/2024-64 "/>
        <s v="Reencaminhando ao Murillo para correções em 02/11/24. Encaminhado DMOC em 07/02/2025."/>
        <s v="Prioridade pedido Hiatha.Concluído e encaminhada a Dir. Obras em 11/03/24, após formalização no SEI"/>
        <s v="Estudo Preliminar concluído em 08/04/24. Encaminhado ao IPhan em 12/06/24. Anteprojeto concluído em 25/06/24. 1º Parecer Iphan recebido em 18/07/24. Processo de contratação 23070.029055/2024-59. Encaminhado p/ 2ª análise do IPHAN em 23/08/24."/>
        <s v="Atribuir p/ Adriano. Retornado p/ formulário em 30/01/26. Existe recurso 100mil praz. final 12/26."/>
        <s v="Retornado  recomendando que a demanda seja desenvolvido pela equipe técnica interna do parque."/>
        <s v="Reunião com PRAE em 25/09/2024, definição por elaborar estudo c/ portas giratórias. Encaminhado a Dir. Obras em 30/09/24. Retornado ao Adriano em 04/11/25 p/ ajustes. Retornado p/ Wilson em 04/11/25 c/ especificações."/>
        <s v="Encaminhado a unidade com levantamento anexo. Processo recebido em 09/12 para complementar infor. Informações compl. enviadas em 16/12/24."/>
        <s v="EP concluído em 10/09/2024. Encaminhado a DMOC em 11/09/2024 solicitando orçamento estimativo p/ capitação de recursos."/>
        <s v="Encaminhado a Poliana solicitando informações pendentes da diretoria de obras e anexando relatório técnico do Murillo com cronograma preliminar para elaboração de projeto de incêndio"/>
        <s v="Biotério Setorial ICB II. Atribuido p/ Poliana em 18/06/2025."/>
        <s v="Encaminhado a Poliana com análise e parecer em 17/04/2024"/>
        <s v="Reunião c/ Luizmar em 21/01/2025. Encaminhado ao PTS em 13/02 solicitando aprovação e contratação de proj. complementares."/>
        <s v="ETP revisado assinado por Matheus em 31/07/2024. TR revisado assinado por Matheus e encaminhado a FD em 02/08/2024. Pregão Supenso em 19/08/2024. Novo processo aberto para adessão a ata (23070.042052/2024-19) 22/08/2024."/>
        <s v="Encaminhada a Dir. Obras em 20/12/2023 p/ avaliação e orçamento."/>
        <s v="Aguardando validação final. Encaminhado a Dir. Obras em 27/11/23"/>
        <s v=" Encaminando para Dir. Elétrica em 07/03/24"/>
        <s v="Projeto Conluído em 05/08/2024. Processo encaminhado a unidade solicitando informações sobre os próximos encaminhamentos."/>
        <s v="Encaminhado a Dir. Elétrica em 23/11/2023"/>
        <s v="Atribuido ao Frederico elecando os ajustes necessários no projeto elaborado em 2017/2018.Ante projeto concluído em 23.07.24. Processo reatribuído ao Frederico em 24/07/24 p/ inclusão de pranchas completas do projeto. Projeto anexado em 02/08/24 e encaminh"/>
        <s v="Relatório encaminhado a Poliana em 13/11/23"/>
        <s v="Concluído, aguardando validadação final. Encaminhado a Dir. Obras p/ orçamento em 23/11/2023."/>
        <s v="Estudo Preliminar apresentado em 14/06/24. Revisão do estudo preliminar encaminhada em 31/07/24, reunião agendada p/ 08/08/24. Proj. Básico concluído em 03/04/2025. Reu. incial proj. complementar em 18/06/2025. Projeto Executivo Concluído em  26/01/2026. "/>
        <s v="Retornado a unidade em 05/03/24 recomendando a conclusão do processo tendo em vista a imviablildade de adequação do layout sem ampliação de espaço físico."/>
        <s v="Relatório das condições do espaço finalizado em 20/11/23. Encaminhado a PRAE em 21/11/23 para manifestação. O processo deverá retornar para elaboração do projeto. O processo A arq. Inah fez projeto de internveção no pátio coberdor. Após encaminhamento do "/>
        <s v="Concluído em 15/02/2024. Encaminhado a Dir. Obras em 16/02/24."/>
        <s v="PRIORITÁRIOS 2023"/>
        <s v="Encaminhado a Dir. Elétrica em 22/11/23."/>
        <s v="Encaminhado para fiscal Lucas em 09/08/2023. Executado no aditivo da obra"/>
        <s v="Analise feita. Encaminhada a Dir. Obras em 08.09.23."/>
        <s v="Aguardando Aprovação do proj. Arq. Sanitário do Serviço Odontologico."/>
        <s v="Despacho da Poliana retornando pra FCT"/>
        <s v="Projeto encaminhando p/ impressão. Assinado pelo Adriano 25/09/23. Aguardando entrada na VISA, encaminhamento Farmácia. Retornado a unidade solicitando atulizações das tratativas c/ VISA. Relatório da 2ª análise recebido em 02/02/26."/>
        <s v="Atribuido em 18/10/23. Visita elaboração programa de necessidades em 25/10/23. Programa de Necessidades anexado ao processo e encaminhado para unidade para validação 02/04/2023. Aguardar Retorno. Concluído em 24/07/24 e encaminhado p/ DMOE na mesma data."/>
        <s v="Encaminhado para fiscal Lucas em 05/07/23. Executado no aditivo da obra"/>
        <s v="Atrbuída à Gerani em 08/08/2024. Encaminhado DMOC 07/02/2025."/>
        <s v=" Encaminhado a Dir. Obras em 16/02/2024."/>
        <s v="Encaminhanda a Dir. Obras em 01/08/23."/>
        <s v="Encaminhado p/ Dir. Obras em 12.09"/>
        <s v="Encaminhado a DMOC em 27/07/23"/>
        <s v="Concluído, duplicidade de solicitação no processo 23070.033629/2023-11"/>
        <s v="Encaminhado ao Marcelus em 20/10/23"/>
        <s v="Encaminhado da Faculdade de Medicina para avaliação e manifestação.Concluído em 07/07/23 pela Poliana"/>
        <s v="Retornando em05/03/2024 a unidade com parecer técnico desfavoravel a intervenção"/>
        <s v="Concluído em 01/08/23. Encaminhado a Dir. Obras em 07/08/2023."/>
        <s v="Esta demanda está sendo desenvolvida por arq. do CEET. NEgociação da prof. Flávia. Retornado p/ unidade para preenchimento do fomrulário em 30/01/26."/>
        <s v="Aguardando visita tecnica do Marcelus em 11/09. Projeto elaborado, reunião p/ apresentação agendada."/>
        <s v="PRIORITÁRIOS 2023 - Projeto Inah, Matheus, Adriano e Frederico"/>
        <s v="Projeto Concluído em 21/09/2023. Encaminhado a Dir. Obras via email em 25/09/2023. Processo encaminhado a DMOC para confirmação da execução e conclusão do processo (04/10/2024)."/>
        <s v="Concluído Internamento em 22/01/26. A demanda será tratada no procecesso 23070.061475/2025-19"/>
        <s v="Encaminhando a Dir. Obras para orçamento estimativo em 16/11/23"/>
        <s v="Concluído em 18/07. Encaminhado a Dir. Obras em 20/07."/>
        <s v="Encaminhando a Dir. Elétrica em 01/11/2023"/>
        <s v="Encaminhado a D. Obras em 10/05/2023"/>
        <s v="O projeto foi pausado a pedido da direção do IPTSP. Em 09/09/24 o processo foi retornado a unidade com o projeto anexo solicitando conclusão na unidade. Em  12/09/24 o processo retornou. Verificar encaminhamento"/>
        <s v="Reunião sobre a demanda em 18/10/23. Processo retornando a unidade para maiores informações."/>
        <s v="Concluído em 07/06/23. Encaminhando a Dir. Obras em 19/06/23"/>
        <s v="Projeto Concluído em 28/06/2023. Processo concluído em 09/04/24 em referencia ao processo 23070.064559/2023-34 de contratação da obra."/>
        <s v="Concluído e encaminhado a Dir. Obras em 03/08/23"/>
        <s v="Concluído em 07/06/23. Encaminhando a DIr. Obras em 26/06/23. Adequações realizadas em 01/08/2023. Processo concluído."/>
        <s v="Proposta preliminar elaborada pela est. Luíza em 19/04/23. Processo encaminhado a interessada em 07/10/24 com proposta anexa, solicitando analise se a demanda ainda é pertinente.  Retornado p/ SEINFRA em 11/10/2024."/>
        <s v="Concluído em 05/06/23. Encaminhando a Dir. Obras em 25/07/23"/>
        <s v="Estudo encaminhado a prof. Rosangela em27/03/23 com estimativa de custos. Processo retornado a unidade em 27/11/23."/>
        <s v="Atribuido a Obras em 28/03/23"/>
        <s v="Encaminhado a Cecilio em 27/04/2023"/>
        <s v="Demanda repassada ao Leonardo. Proposta aprovado em 18/06/25. Ajuste legendas em 28/07/25 via e-mail."/>
        <s v="Encaminhando ao Junior em 05/04/2023"/>
        <s v="Encaminho os Junior em 11/10/23"/>
        <s v="Concluído em 12/06/23. Devolvido a unidade 19/06/2023."/>
        <s v="Reatribuir"/>
        <s v="Encaminhado a D. Obras em 17/03/23"/>
        <s v="Concluído em 24/04/2023. Encaminado p/ Junior em 09/05/2023. PRIORITÁRIOS 2023"/>
        <s v="Projeto Concluído em 06/03/24. Validado pela Unidade em 07/03/24. Encaminhado a Dir. Obras em 07/03/24."/>
        <s v="Em reunião realizada em 07/10/24 foi indicado pela reitoria a necessidade de ter 100 pessoas sentadas na mesa dos conselheiros, foi indicada a viabilidade de ocupar as três salas do CE.  Estações de trabalho &quot;convêncionais&quot; aprovadas para layou. Aguardand"/>
        <s v="Aguardando Resposta FIC. Encaminhada via SEi para validação em 23/03/2023. Resposta aprovando recebida em 06/09/2024. Processo encaminhado a DMOE em 06/09 para avaliação e viabilidade de projeto elétrico."/>
        <s v="Projeto Concluído em 12/07/2023. Encaminhamento pausado na pespectiva de reforma geral da reitoria em desenvolvimento pela Gerani. Processo retornado ao DFP em 04/10/24 solicitando informações sobre a pertinencia atual do projeto."/>
        <s v="Encaminhado a D. Obras em 23/01/23. orçado. Executado."/>
        <s v="Encaminhado a D. Obras em 12/01/23  PRIORITÁRIOS 2023"/>
        <s v="Atribuída a D. Obras em 22/02/23"/>
        <s v="Encaminhado para Dir. Obras em 19/12/22"/>
        <s v="Visita 19/12."/>
        <s v="Revisão Concluída em 15/10/2024."/>
        <s v="Encaminhado para Dir. Obras em 20/12/22"/>
        <s v="Concluído pela Poliana."/>
        <s v="Encaminhada a Dir. Obras 15/12/2023"/>
        <s v="Projeto Aprovado em em 22 de novembro de 2022 através do processo nº 89533163 (VISA)."/>
        <s v="Projeto Concluído em 09/01/2023. Processo concluído em 04/10/2024 tendo em vista que a demanda foi encaminhada pelo processo 23070.055161/2022-26."/>
        <s v="Processo concluído em 10/08/23 tendo em vista que a demanda solicitada pelo Ofício 3136420, está sendo contemplada no processo SEI 23070.045758/2022-62 que trata do projeto de reforma do prédio da CTR.​"/>
        <s v="Visita Realizada em 26/09. Aprovado pela unidade 27/10. Encaminhado Dir. Obras 03/11."/>
        <s v="Projeto arq. de nova sede elaborado. Projetos Complementares contratados e entregues. Encaminhado ao IQ para conclusão do Processo."/>
        <s v="Verificar"/>
        <s v="Processo Concluído em 16/11/23.Demanda atendida em 13/10/22"/>
        <s v="Atribuido Dir. Obras 01/11/22"/>
        <s v="Atribuido p Marcelus 07/11. Retornar para atendimento das outras demandas"/>
        <s v="Projeto concluído em 07/08/23, encaminhado a dir. elétrica em 10/08/23 para elaboração de projeto elétrico e de lógica."/>
        <s v="Finalizado 25/11. Atribuido Marcelus 28/11."/>
        <s v="Concluído em 29/11/2022, após informação que a demanda já havia sido solucionada"/>
        <s v="Encaminhado a DMOE."/>
        <s v="Enviadado p/ Dir. Obras 26/08/2022"/>
        <s v="Enviado p/ Marcelus em 30/08"/>
        <s v="Enviado p/ Orçamento 22/08. Obras Concluída 20/12"/>
        <s v="Enviado p/ Dir. Obras em 12/12. Orçado. Encaminhado p/ Demandante em 05/07/23."/>
        <s v="Atribuido a Dir. Obras em 13/04/23"/>
        <s v="Parecer indicando inviabilidade. Retornado para unidade em 18/04/23. Reatribuido a Frederico em 27/07/23 para projeto paisagistico"/>
        <s v="Enviado p/ Orçamento 21/09"/>
        <s v="Visita ao espaço 08/07. Encaminhado Dir, Obras 16/08"/>
        <s v="Encaminhado DMOC em 22/07/22. Orçado e encaminhado p/ demandante"/>
        <s v="Encaminhado p/ Dir. Obras em 11/07"/>
        <s v="Projeto Concluído em 13/06/2023. Encaminhado a Dir Obras em 16/06/2023. Orçamento concluído em 06/09/2023. Retornado a enidade em e concluído em 19/09/2023. Processo Contratação 23070.064720/2023-70 Orçamento Carlos Teixeira"/>
        <s v="Encaminado a D. Obras em 16/05/2023"/>
        <s v="Concluído em 11/05/23. Encaminhado para D. Obras em 11/05/2023"/>
        <s v="Processo concluído em 16/11/2023 em referência ao processo 23070.036554/2023-11 referente a contratação da obra. "/>
        <s v="Orçado. Enviado pra Gabriela(Laces) 12/05/2022"/>
        <s v="Atribuido para Marcelus em 03/05"/>
        <s v="Encaminhado p/ aprovação em 18/04. Encaminhado p/ Marcelus em 02/05"/>
        <s v="Concluído em 07/06. Aprovado pelo Professor- Avaliar se será contratado direto ou marcenaria irá executar"/>
        <s v="Projeto encaminhado PRPI em 25/04 sem retorno. Processo concluído em 25/07."/>
        <s v="Despacho Leonardo informando não devolutiva da unidade p/ mais informações, Encaminhado para Poliana em 14/10/2024 solicitando conclusão do processo. Recebido em 02/12/2024 solicitando andamento no lab. de neurocirurgia. Retornado a unidade solicitando in"/>
        <s v="Encaminhando a Dir. Obras em 15/05/23"/>
        <s v="Concluído em 08/04/24. Não foi necessária nenhuma ação"/>
        <s v="Parecer Técnico enviado a unidade em 05/03/2024 recomendando a inviabilidade do projeto. Processo retornado a Seinfra em 05/03/2024. Processo Conluído em 04/10/2024 tendo em vista que não há novos encaminhamentos."/>
        <s v="Concluido, Aprovado pelos solicitantes 19/04. Encaminhando a Manutenção"/>
        <s v="Reunião p/ 18/05. Encaminhado a Dir. Obras em 21/06/22"/>
        <s v="Encaminhado p/ Marcelus em 10/05/22"/>
        <s v="Processo Concluído em 04/10/2024 não tendo mais encaminhamentos necessários."/>
        <s v="Gabinete 29/09"/>
        <s v="Processo concluído em 04/10/2024 tendo em vista que foi a discussão não avançou."/>
        <s v="Despacho Leonardo informando não retorno sobre programa de necessidades. Concluído na Seinfra."/>
        <s v="Emisão do CERCOm em 04/05/2023. Processo encaminhado o CE para conclusão."/>
        <s v="Verificar projetos complementares concluídos, anexar ao processo e retornar a unidade. Concluído pela Poliana.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rowGrandTotals="0" compact="0" compactData="0">
  <location ref="U1:V287" firstHeaderRow="0" firstDataRow="1" firstDataCol="0"/>
  <pivotFields>
    <pivotField name="8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Receb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A.R." axis="axisRow" compact="0" outline="0" multipleItemSelectionAllowed="1" showAll="0" sortType="ascending">
      <items>
        <item x="134"/>
        <item x="285"/>
        <item x="284"/>
        <item x="282"/>
        <item x="281"/>
        <item x="283"/>
        <item x="280"/>
        <item x="279"/>
        <item x="275"/>
        <item x="274"/>
        <item x="273"/>
        <item x="278"/>
        <item x="272"/>
        <item x="271"/>
        <item x="276"/>
        <item x="277"/>
        <item x="270"/>
        <item x="269"/>
        <item x="268"/>
        <item x="267"/>
        <item x="266"/>
        <item x="265"/>
        <item x="263"/>
        <item x="264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49"/>
        <item x="248"/>
        <item x="247"/>
        <item x="246"/>
        <item x="245"/>
        <item x="244"/>
        <item x="243"/>
        <item x="242"/>
        <item x="233"/>
        <item x="232"/>
        <item x="241"/>
        <item x="240"/>
        <item x="231"/>
        <item x="230"/>
        <item x="239"/>
        <item x="229"/>
        <item x="238"/>
        <item x="237"/>
        <item x="236"/>
        <item x="235"/>
        <item x="234"/>
        <item x="228"/>
        <item x="227"/>
        <item x="226"/>
        <item x="225"/>
        <item x="216"/>
        <item x="224"/>
        <item x="223"/>
        <item x="222"/>
        <item x="221"/>
        <item x="220"/>
        <item x="219"/>
        <item x="218"/>
        <item x="215"/>
        <item x="214"/>
        <item x="217"/>
        <item x="213"/>
        <item x="212"/>
        <item x="211"/>
        <item x="210"/>
        <item x="209"/>
        <item x="208"/>
        <item x="207"/>
        <item x="206"/>
        <item x="205"/>
        <item x="168"/>
        <item x="204"/>
        <item x="203"/>
        <item x="202"/>
        <item x="201"/>
        <item x="200"/>
        <item x="199"/>
        <item x="198"/>
        <item x="197"/>
        <item x="196"/>
        <item x="250"/>
        <item x="195"/>
        <item x="194"/>
        <item x="193"/>
        <item x="192"/>
        <item x="191"/>
        <item x="190"/>
        <item x="187"/>
        <item x="186"/>
        <item x="183"/>
        <item x="180"/>
        <item x="189"/>
        <item x="179"/>
        <item x="178"/>
        <item x="188"/>
        <item x="185"/>
        <item x="184"/>
        <item x="177"/>
        <item x="176"/>
        <item x="175"/>
        <item x="174"/>
        <item x="182"/>
        <item x="173"/>
        <item x="181"/>
        <item x="172"/>
        <item x="171"/>
        <item x="170"/>
        <item x="169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3"/>
        <item x="113"/>
        <item x="144"/>
        <item x="142"/>
        <item x="140"/>
        <item x="141"/>
        <item x="139"/>
        <item x="138"/>
        <item x="137"/>
        <item x="136"/>
        <item x="133"/>
        <item x="135"/>
        <item x="132"/>
        <item x="131"/>
        <item x="130"/>
        <item x="129"/>
        <item x="128"/>
        <item x="127"/>
        <item x="126"/>
        <item x="125"/>
        <item x="123"/>
        <item x="122"/>
        <item x="124"/>
        <item x="121"/>
        <item x="120"/>
        <item x="119"/>
        <item x="118"/>
        <item x="117"/>
        <item x="116"/>
        <item x="115"/>
        <item x="114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6"/>
        <item x="89"/>
        <item x="88"/>
        <item x="87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1"/>
        <item x="53"/>
        <item x="52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Camp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teú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Classif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ioridade" compact="0" outline="0" multipleItemSelectionAllowed="1" showAll="0">
      <items>
        <item x="0"/>
        <item x="1"/>
        <item x="2"/>
        <item t="default"/>
      </items>
    </pivotField>
    <pivotField name="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ribuí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rev. 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. Contr./Inte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Prev. Concl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A.C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Encaminh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</pivotFields>
  <rowFields>
    <field x="2"/>
  </rowFields>
  <dataFields>
    <dataField name="COUNTA of 83" fld="0" subtotal="count" baseField="0"/>
  </dataFields>
</pivotTableDefinition>
</file>

<file path=xl/pivotTables/pivotTable2.xml><?xml version="1.0" encoding="utf-8"?>
<pivotTableDefinition xmlns="http://schemas.openxmlformats.org/spreadsheetml/2006/main" name="DASHBOARD 2" cacheId="0" dataCaption="" rowGrandTotals="0" compact="0" compactData="0">
  <location ref="X1:Y207" firstHeaderRow="0" firstDataRow="1" firstDataCol="0"/>
  <pivotFields>
    <pivotField name="8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Receb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A.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Camp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teú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Classif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ioridade" compact="0" outline="0" multipleItemSelectionAllowed="1" showAll="0">
      <items>
        <item x="0"/>
        <item x="1"/>
        <item x="2"/>
        <item t="default"/>
      </items>
    </pivotField>
    <pivotField name="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ribuí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rev. 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. Contr./Inte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Prev. Concl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A.C." axis="axisRow" compact="0" outline="0" multipleItemSelectionAllowed="1" showAll="0" sortType="ascending">
      <items>
        <item x="0"/>
        <item x="203"/>
        <item x="195"/>
        <item x="193"/>
        <item x="191"/>
        <item x="190"/>
        <item x="197"/>
        <item x="199"/>
        <item x="189"/>
        <item x="198"/>
        <item x="185"/>
        <item x="183"/>
        <item x="192"/>
        <item x="188"/>
        <item x="182"/>
        <item x="178"/>
        <item x="176"/>
        <item x="177"/>
        <item x="184"/>
        <item x="181"/>
        <item x="200"/>
        <item x="167"/>
        <item x="172"/>
        <item x="170"/>
        <item x="173"/>
        <item x="175"/>
        <item x="171"/>
        <item x="179"/>
        <item x="162"/>
        <item x="164"/>
        <item x="160"/>
        <item x="163"/>
        <item x="159"/>
        <item x="161"/>
        <item x="155"/>
        <item x="148"/>
        <item x="149"/>
        <item x="152"/>
        <item x="180"/>
        <item x="156"/>
        <item x="150"/>
        <item x="202"/>
        <item x="143"/>
        <item x="194"/>
        <item x="187"/>
        <item x="138"/>
        <item x="147"/>
        <item x="145"/>
        <item x="154"/>
        <item x="186"/>
        <item x="137"/>
        <item x="132"/>
        <item x="131"/>
        <item x="136"/>
        <item x="127"/>
        <item x="141"/>
        <item x="205"/>
        <item x="133"/>
        <item x="134"/>
        <item x="129"/>
        <item x="146"/>
        <item x="174"/>
        <item x="123"/>
        <item x="169"/>
        <item x="125"/>
        <item x="142"/>
        <item x="121"/>
        <item x="124"/>
        <item x="130"/>
        <item x="119"/>
        <item x="139"/>
        <item x="153"/>
        <item x="135"/>
        <item x="144"/>
        <item x="168"/>
        <item x="114"/>
        <item x="140"/>
        <item x="122"/>
        <item x="112"/>
        <item x="109"/>
        <item x="166"/>
        <item x="110"/>
        <item x="128"/>
        <item x="120"/>
        <item x="84"/>
        <item x="117"/>
        <item x="157"/>
        <item x="101"/>
        <item x="104"/>
        <item x="97"/>
        <item x="102"/>
        <item x="95"/>
        <item x="126"/>
        <item x="96"/>
        <item x="106"/>
        <item x="113"/>
        <item x="111"/>
        <item x="98"/>
        <item x="108"/>
        <item x="85"/>
        <item x="93"/>
        <item x="99"/>
        <item x="158"/>
        <item x="91"/>
        <item x="88"/>
        <item x="94"/>
        <item x="86"/>
        <item x="89"/>
        <item x="87"/>
        <item x="80"/>
        <item x="81"/>
        <item x="79"/>
        <item x="82"/>
        <item x="76"/>
        <item x="92"/>
        <item x="77"/>
        <item x="118"/>
        <item x="72"/>
        <item x="103"/>
        <item x="69"/>
        <item x="67"/>
        <item x="204"/>
        <item x="68"/>
        <item x="201"/>
        <item x="196"/>
        <item x="165"/>
        <item x="83"/>
        <item x="64"/>
        <item x="53"/>
        <item x="71"/>
        <item x="63"/>
        <item x="100"/>
        <item x="107"/>
        <item x="75"/>
        <item x="58"/>
        <item x="62"/>
        <item x="57"/>
        <item x="60"/>
        <item x="56"/>
        <item x="61"/>
        <item x="55"/>
        <item x="35"/>
        <item x="73"/>
        <item x="74"/>
        <item x="51"/>
        <item x="78"/>
        <item x="52"/>
        <item x="105"/>
        <item x="50"/>
        <item x="151"/>
        <item x="66"/>
        <item x="54"/>
        <item x="59"/>
        <item x="46"/>
        <item x="47"/>
        <item x="90"/>
        <item x="45"/>
        <item x="38"/>
        <item x="40"/>
        <item x="37"/>
        <item x="42"/>
        <item x="43"/>
        <item x="44"/>
        <item x="34"/>
        <item x="33"/>
        <item x="30"/>
        <item x="39"/>
        <item x="41"/>
        <item x="29"/>
        <item x="28"/>
        <item x="27"/>
        <item x="26"/>
        <item x="65"/>
        <item x="23"/>
        <item x="25"/>
        <item x="24"/>
        <item x="70"/>
        <item x="36"/>
        <item x="20"/>
        <item x="49"/>
        <item x="21"/>
        <item x="19"/>
        <item x="16"/>
        <item x="17"/>
        <item x="31"/>
        <item x="14"/>
        <item x="12"/>
        <item x="48"/>
        <item x="116"/>
        <item x="18"/>
        <item x="7"/>
        <item x="115"/>
        <item x="5"/>
        <item x="8"/>
        <item x="4"/>
        <item x="22"/>
        <item x="6"/>
        <item x="9"/>
        <item x="10"/>
        <item x="15"/>
        <item x="13"/>
        <item x="3"/>
        <item x="2"/>
        <item x="11"/>
        <item x="1"/>
        <item x="32"/>
        <item t="default"/>
      </items>
    </pivotField>
    <pivotField name="Encaminh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</pivotFields>
  <rowFields>
    <field x="17"/>
  </rowFields>
  <dataFields>
    <dataField name="COUNTA of 83" fld="0" subtotal="count" baseField="0"/>
  </dataFields>
</pivotTableDefinition>
</file>

<file path=xl/pivotTables/pivotTable3.xml><?xml version="1.0" encoding="utf-8"?>
<pivotTableDefinition xmlns="http://schemas.openxmlformats.org/spreadsheetml/2006/main" name="DASHBOARD 3" cacheId="0" dataCaption="" rowGrandTotals="0" compact="0" compactData="0">
  <location ref="AA1:AB90" firstHeaderRow="0" firstDataRow="1" firstDataCol="0"/>
  <pivotFields>
    <pivotField name="8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Receb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A.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Unidade" axis="axisRow" compact="0" outline="0" multipleItemSelectionAllowed="1" showAll="0" sortType="ascending">
      <items>
        <item x="83"/>
        <item x="51"/>
        <item x="6"/>
        <item x="81"/>
        <item x="82"/>
        <item x="32"/>
        <item x="39"/>
        <item x="34"/>
        <item x="10"/>
        <item x="86"/>
        <item x="88"/>
        <item x="48"/>
        <item x="11"/>
        <item x="71"/>
        <item x="50"/>
        <item x="84"/>
        <item x="70"/>
        <item x="23"/>
        <item x="13"/>
        <item x="38"/>
        <item x="17"/>
        <item x="76"/>
        <item x="27"/>
        <item x="63"/>
        <item x="12"/>
        <item x="55"/>
        <item x="45"/>
        <item x="57"/>
        <item x="29"/>
        <item x="52"/>
        <item x="0"/>
        <item x="66"/>
        <item x="62"/>
        <item x="22"/>
        <item x="59"/>
        <item x="44"/>
        <item x="35"/>
        <item x="21"/>
        <item x="28"/>
        <item x="58"/>
        <item x="25"/>
        <item x="85"/>
        <item x="2"/>
        <item x="54"/>
        <item x="43"/>
        <item x="5"/>
        <item x="8"/>
        <item x="1"/>
        <item x="47"/>
        <item x="3"/>
        <item x="53"/>
        <item x="56"/>
        <item x="36"/>
        <item x="16"/>
        <item x="19"/>
        <item x="33"/>
        <item x="30"/>
        <item x="49"/>
        <item x="80"/>
        <item x="14"/>
        <item x="60"/>
        <item x="9"/>
        <item x="87"/>
        <item x="68"/>
        <item x="67"/>
        <item x="40"/>
        <item x="42"/>
        <item x="20"/>
        <item x="73"/>
        <item x="75"/>
        <item x="78"/>
        <item x="7"/>
        <item x="65"/>
        <item x="26"/>
        <item x="61"/>
        <item x="41"/>
        <item x="72"/>
        <item x="18"/>
        <item x="46"/>
        <item x="64"/>
        <item x="37"/>
        <item x="69"/>
        <item x="4"/>
        <item x="31"/>
        <item x="15"/>
        <item x="74"/>
        <item x="77"/>
        <item x="24"/>
        <item x="79"/>
        <item t="default"/>
      </items>
    </pivotField>
    <pivotField name="Camp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teú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Classif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ioridade" compact="0" outline="0" multipleItemSelectionAllowed="1" showAll="0">
      <items>
        <item x="0"/>
        <item x="1"/>
        <item x="2"/>
        <item t="default"/>
      </items>
    </pivotField>
    <pivotField name="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ribuí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rev. 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. Contr./Inte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Prev. Concl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A.C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Encaminh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</pivotFields>
  <rowFields>
    <field x="3"/>
  </rowFields>
  <dataFields>
    <dataField name="COUNTA of 83" fld="0" subtotal="count" baseField="0"/>
  </dataFields>
</pivotTableDefinition>
</file>

<file path=xl/pivotTables/pivotTable4.xml><?xml version="1.0" encoding="utf-8"?>
<pivotTableDefinition xmlns="http://schemas.openxmlformats.org/spreadsheetml/2006/main" name="DASHBOARD 4" cacheId="0" dataCaption="" rowGrandTotals="0" compact="0" compactData="0">
  <location ref="AD1:AE10" firstHeaderRow="0" firstDataRow="1" firstDataCol="0"/>
  <pivotFields>
    <pivotField name="8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Receb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A.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Camp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teú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Classif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ioridade" compact="0" outline="0" multipleItemSelectionAllowed="1" showAll="0">
      <items>
        <item x="0"/>
        <item x="1"/>
        <item x="2"/>
        <item t="default"/>
      </items>
    </pivotField>
    <pivotField name="Responsável" axis="axisRow" compact="0" outline="0" multipleItemSelectionAllowed="1" showAll="0" sortType="ascending">
      <items>
        <item x="0"/>
        <item x="4"/>
        <item x="8"/>
        <item x="5"/>
        <item x="2"/>
        <item x="7"/>
        <item x="3"/>
        <item x="1"/>
        <item x="6"/>
        <item t="default"/>
      </items>
    </pivotField>
    <pivotField name="Atribuí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rev. 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. Contr./Inte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Prev. Concl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A.C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Encaminh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</pivotFields>
  <rowFields>
    <field x="9"/>
  </rowFields>
  <dataFields>
    <dataField name="COUNTA of 83" fld="0" subtotal="count" baseField="0"/>
  </dataFields>
</pivotTableDefinition>
</file>

<file path=xl/pivotTables/pivotTable5.xml><?xml version="1.0" encoding="utf-8"?>
<pivotTableDefinition xmlns="http://schemas.openxmlformats.org/spreadsheetml/2006/main" name="DASHBOARD 5" cacheId="0" dataCaption="" rowGrandTotals="0" compact="0" compactData="0">
  <location ref="AG1:AH11" firstHeaderRow="0" firstDataRow="1" firstDataCol="0"/>
  <pivotFields>
    <pivotField name="8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Receb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A.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Campus" axis="axisRow" compact="0" outline="0" multipleItemSelectionAllowed="1" showAll="0" sortType="ascending">
      <items>
        <item x="3"/>
        <item x="5"/>
        <item x="6"/>
        <item x="9"/>
        <item x="7"/>
        <item x="1"/>
        <item x="8"/>
        <item x="4"/>
        <item x="2"/>
        <item x="0"/>
        <item t="default"/>
      </items>
    </pivotField>
    <pivotField name="Region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teú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Classif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ioridade" compact="0" outline="0" multipleItemSelectionAllowed="1" showAll="0">
      <items>
        <item x="0"/>
        <item x="1"/>
        <item x="2"/>
        <item t="default"/>
      </items>
    </pivotField>
    <pivotField name="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ribuí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rev. 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. Contr./Inte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Prev. Concl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A.C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Encaminh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</pivotFields>
  <rowFields>
    <field x="4"/>
  </rowFields>
  <dataFields>
    <dataField name="COUNTA of 83" fld="0" subtotal="count" baseField="0"/>
  </dataFields>
</pivotTableDefinition>
</file>

<file path=xl/pivotTables/pivotTable6.xml><?xml version="1.0" encoding="utf-8"?>
<pivotTableDefinition xmlns="http://schemas.openxmlformats.org/spreadsheetml/2006/main" name="DASHBOARD 6" cacheId="0" dataCaption="" rowGrandTotals="0" compact="0" compactData="0">
  <location ref="AJ1:AK10" firstHeaderRow="0" firstDataRow="1" firstDataCol="0"/>
  <pivotFields>
    <pivotField name="8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Receb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A.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Camp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teú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Classificação" axis="axisRow" compact="0" outline="0" multipleItemSelectionAllowed="1" showAll="0" sortType="ascending">
      <items>
        <item x="6"/>
        <item x="0"/>
        <item x="4"/>
        <item x="7"/>
        <item x="5"/>
        <item x="8"/>
        <item x="3"/>
        <item x="1"/>
        <item x="2"/>
        <item t="default"/>
      </items>
    </pivotField>
    <pivotField name="Prioridade" compact="0" outline="0" multipleItemSelectionAllowed="1" showAll="0">
      <items>
        <item x="0"/>
        <item x="1"/>
        <item x="2"/>
        <item t="default"/>
      </items>
    </pivotField>
    <pivotField name="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ribuí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rev. 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. Contr./Inte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Prev. Concl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A.C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Encaminh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</pivotFields>
  <rowFields>
    <field x="7"/>
  </rowFields>
  <dataFields>
    <dataField name="COUNTA of 83" fld="0" subtotal="count" baseField="0"/>
  </dataFields>
</pivotTableDefinition>
</file>

<file path=xl/pivotTables/pivotTable7.xml><?xml version="1.0" encoding="utf-8"?>
<pivotTableDefinition xmlns="http://schemas.openxmlformats.org/spreadsheetml/2006/main" name="DASHBOARD 7" cacheId="0" dataCaption="" rowGrandTotals="0" compact="0" compactData="0">
  <location ref="AM1:AN4" firstHeaderRow="0" firstDataRow="1" firstDataCol="0"/>
  <pivotFields>
    <pivotField name="8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Receb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A.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Camp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teú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Classif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ioridade" axis="axisRow" compact="0" outline="0" multipleItemSelectionAllowed="1" showAll="0" sortType="ascending">
      <items>
        <item x="0"/>
        <item x="2"/>
        <item x="1"/>
        <item t="default"/>
      </items>
    </pivotField>
    <pivotField name="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ribuí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rev. 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. Contr./Inte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Prev. Concl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A.C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Encaminh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</pivotFields>
  <rowFields>
    <field x="8"/>
  </rowFields>
  <dataFields>
    <dataField name="COUNTA of 83" fld="0" subtotal="count" baseField="0"/>
  </dataFields>
</pivotTableDefinition>
</file>

<file path=xl/pivotTables/pivotTable8.xml><?xml version="1.0" encoding="utf-8"?>
<pivotTableDefinition xmlns="http://schemas.openxmlformats.org/spreadsheetml/2006/main" name="DASHBOARD 8" cacheId="0" dataCaption="" rowGrandTotals="0" compact="0" compactData="0">
  <location ref="AP1:AQ8" firstHeaderRow="0" firstDataRow="1" firstDataCol="0"/>
  <pivotFields>
    <pivotField name="8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Receb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A.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Camp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teú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Classificaç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ioridade" compact="0" outline="0" multipleItemSelectionAllowed="1" showAll="0">
      <items>
        <item x="0"/>
        <item x="1"/>
        <item x="2"/>
        <item t="default"/>
      </items>
    </pivotField>
    <pivotField name="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ribuí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rev. 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Status" axis="axisRow" compact="0" outline="0" multipleItemSelectionAllowed="1" showAll="0" sortType="ascending">
      <items>
        <item x="3"/>
        <item x="5"/>
        <item x="0"/>
        <item x="4"/>
        <item x="1"/>
        <item x="2"/>
        <item x="6"/>
        <item t="default"/>
      </items>
    </pivotField>
    <pivotField name="A. Contr./Inte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Prev. Concl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A.C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Encaminh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</pivotFields>
  <rowFields>
    <field x="13"/>
  </rowFields>
  <dataFields>
    <dataField name="COUNTA of 83" fld="0" subtotal="count" baseField="0"/>
  </dataFields>
</pivotTableDefinition>
</file>

<file path=xl/pivotTables/pivotTable9.xml><?xml version="1.0" encoding="utf-8"?>
<pivotTableDefinition xmlns="http://schemas.openxmlformats.org/spreadsheetml/2006/main" name="DASHBOARD 9" cacheId="0" dataCaption="" rowGrandTotals="0" compact="0" compactData="0">
  <location ref="AS1:AT10" firstHeaderRow="0" firstDataRow="1" firstDataCol="0"/>
  <pivotFields>
    <pivotField name="8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ame="Recebid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A.R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t="default"/>
      </items>
    </pivotField>
    <pivotField name="Un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Campu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egion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nteú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t="default"/>
      </items>
    </pivotField>
    <pivotField name="Classificação" axis="axisRow" compact="0" outline="0" multipleItemSelectionAllowed="1" showAll="0" sortType="ascending">
      <items>
        <item x="6"/>
        <item x="0"/>
        <item x="4"/>
        <item x="7"/>
        <item x="5"/>
        <item x="8"/>
        <item x="3"/>
        <item x="1"/>
        <item x="2"/>
        <item t="default"/>
      </items>
    </pivotField>
    <pivotField name="Prioridade" compact="0" outline="0" multipleItemSelectionAllowed="1" showAll="0">
      <items>
        <item x="0"/>
        <item x="1"/>
        <item x="2"/>
        <item t="default"/>
      </items>
    </pivotField>
    <pivotField name="Responsá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tribuí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Prev. 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Iníc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. Contr./Inter.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Prev. Concl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Conclusã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t="default"/>
      </items>
    </pivotField>
    <pivotField name="A.C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t="default"/>
      </items>
    </pivotField>
    <pivotField name="Encaminh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bservaçõ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t="default"/>
      </items>
    </pivotField>
  </pivotFields>
  <rowFields>
    <field x="7"/>
  </rowFields>
  <dataFields>
    <dataField name="SUM of A. Contr./Inter.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77" dT="2024-11-06T14:23:10.00" personId="{3500057b-884e-4c59-af64-c2fad19128a3}" id="{b3b96d4f-990b-4fd9-a3e7-f10d4d0b7b7a}" done="0">
    <x18tc:text xml:space="preserve">Verificar necessidade da demanda. Retornar processo para Carlos solicitando anexar relatório de vistoria.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ei.ufg.br/sei/controlador.php?acao=procedimento_trabalhar&amp;id_procedimento=6576337" TargetMode="External"/><Relationship Id="rId190" Type="http://schemas.openxmlformats.org/officeDocument/2006/relationships/hyperlink" Target="https://sei.ufg.br/sei/controlador.php?acao=procedimento_trabalhar&amp;id_procedimento=4817886" TargetMode="External"/><Relationship Id="rId42" Type="http://schemas.openxmlformats.org/officeDocument/2006/relationships/hyperlink" Target="https://sei.ufg.br/sei/controlador.php?acao=procedimento_trabalhar&amp;id_procedimento=6454758" TargetMode="External"/><Relationship Id="rId41" Type="http://schemas.openxmlformats.org/officeDocument/2006/relationships/hyperlink" Target="https://sei.ufg.br/sei/controlador.php?acao=procedimento_trabalhar&amp;id_procedimento=5292043" TargetMode="External"/><Relationship Id="rId44" Type="http://schemas.openxmlformats.org/officeDocument/2006/relationships/hyperlink" Target="https://sei.ufg.br/sei/controlador.php?acao=procedimento_trabalhar&amp;id_procedimento=6236566" TargetMode="External"/><Relationship Id="rId194" Type="http://schemas.openxmlformats.org/officeDocument/2006/relationships/hyperlink" Target="https://sei.ufg.br/sei/controlador.php?acao=procedimento_trabalhar&amp;id_procedimento=4691157" TargetMode="External"/><Relationship Id="rId43" Type="http://schemas.openxmlformats.org/officeDocument/2006/relationships/hyperlink" Target="https://sei.ufg.br/sei/controlador.php?acao=procedimento_trabalhar&amp;id_procedimento=6451233" TargetMode="External"/><Relationship Id="rId193" Type="http://schemas.openxmlformats.org/officeDocument/2006/relationships/hyperlink" Target="https://sei.ufg.br/sei/controlador.php?acao=procedimento_trabalhar&amp;id_procedimento=4683971" TargetMode="External"/><Relationship Id="rId46" Type="http://schemas.openxmlformats.org/officeDocument/2006/relationships/hyperlink" Target="https://sei.ufg.br/sei/controlador.php?acao=procedimento_trabalhar&amp;id_procedimento=6572935" TargetMode="External"/><Relationship Id="rId192" Type="http://schemas.openxmlformats.org/officeDocument/2006/relationships/hyperlink" Target="https://sei.ufg.br/sei/controlador.php?acao=procedimento_trabalhar&amp;id_procedimento=4717689" TargetMode="External"/><Relationship Id="rId45" Type="http://schemas.openxmlformats.org/officeDocument/2006/relationships/hyperlink" Target="https://sei.ufg.br/sei/controlador.php?acao=procedimento_trabalhar&amp;id_procedimento=6266456" TargetMode="External"/><Relationship Id="rId191" Type="http://schemas.openxmlformats.org/officeDocument/2006/relationships/hyperlink" Target="https://sei.ufg.br/sei/controlador.php?acao=procedimento_trabalhar&amp;id_procedimento=4791078" TargetMode="External"/><Relationship Id="rId48" Type="http://schemas.openxmlformats.org/officeDocument/2006/relationships/hyperlink" Target="https://sei.ufg.br/sei/controlador.php?acao=procedimento_trabalhar&amp;id_procedimento=6529177" TargetMode="External"/><Relationship Id="rId187" Type="http://schemas.openxmlformats.org/officeDocument/2006/relationships/hyperlink" Target="https://sei.ufg.br/sei/controlador.php?acao=procedimento_trabalhar&amp;id_procedimento=4875180" TargetMode="External"/><Relationship Id="rId47" Type="http://schemas.openxmlformats.org/officeDocument/2006/relationships/hyperlink" Target="https://sei.ufg.br/sei/controlador.php?acao=procedimento_trabalhar&amp;id_procedimento=6529340" TargetMode="External"/><Relationship Id="rId186" Type="http://schemas.openxmlformats.org/officeDocument/2006/relationships/hyperlink" Target="https://sei.ufg.br/sei/controlador.php?acao=procedimento_trabalhar&amp;id_procedimento=3948877" TargetMode="External"/><Relationship Id="rId185" Type="http://schemas.openxmlformats.org/officeDocument/2006/relationships/hyperlink" Target="https://sei.ufg.br/sei/controlador.php?acao=procedimento_trabalhar&amp;id_procedimento=4630539" TargetMode="External"/><Relationship Id="rId49" Type="http://schemas.openxmlformats.org/officeDocument/2006/relationships/hyperlink" Target="https://sei.ufg.br/sei/controlador.php?acao=procedimento_trabalhar&amp;id_procedimento=6538215" TargetMode="External"/><Relationship Id="rId184" Type="http://schemas.openxmlformats.org/officeDocument/2006/relationships/hyperlink" Target="https://sei.ufg.br/sei/controlador.php?acao=procedimento_trabalhar&amp;id_procedimento=4727394" TargetMode="External"/><Relationship Id="rId189" Type="http://schemas.openxmlformats.org/officeDocument/2006/relationships/hyperlink" Target="https://sei.ufg.br/sei/controlador.php?acao=procedimento_trabalhar&amp;id_procedimento=4769205" TargetMode="External"/><Relationship Id="rId188" Type="http://schemas.openxmlformats.org/officeDocument/2006/relationships/hyperlink" Target="https://sei.ufg.br/sei/controlador.php?acao=procedimento_trabalhar&amp;id_procedimento=4756760" TargetMode="External"/><Relationship Id="rId31" Type="http://schemas.openxmlformats.org/officeDocument/2006/relationships/hyperlink" Target="https://sei.ufg.br/sei/controlador.php?acao=procedimento_trabalhar&amp;id_procedimento=6603849" TargetMode="External"/><Relationship Id="rId30" Type="http://schemas.openxmlformats.org/officeDocument/2006/relationships/hyperlink" Target="https://sei.ufg.br/sei/controlador.php?acao=procedimento_trabalhar&amp;id_procedimento=6580371" TargetMode="External"/><Relationship Id="rId33" Type="http://schemas.openxmlformats.org/officeDocument/2006/relationships/hyperlink" Target="https://sei.ufg.br/sei/controlador.php?acao=procedimento_trabalhar&amp;id_procedimento=5906634" TargetMode="External"/><Relationship Id="rId183" Type="http://schemas.openxmlformats.org/officeDocument/2006/relationships/hyperlink" Target="https://sei.ufg.br/sei/controlador.php?acao=procedimento_trabalhar&amp;id_procedimento=3206730" TargetMode="External"/><Relationship Id="rId32" Type="http://schemas.openxmlformats.org/officeDocument/2006/relationships/hyperlink" Target="https://sei.ufg.br/sei/controlador.php?acao=procedimento_trabalhar&amp;id_procedimento=6358369" TargetMode="External"/><Relationship Id="rId182" Type="http://schemas.openxmlformats.org/officeDocument/2006/relationships/hyperlink" Target="https://sei.ufg.br/sei/controlador.php?acao=procedimento_trabalhar&amp;id_procedimento=4897756" TargetMode="External"/><Relationship Id="rId35" Type="http://schemas.openxmlformats.org/officeDocument/2006/relationships/hyperlink" Target="https://sei.ufg.br/sei/controlador.php?acao=procedimento_trabalhar&amp;id_procedimento=6563269" TargetMode="External"/><Relationship Id="rId181" Type="http://schemas.openxmlformats.org/officeDocument/2006/relationships/hyperlink" Target="https://sei.ufg.br/sei/controlador.php?acao=procedimento_trabalhar&amp;id_procedimento=4950836" TargetMode="External"/><Relationship Id="rId34" Type="http://schemas.openxmlformats.org/officeDocument/2006/relationships/hyperlink" Target="https://sei.ufg.br/sei/controlador.php?acao=procedimento_trabalhar&amp;id_procedimento=5356182" TargetMode="External"/><Relationship Id="rId180" Type="http://schemas.openxmlformats.org/officeDocument/2006/relationships/hyperlink" Target="https://sei.ufg.br/sei/controlador.php?acao=procedimento_trabalhar&amp;id_procedimento=5006734" TargetMode="External"/><Relationship Id="rId37" Type="http://schemas.openxmlformats.org/officeDocument/2006/relationships/hyperlink" Target="https://sei.ufg.br/sei/controlador.php?acao=procedimento_trabalhar&amp;id_procedimento=6593319" TargetMode="External"/><Relationship Id="rId176" Type="http://schemas.openxmlformats.org/officeDocument/2006/relationships/hyperlink" Target="https://sei.ufg.br/sei/controlador.php?acao=procedimento_trabalhar&amp;id_procedimento=5056740" TargetMode="External"/><Relationship Id="rId297" Type="http://schemas.openxmlformats.org/officeDocument/2006/relationships/hyperlink" Target="https://sei.ufg.br/sei/controlador.php?acao=procedimento_trabalhar&amp;id_procedimento=3539505" TargetMode="External"/><Relationship Id="rId36" Type="http://schemas.openxmlformats.org/officeDocument/2006/relationships/hyperlink" Target="https://sei.ufg.br/sei/controlador.php?acao=procedimento_trabalhar&amp;id_procedimento=6601419" TargetMode="External"/><Relationship Id="rId175" Type="http://schemas.openxmlformats.org/officeDocument/2006/relationships/hyperlink" Target="https://sei.ufg.br/sei/controlador.php?acao=procedimento_trabalhar&amp;id_procedimento=5070298" TargetMode="External"/><Relationship Id="rId296" Type="http://schemas.openxmlformats.org/officeDocument/2006/relationships/hyperlink" Target="https://sei.ufg.br/sei/controlador.php?acao=procedimento_trabalhar&amp;id_procedimento=3492377" TargetMode="External"/><Relationship Id="rId39" Type="http://schemas.openxmlformats.org/officeDocument/2006/relationships/hyperlink" Target="https://sei.ufg.br/sei/controlador.php?acao=procedimento_trabalhar&amp;id_procedimento=5718704" TargetMode="External"/><Relationship Id="rId174" Type="http://schemas.openxmlformats.org/officeDocument/2006/relationships/hyperlink" Target="https://sei.ufg.br/sei/controlador.php?acao=procedimento_trabalhar&amp;id_procedimento=5070298" TargetMode="External"/><Relationship Id="rId295" Type="http://schemas.openxmlformats.org/officeDocument/2006/relationships/hyperlink" Target="https://sei.ufg.br/sei/controlador.php?acao=procedimento_trabalhar&amp;id_procedimento=3182904" TargetMode="External"/><Relationship Id="rId38" Type="http://schemas.openxmlformats.org/officeDocument/2006/relationships/hyperlink" Target="https://sei.ufg.br/sei/controlador.php?acao=procedimento_trabalhar&amp;id_procedimento=6590866" TargetMode="External"/><Relationship Id="rId173" Type="http://schemas.openxmlformats.org/officeDocument/2006/relationships/hyperlink" Target="https://sei.ufg.br/sei/controlador.php?acao=procedimento_trabalhar&amp;id_procedimento=4012599" TargetMode="External"/><Relationship Id="rId294" Type="http://schemas.openxmlformats.org/officeDocument/2006/relationships/hyperlink" Target="https://sei.ufg.br/sei/controlador.php?acao=procedimento_trabalhar&amp;id_procedimento=3195987" TargetMode="External"/><Relationship Id="rId179" Type="http://schemas.openxmlformats.org/officeDocument/2006/relationships/hyperlink" Target="https://sei.ufg.br/sei/controlador.php?acao=procedimento_trabalhar&amp;id_procedimento=5014942" TargetMode="External"/><Relationship Id="rId178" Type="http://schemas.openxmlformats.org/officeDocument/2006/relationships/hyperlink" Target="https://sei.ufg.br/sei/controlador.php?acao=procedimento_trabalhar&amp;id_procedimento=5033896" TargetMode="External"/><Relationship Id="rId299" Type="http://schemas.openxmlformats.org/officeDocument/2006/relationships/hyperlink" Target="https://sei.ufg.br/sei/controlador.php?acao=procedimento_trabalhar&amp;id_procedimento=3516816" TargetMode="External"/><Relationship Id="rId177" Type="http://schemas.openxmlformats.org/officeDocument/2006/relationships/hyperlink" Target="https://sei.ufg.br/sei/controlador.php?acao=procedimento_trabalhar&amp;id_procedimento=5027405" TargetMode="External"/><Relationship Id="rId298" Type="http://schemas.openxmlformats.org/officeDocument/2006/relationships/hyperlink" Target="https://sei.ufg.br/sei/controlador.php?acao=procedimento_trabalhar&amp;id_procedimento=4462091" TargetMode="External"/><Relationship Id="rId20" Type="http://schemas.openxmlformats.org/officeDocument/2006/relationships/hyperlink" Target="https://sei.ufg.br/sei/controlador.php?acao=procedimento_trabalhar&amp;id_procedimento=6660527" TargetMode="External"/><Relationship Id="rId22" Type="http://schemas.openxmlformats.org/officeDocument/2006/relationships/hyperlink" Target="https://sei.ufg.br/sei/controlador.php?acao=procedimento_trabalhar&amp;id_procedimento=6656415" TargetMode="External"/><Relationship Id="rId21" Type="http://schemas.openxmlformats.org/officeDocument/2006/relationships/hyperlink" Target="https://sei.ufg.br/sei/controlador.php?acao=procedimento_trabalhar&amp;id_procedimento=6658657" TargetMode="External"/><Relationship Id="rId24" Type="http://schemas.openxmlformats.org/officeDocument/2006/relationships/hyperlink" Target="https://sei.ufg.br/sei/controlador.php?acao=procedimento_trabalhar&amp;id_procedimento=6633519" TargetMode="External"/><Relationship Id="rId23" Type="http://schemas.openxmlformats.org/officeDocument/2006/relationships/hyperlink" Target="https://sei.ufg.br/sei/controlador.php?acao=procedimento_trabalhar&amp;id_procedimento=6656594" TargetMode="External"/><Relationship Id="rId26" Type="http://schemas.openxmlformats.org/officeDocument/2006/relationships/hyperlink" Target="https://sei.ufg.br/sei/controlador.php?acao=procedimento_trabalhar&amp;id_procedimento=6620823" TargetMode="External"/><Relationship Id="rId25" Type="http://schemas.openxmlformats.org/officeDocument/2006/relationships/hyperlink" Target="https://sei.ufg.br/sei/controlador.php?acao=procedimento_trabalhar&amp;id_procedimento=4703689" TargetMode="External"/><Relationship Id="rId28" Type="http://schemas.openxmlformats.org/officeDocument/2006/relationships/hyperlink" Target="https://sei.ufg.br/sei/controlador.php?acao=procedimento_trabalhar&amp;id_procedimento=6612466" TargetMode="External"/><Relationship Id="rId27" Type="http://schemas.openxmlformats.org/officeDocument/2006/relationships/hyperlink" Target="https://sei.ufg.br/sei/controlador.php?acao=procedimento_trabalhar&amp;id_procedimento=6617411" TargetMode="External"/><Relationship Id="rId29" Type="http://schemas.openxmlformats.org/officeDocument/2006/relationships/hyperlink" Target="https://sei.ufg.br/sei/controlador.php?acao=procedimento_trabalhar&amp;id_procedimento=6609224" TargetMode="External"/><Relationship Id="rId11" Type="http://schemas.openxmlformats.org/officeDocument/2006/relationships/hyperlink" Target="https://sei.ufg.br/sei/controlador.php?acao=procedimento_trabalhar&amp;id_procedimento=6677453" TargetMode="External"/><Relationship Id="rId10" Type="http://schemas.openxmlformats.org/officeDocument/2006/relationships/hyperlink" Target="https://sei.ufg.br/sei/controlador.php?acao=procedimento_trabalhar&amp;id_procedimento=5584851" TargetMode="External"/><Relationship Id="rId13" Type="http://schemas.openxmlformats.org/officeDocument/2006/relationships/hyperlink" Target="https://sei.ufg.br/sei/controlador.php?acao=procedimento_trabalhar&amp;id_procedimento=6722434" TargetMode="External"/><Relationship Id="rId12" Type="http://schemas.openxmlformats.org/officeDocument/2006/relationships/hyperlink" Target="https://sei.ufg.br/sei/controlador.php?acao=procedimento_trabalhar&amp;id_procedimento=6430245" TargetMode="External"/><Relationship Id="rId15" Type="http://schemas.openxmlformats.org/officeDocument/2006/relationships/hyperlink" Target="https://sei.ufg.br/sei/controlador.php?acao=procedimento_trabalhar&amp;id_procedimento=6689044" TargetMode="External"/><Relationship Id="rId198" Type="http://schemas.openxmlformats.org/officeDocument/2006/relationships/hyperlink" Target="https://sei.ufg.br/sei/controlador.php?acao=procedimento_trabalhar&amp;id_procedimento=4722735" TargetMode="External"/><Relationship Id="rId14" Type="http://schemas.openxmlformats.org/officeDocument/2006/relationships/hyperlink" Target="https://sei.ufg.br/sei/controlador.php?acao=procedimento_trabalhar&amp;id_procedimento=6714397" TargetMode="External"/><Relationship Id="rId197" Type="http://schemas.openxmlformats.org/officeDocument/2006/relationships/hyperlink" Target="https://sei.ufg.br/sei/controlador.php?acao=procedimento_trabalhar&amp;id_procedimento=4737493" TargetMode="External"/><Relationship Id="rId17" Type="http://schemas.openxmlformats.org/officeDocument/2006/relationships/hyperlink" Target="https://sei.ufg.br/sei/controlador.php?acao=procedimento_trabalhar&amp;id_procedimento=6693576" TargetMode="External"/><Relationship Id="rId196" Type="http://schemas.openxmlformats.org/officeDocument/2006/relationships/hyperlink" Target="https://sei.ufg.br/sei/controlador.php?acao=procedimento_trabalhar&amp;id_procedimento=4014899" TargetMode="External"/><Relationship Id="rId16" Type="http://schemas.openxmlformats.org/officeDocument/2006/relationships/hyperlink" Target="https://sei.ufg.br/sei/controlador.php?acao=procedimento_trabalhar&amp;id_procedimento=6693705" TargetMode="External"/><Relationship Id="rId195" Type="http://schemas.openxmlformats.org/officeDocument/2006/relationships/hyperlink" Target="https://sei.ufg.br/sei/controlador.php?acao=procedimento_trabalhar&amp;id_procedimento=4691176" TargetMode="External"/><Relationship Id="rId19" Type="http://schemas.openxmlformats.org/officeDocument/2006/relationships/hyperlink" Target="https://sei.ufg.br/sei/controlador.php?acao=procedimento_trabalhar&amp;id_procedimento=6649999" TargetMode="External"/><Relationship Id="rId18" Type="http://schemas.openxmlformats.org/officeDocument/2006/relationships/hyperlink" Target="https://sei.ufg.br/sei/controlador.php?acao=procedimento_trabalhar&amp;id_procedimento=6658334" TargetMode="External"/><Relationship Id="rId199" Type="http://schemas.openxmlformats.org/officeDocument/2006/relationships/hyperlink" Target="https://sei.ufg.br/sei/controlador.php?acao=procedimento_trabalhar&amp;id_procedimento=4718878" TargetMode="External"/><Relationship Id="rId84" Type="http://schemas.openxmlformats.org/officeDocument/2006/relationships/hyperlink" Target="https://sei.ufg.br/sei/controlador.php?acao=procedimento_trabalhar&amp;id_procedimento=6124709" TargetMode="External"/><Relationship Id="rId83" Type="http://schemas.openxmlformats.org/officeDocument/2006/relationships/hyperlink" Target="https://sei.ufg.br/sei/controlador.php?acao=procedimento_trabalhar&amp;id_procedimento=6116938" TargetMode="External"/><Relationship Id="rId86" Type="http://schemas.openxmlformats.org/officeDocument/2006/relationships/hyperlink" Target="https://sei.ufg.br/sei/controlador.php?acao=procedimento_trabalhar&amp;id_procedimento=3206730" TargetMode="External"/><Relationship Id="rId85" Type="http://schemas.openxmlformats.org/officeDocument/2006/relationships/hyperlink" Target="https://sei.ufg.br/sei/controlador.php?acao=procedimento_trabalhar&amp;id_procedimento=5277007" TargetMode="External"/><Relationship Id="rId88" Type="http://schemas.openxmlformats.org/officeDocument/2006/relationships/hyperlink" Target="https://sei.ufg.br/sei/controlador.php?acao=procedimento_trabalhar&amp;id_procedimento=5985243" TargetMode="External"/><Relationship Id="rId150" Type="http://schemas.openxmlformats.org/officeDocument/2006/relationships/hyperlink" Target="https://sei.ufg.br/sei/controlador.php?acao=procedimento_trabalhar&amp;id_procedimento=5273144" TargetMode="External"/><Relationship Id="rId271" Type="http://schemas.openxmlformats.org/officeDocument/2006/relationships/hyperlink" Target="https://sei.ufg.br/sei/controlador.php?acao=procedimento_trabalhar&amp;id_procedimento=3895886" TargetMode="External"/><Relationship Id="rId87" Type="http://schemas.openxmlformats.org/officeDocument/2006/relationships/hyperlink" Target="https://sei.ufg.br/sei/controlador.php?acao=procedimento_trabalhar&amp;id_procedimento=5389392" TargetMode="External"/><Relationship Id="rId270" Type="http://schemas.openxmlformats.org/officeDocument/2006/relationships/hyperlink" Target="https://sei.ufg.br/sei/controlador.php?acao=procedimento_trabalhar&amp;id_procedimento=3879702" TargetMode="External"/><Relationship Id="rId89" Type="http://schemas.openxmlformats.org/officeDocument/2006/relationships/hyperlink" Target="https://sei.ufg.br/sei/controlador.php?acao=procedimento_trabalhar&amp;id_procedimento=5711333" TargetMode="External"/><Relationship Id="rId80" Type="http://schemas.openxmlformats.org/officeDocument/2006/relationships/hyperlink" Target="https://sei.ufg.br/sei/controlador.php?acao=procedimento_trabalhar&amp;id_procedimento=6143255" TargetMode="External"/><Relationship Id="rId82" Type="http://schemas.openxmlformats.org/officeDocument/2006/relationships/hyperlink" Target="https://sei.ufg.br/sei/controlador.php?acao=procedimento_trabalhar&amp;id_procedimento=6135359" TargetMode="External"/><Relationship Id="rId81" Type="http://schemas.openxmlformats.org/officeDocument/2006/relationships/hyperlink" Target="https://sei.ufg.br/sei/controlador.php?acao=procedimento_trabalhar&amp;id_procedimento=6158799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149" Type="http://schemas.openxmlformats.org/officeDocument/2006/relationships/hyperlink" Target="https://sei.ufg.br/sei/controlador.php?acao=procedimento_trabalhar&amp;id_procedimento=4660417" TargetMode="External"/><Relationship Id="rId4" Type="http://schemas.openxmlformats.org/officeDocument/2006/relationships/hyperlink" Target="https://sei.ufg.br/sei/controlador.php?acao=procedimento_trabalhar&amp;id_procedimento=6797986" TargetMode="External"/><Relationship Id="rId148" Type="http://schemas.openxmlformats.org/officeDocument/2006/relationships/hyperlink" Target="https://sei.ufg.br/sei/controlador.php?acao=procedimento_trabalhar&amp;id_procedimento=4897785" TargetMode="External"/><Relationship Id="rId269" Type="http://schemas.openxmlformats.org/officeDocument/2006/relationships/hyperlink" Target="https://sei.ufg.br/sei/controlador.php?acao=procedimento_trabalhar&amp;id_procedimento=3933843" TargetMode="External"/><Relationship Id="rId9" Type="http://schemas.openxmlformats.org/officeDocument/2006/relationships/hyperlink" Target="https://sei.ufg.br/sei/controlador.php?acao=procedimento_trabalhar&amp;id_procedimento=6738059" TargetMode="External"/><Relationship Id="rId143" Type="http://schemas.openxmlformats.org/officeDocument/2006/relationships/hyperlink" Target="https://sei.ufg.br/sei/controlador.php?acao=procedimento_trabalhar&amp;id_procedimento=5218362" TargetMode="External"/><Relationship Id="rId264" Type="http://schemas.openxmlformats.org/officeDocument/2006/relationships/hyperlink" Target="https://sei.ufg.br/sei/controlador.php?acao=procedimento_trabalhar&amp;id_procedimento=4022477" TargetMode="External"/><Relationship Id="rId142" Type="http://schemas.openxmlformats.org/officeDocument/2006/relationships/hyperlink" Target="https://sei.ufg.br/sei/controlador.php?acao=procedimento_trabalhar&amp;id_procedimento=5221897" TargetMode="External"/><Relationship Id="rId263" Type="http://schemas.openxmlformats.org/officeDocument/2006/relationships/hyperlink" Target="https://sei.ufg.br/sei/controlador.php?acao=procedimento_trabalhar&amp;id_procedimento=3894610" TargetMode="External"/><Relationship Id="rId141" Type="http://schemas.openxmlformats.org/officeDocument/2006/relationships/hyperlink" Target="https://sei.ufg.br/sei/controlador.php?acao=procedimento_trabalhar&amp;id_procedimento=4736361" TargetMode="External"/><Relationship Id="rId262" Type="http://schemas.openxmlformats.org/officeDocument/2006/relationships/hyperlink" Target="https://sei.ufg.br/sei/controlador.php?acao=procedimento_trabalhar&amp;id_procedimento=4010329" TargetMode="External"/><Relationship Id="rId140" Type="http://schemas.openxmlformats.org/officeDocument/2006/relationships/hyperlink" Target="https://sei.ufg.br/sei/controlador.php?acao=procedimento_trabalhar&amp;id_procedimento=5289299" TargetMode="External"/><Relationship Id="rId261" Type="http://schemas.openxmlformats.org/officeDocument/2006/relationships/hyperlink" Target="https://sei.ufg.br/sei/controlador.php?acao=procedimento_trabalhar&amp;id_procedimento=4032245" TargetMode="External"/><Relationship Id="rId5" Type="http://schemas.openxmlformats.org/officeDocument/2006/relationships/hyperlink" Target="https://sei.ufg.br/sei/controlador.php?acao=procedimento_trabalhar&amp;id_procedimento=6798371" TargetMode="External"/><Relationship Id="rId147" Type="http://schemas.openxmlformats.org/officeDocument/2006/relationships/hyperlink" Target="https://sei.ufg.br/sei/controlador.php?acao=procedimento_trabalhar&amp;id_procedimento=5137757" TargetMode="External"/><Relationship Id="rId268" Type="http://schemas.openxmlformats.org/officeDocument/2006/relationships/hyperlink" Target="https://sei.ufg.br/sei/controlador.php?acao=procedimento_trabalhar&amp;id_procedimento=3829000" TargetMode="External"/><Relationship Id="rId6" Type="http://schemas.openxmlformats.org/officeDocument/2006/relationships/hyperlink" Target="https://sei.ufg.br/sei/controlador.php?acao=procedimento_trabalhar&amp;id_procedimento=6772514" TargetMode="External"/><Relationship Id="rId146" Type="http://schemas.openxmlformats.org/officeDocument/2006/relationships/hyperlink" Target="https://sei.ufg.br/sei/controlador.php?acao=procedimento_trabalhar&amp;id_procedimento=5212561" TargetMode="External"/><Relationship Id="rId267" Type="http://schemas.openxmlformats.org/officeDocument/2006/relationships/hyperlink" Target="https://sei.ufg.br/sei/controlador.php?acao=procedimento_trabalhar&amp;id_procedimento=3975264" TargetMode="External"/><Relationship Id="rId7" Type="http://schemas.openxmlformats.org/officeDocument/2006/relationships/hyperlink" Target="https://sei.ufg.br/sei/controlador.php?acao=procedimento_trabalhar&amp;id_procedimento=6728273" TargetMode="External"/><Relationship Id="rId145" Type="http://schemas.openxmlformats.org/officeDocument/2006/relationships/hyperlink" Target="https://sei.ufg.br/sei/controlador.php?acao=procedimento_trabalhar&amp;id_procedimento=5226627" TargetMode="External"/><Relationship Id="rId266" Type="http://schemas.openxmlformats.org/officeDocument/2006/relationships/hyperlink" Target="https://sei.ufg.br/sei/controlador.php?acao=procedimento_trabalhar&amp;id_procedimento=3978666" TargetMode="External"/><Relationship Id="rId8" Type="http://schemas.openxmlformats.org/officeDocument/2006/relationships/hyperlink" Target="https://sei.ufg.br/sei/controlador.php?acao=procedimento_trabalhar&amp;id_procedimento=6759957" TargetMode="External"/><Relationship Id="rId144" Type="http://schemas.openxmlformats.org/officeDocument/2006/relationships/hyperlink" Target="https://sei.ufg.br/sei/controlador.php?acao=procedimento_trabalhar&amp;id_procedimento=5234059" TargetMode="External"/><Relationship Id="rId265" Type="http://schemas.openxmlformats.org/officeDocument/2006/relationships/hyperlink" Target="https://sei.ufg.br/sei/controlador.php?acao=procedimento_trabalhar&amp;id_procedimento=3992739" TargetMode="External"/><Relationship Id="rId73" Type="http://schemas.openxmlformats.org/officeDocument/2006/relationships/hyperlink" Target="https://sei.ufg.br/sei/controlador.php?acao=procedimento_trabalhar&amp;id_procedimento=6226618" TargetMode="External"/><Relationship Id="rId72" Type="http://schemas.openxmlformats.org/officeDocument/2006/relationships/hyperlink" Target="https://sei.ufg.br/sei/controlador.php?acao=procedimento_trabalhar&amp;id_procedimento=5367247" TargetMode="External"/><Relationship Id="rId75" Type="http://schemas.openxmlformats.org/officeDocument/2006/relationships/hyperlink" Target="https://sei.ufg.br/sei/controlador.php?acao=procedimento_trabalhar&amp;id_procedimento=6179230" TargetMode="External"/><Relationship Id="rId74" Type="http://schemas.openxmlformats.org/officeDocument/2006/relationships/hyperlink" Target="https://sei.ufg.br/sei/controlador.php?acao=procedimento_trabalhar&amp;id_procedimento=6174719" TargetMode="External"/><Relationship Id="rId77" Type="http://schemas.openxmlformats.org/officeDocument/2006/relationships/hyperlink" Target="https://sei.ufg.br/sei/controlador.php?acao=procedimento_trabalhar&amp;id_procedimento=6095915" TargetMode="External"/><Relationship Id="rId260" Type="http://schemas.openxmlformats.org/officeDocument/2006/relationships/hyperlink" Target="https://sei.ufg.br/sei/controlador.php?acao=procedimento_trabalhar&amp;id_procedimento=4071995" TargetMode="External"/><Relationship Id="rId76" Type="http://schemas.openxmlformats.org/officeDocument/2006/relationships/hyperlink" Target="https://sei.ufg.br/sei/controlador.php?acao=procedimento_trabalhar&amp;id_procedimento=6206612" TargetMode="External"/><Relationship Id="rId79" Type="http://schemas.openxmlformats.org/officeDocument/2006/relationships/hyperlink" Target="https://sei.ufg.br/sei/controlador.php?acao=procedimento_trabalhar&amp;id_procedimento=6143441" TargetMode="External"/><Relationship Id="rId78" Type="http://schemas.openxmlformats.org/officeDocument/2006/relationships/hyperlink" Target="https://sei.ufg.br/sei/controlador.php?acao=procedimento_trabalhar&amp;id_procedimento=6152687" TargetMode="External"/><Relationship Id="rId71" Type="http://schemas.openxmlformats.org/officeDocument/2006/relationships/hyperlink" Target="https://sei.ufg.br/sei/controlador.php?acao=procedimento_trabalhar&amp;id_procedimento=6229474" TargetMode="External"/><Relationship Id="rId70" Type="http://schemas.openxmlformats.org/officeDocument/2006/relationships/hyperlink" Target="https://sei.ufg.br/sei/controlador.php?acao=procedimento_trabalhar&amp;id_procedimento=6194363" TargetMode="External"/><Relationship Id="rId139" Type="http://schemas.openxmlformats.org/officeDocument/2006/relationships/hyperlink" Target="https://sei.ufg.br/sei/controlador.php?acao=procedimento_trabalhar&amp;id_procedimento=5192133" TargetMode="External"/><Relationship Id="rId138" Type="http://schemas.openxmlformats.org/officeDocument/2006/relationships/hyperlink" Target="https://sei.ufg.br/sei/controlador.php?acao=procedimento_trabalhar&amp;id_procedimento=5340245" TargetMode="External"/><Relationship Id="rId259" Type="http://schemas.openxmlformats.org/officeDocument/2006/relationships/hyperlink" Target="https://sei.ufg.br/sei/controlador.php?acao=procedimento_trabalhar&amp;id_procedimento=4087983" TargetMode="External"/><Relationship Id="rId137" Type="http://schemas.openxmlformats.org/officeDocument/2006/relationships/hyperlink" Target="https://sei.ufg.br/sei/controlador.php?acao=procedimento_trabalhar&amp;id_procedimento=5347229" TargetMode="External"/><Relationship Id="rId258" Type="http://schemas.openxmlformats.org/officeDocument/2006/relationships/hyperlink" Target="https://sei.ufg.br/sei/controlador.php?acao=procedimento_trabalhar&amp;id_procedimento=3894610" TargetMode="External"/><Relationship Id="rId132" Type="http://schemas.openxmlformats.org/officeDocument/2006/relationships/hyperlink" Target="https://sei.ufg.br/sei/controlador.php?acao=procedimento_trabalhar&amp;id_procedimento=5309783" TargetMode="External"/><Relationship Id="rId253" Type="http://schemas.openxmlformats.org/officeDocument/2006/relationships/hyperlink" Target="https://sei.ufg.br/sei/controlador.php?acao=procedimento_trabalhar&amp;id_procedimento=4076188" TargetMode="External"/><Relationship Id="rId131" Type="http://schemas.openxmlformats.org/officeDocument/2006/relationships/hyperlink" Target="https://sei.ufg.br/sei/controlador.php?acao=procedimento_trabalhar&amp;id_procedimento=5203930" TargetMode="External"/><Relationship Id="rId252" Type="http://schemas.openxmlformats.org/officeDocument/2006/relationships/hyperlink" Target="https://sei.ufg.br/sei/controlador.php?acao=procedimento_trabalhar&amp;id_procedimento=3976875" TargetMode="External"/><Relationship Id="rId373" Type="http://schemas.openxmlformats.org/officeDocument/2006/relationships/vmlDrawing" Target="../drawings/vmlDrawing1.vml"/><Relationship Id="rId130" Type="http://schemas.openxmlformats.org/officeDocument/2006/relationships/hyperlink" Target="https://sei.ufg.br/sei/controlador.php?acao=procedimento_trabalhar&amp;id_procedimento=5402450" TargetMode="External"/><Relationship Id="rId251" Type="http://schemas.openxmlformats.org/officeDocument/2006/relationships/hyperlink" Target="https://sei.ufg.br/sei/controlador.php?acao=procedimento_trabalhar&amp;id_procedimento=4109192" TargetMode="External"/><Relationship Id="rId372" Type="http://schemas.openxmlformats.org/officeDocument/2006/relationships/drawing" Target="../drawings/drawing1.xml"/><Relationship Id="rId250" Type="http://schemas.openxmlformats.org/officeDocument/2006/relationships/hyperlink" Target="https://sei.ufg.br/sei/controlador.php?acao=procedimento_trabalhar&amp;id_procedimento=3976488" TargetMode="External"/><Relationship Id="rId371" Type="http://schemas.openxmlformats.org/officeDocument/2006/relationships/hyperlink" Target="https://sei.ufg.br/sei/controlador.php?acao=procedimento_trabalhar&amp;id_procedimento=672706" TargetMode="External"/><Relationship Id="rId136" Type="http://schemas.openxmlformats.org/officeDocument/2006/relationships/hyperlink" Target="https://sei.ufg.br/sei/controlador.php?acao=procedimento_trabalhar&amp;id_procedimento=5366509" TargetMode="External"/><Relationship Id="rId257" Type="http://schemas.openxmlformats.org/officeDocument/2006/relationships/hyperlink" Target="https://sei.ufg.br/sei/controlador.php?acao=procedimento_trabalhar&amp;id_procedimento=3172207" TargetMode="External"/><Relationship Id="rId135" Type="http://schemas.openxmlformats.org/officeDocument/2006/relationships/hyperlink" Target="https://sei.ufg.br/sei/controlador.php?acao=procedimento_trabalhar&amp;id_procedimento=1291676" TargetMode="External"/><Relationship Id="rId256" Type="http://schemas.openxmlformats.org/officeDocument/2006/relationships/hyperlink" Target="https://sei.ufg.br/sei/controlador.php?acao=procedimento_trabalhar&amp;id_procedimento=4106485" TargetMode="External"/><Relationship Id="rId134" Type="http://schemas.openxmlformats.org/officeDocument/2006/relationships/hyperlink" Target="https://sei.ufg.br/sei/controlador.php?acao=procedimento_trabalhar&amp;id_procedimento=5384140" TargetMode="External"/><Relationship Id="rId255" Type="http://schemas.openxmlformats.org/officeDocument/2006/relationships/hyperlink" Target="https://sei.ufg.br/sei/controlador.php?acao=procedimento_trabalhar&amp;id_procedimento=4106362" TargetMode="External"/><Relationship Id="rId133" Type="http://schemas.openxmlformats.org/officeDocument/2006/relationships/hyperlink" Target="https://sei.ufg.br/sei/controlador.php?acao=procedimento_trabalhar&amp;id_procedimento=5347542" TargetMode="External"/><Relationship Id="rId254" Type="http://schemas.openxmlformats.org/officeDocument/2006/relationships/hyperlink" Target="https://sei.ufg.br/sei/controlador.php?acao=procedimento_trabalhar&amp;id_procedimento=4104869" TargetMode="External"/><Relationship Id="rId62" Type="http://schemas.openxmlformats.org/officeDocument/2006/relationships/hyperlink" Target="https://sei.ufg.br/sei/controlador.php?acao=procedimento_trabalhar&amp;id_procedimento=6231117" TargetMode="External"/><Relationship Id="rId61" Type="http://schemas.openxmlformats.org/officeDocument/2006/relationships/hyperlink" Target="https://sei.ufg.br/sei/controlador.php?acao=procedimento_trabalhar&amp;id_procedimento=6223510" TargetMode="External"/><Relationship Id="rId64" Type="http://schemas.openxmlformats.org/officeDocument/2006/relationships/hyperlink" Target="https://sei.ufg.br/sei/controlador.php?acao=procedimento_trabalhar&amp;id_procedimento=6243403" TargetMode="External"/><Relationship Id="rId63" Type="http://schemas.openxmlformats.org/officeDocument/2006/relationships/hyperlink" Target="https://sei.ufg.br/sei/controlador.php?acao=procedimento_trabalhar&amp;id_procedimento=6228776" TargetMode="External"/><Relationship Id="rId66" Type="http://schemas.openxmlformats.org/officeDocument/2006/relationships/hyperlink" Target="https://sei.ufg.br/sei/controlador.php?acao=procedimento_trabalhar&amp;id_procedimento=6281263" TargetMode="External"/><Relationship Id="rId172" Type="http://schemas.openxmlformats.org/officeDocument/2006/relationships/hyperlink" Target="https://sei.ufg.br/sei/controlador.php?acao=procedimento_trabalhar&amp;id_procedimento=4054084" TargetMode="External"/><Relationship Id="rId293" Type="http://schemas.openxmlformats.org/officeDocument/2006/relationships/hyperlink" Target="https://sei.ufg.br/sei/controlador.php?acao=procedimento_trabalhar&amp;id_procedimento=3185489" TargetMode="External"/><Relationship Id="rId65" Type="http://schemas.openxmlformats.org/officeDocument/2006/relationships/hyperlink" Target="https://sei.ufg.br/sei/controlador.php?acao=procedimento_trabalhar&amp;id_procedimento=6242832" TargetMode="External"/><Relationship Id="rId171" Type="http://schemas.openxmlformats.org/officeDocument/2006/relationships/hyperlink" Target="https://sei.ufg.br/sei/controlador.php?acao=procedimento_trabalhar&amp;id_procedimento=5147635" TargetMode="External"/><Relationship Id="rId292" Type="http://schemas.openxmlformats.org/officeDocument/2006/relationships/hyperlink" Target="https://sei.ufg.br/sei/controlador.php?acao=procedimento_trabalhar&amp;id_procedimento=3656268" TargetMode="External"/><Relationship Id="rId68" Type="http://schemas.openxmlformats.org/officeDocument/2006/relationships/hyperlink" Target="https://sei.ufg.br/sei/controlador.php?acao=procedimento_trabalhar&amp;id_procedimento=3334102" TargetMode="External"/><Relationship Id="rId170" Type="http://schemas.openxmlformats.org/officeDocument/2006/relationships/hyperlink" Target="https://sei.ufg.br/sei/controlador.php?acao=procedimento_trabalhar&amp;id_procedimento=5146865" TargetMode="External"/><Relationship Id="rId291" Type="http://schemas.openxmlformats.org/officeDocument/2006/relationships/hyperlink" Target="https://sei.ufg.br/sei/controlador.php?acao=procedimento_trabalhar&amp;id_procedimento=3672787" TargetMode="External"/><Relationship Id="rId67" Type="http://schemas.openxmlformats.org/officeDocument/2006/relationships/hyperlink" Target="https://sei.ufg.br/sei/controlador.php?acao=procedimento_trabalhar&amp;id_procedimento=6310817" TargetMode="External"/><Relationship Id="rId290" Type="http://schemas.openxmlformats.org/officeDocument/2006/relationships/hyperlink" Target="https://sei.ufg.br/sei/controlador.php?acao=procedimento_trabalhar&amp;id_procedimento=3673808" TargetMode="External"/><Relationship Id="rId60" Type="http://schemas.openxmlformats.org/officeDocument/2006/relationships/hyperlink" Target="https://sei.ufg.br/sei/controlador.php?acao=procedimento_trabalhar&amp;id_procedimento=6209856" TargetMode="External"/><Relationship Id="rId165" Type="http://schemas.openxmlformats.org/officeDocument/2006/relationships/hyperlink" Target="https://sei.ufg.br/sei/controlador.php?acao=procedimento_trabalhar&amp;id_procedimento=4883760" TargetMode="External"/><Relationship Id="rId286" Type="http://schemas.openxmlformats.org/officeDocument/2006/relationships/hyperlink" Target="https://sei.ufg.br/sei/controlador.php?acao=procedimento_trabalhar&amp;id_procedimento=3734491" TargetMode="External"/><Relationship Id="rId69" Type="http://schemas.openxmlformats.org/officeDocument/2006/relationships/hyperlink" Target="https://sei.ufg.br/sei/controlador.php?acao=procedimento_trabalhar&amp;id_procedimento=5999216" TargetMode="External"/><Relationship Id="rId164" Type="http://schemas.openxmlformats.org/officeDocument/2006/relationships/hyperlink" Target="https://sei.ufg.br/sei/controlador.php?acao=procedimento_trabalhar&amp;id_procedimento=4925375" TargetMode="External"/><Relationship Id="rId285" Type="http://schemas.openxmlformats.org/officeDocument/2006/relationships/hyperlink" Target="https://sei.ufg.br/sei/controlador.php?acao=procedimento_trabalhar&amp;id_procedimento=3727297" TargetMode="External"/><Relationship Id="rId163" Type="http://schemas.openxmlformats.org/officeDocument/2006/relationships/hyperlink" Target="https://sei.ufg.br/sei/controlador.php?acao=procedimento_trabalhar&amp;id_procedimento=5102890" TargetMode="External"/><Relationship Id="rId284" Type="http://schemas.openxmlformats.org/officeDocument/2006/relationships/hyperlink" Target="https://sei.ufg.br/sei/controlador.php?acao=procedimento_trabalhar&amp;id_procedimento=3775708" TargetMode="External"/><Relationship Id="rId162" Type="http://schemas.openxmlformats.org/officeDocument/2006/relationships/hyperlink" Target="https://sei.ufg.br/sei/controlador.php?acao=procedimento_trabalhar&amp;id_procedimento=4874404" TargetMode="External"/><Relationship Id="rId283" Type="http://schemas.openxmlformats.org/officeDocument/2006/relationships/hyperlink" Target="https://sei.ufg.br/sei/controlador.php?acao=procedimento_trabalhar&amp;id_procedimento=3514816" TargetMode="External"/><Relationship Id="rId169" Type="http://schemas.openxmlformats.org/officeDocument/2006/relationships/hyperlink" Target="https://sei.ufg.br/sei/controlador.php?acao=procedimento_trabalhar&amp;id_procedimento=5166453" TargetMode="External"/><Relationship Id="rId168" Type="http://schemas.openxmlformats.org/officeDocument/2006/relationships/hyperlink" Target="https://sei.ufg.br/sei/controlador.php?acao=procedimento_trabalhar&amp;id_procedimento=5162842" TargetMode="External"/><Relationship Id="rId289" Type="http://schemas.openxmlformats.org/officeDocument/2006/relationships/hyperlink" Target="https://sei.ufg.br/sei/controlador.php?acao=procedimento_trabalhar&amp;id_procedimento=3677087" TargetMode="External"/><Relationship Id="rId167" Type="http://schemas.openxmlformats.org/officeDocument/2006/relationships/hyperlink" Target="https://sei.ufg.br/sei/controlador.php?acao=procedimento_trabalhar&amp;id_procedimento=4907603" TargetMode="External"/><Relationship Id="rId288" Type="http://schemas.openxmlformats.org/officeDocument/2006/relationships/hyperlink" Target="https://sei.ufg.br/sei/controlador.php?acao=procedimento_trabalhar&amp;id_procedimento=3707748" TargetMode="External"/><Relationship Id="rId166" Type="http://schemas.openxmlformats.org/officeDocument/2006/relationships/hyperlink" Target="https://sei.ufg.br/sei/controlador.php?acao=procedimento_trabalhar&amp;id_procedimento=4962023" TargetMode="External"/><Relationship Id="rId287" Type="http://schemas.openxmlformats.org/officeDocument/2006/relationships/hyperlink" Target="https://sei.ufg.br/sei/controlador.php?acao=procedimento_trabalhar&amp;id_procedimento=3731009" TargetMode="External"/><Relationship Id="rId51" Type="http://schemas.openxmlformats.org/officeDocument/2006/relationships/hyperlink" Target="https://sei.ufg.br/sei/controlador.php?acao=procedimento_trabalhar&amp;id_procedimento=6478736" TargetMode="External"/><Relationship Id="rId50" Type="http://schemas.openxmlformats.org/officeDocument/2006/relationships/hyperlink" Target="https://sei.ufg.br/sei/controlador.php?acao=procedimento_trabalhar&amp;id_procedimento=6454682" TargetMode="External"/><Relationship Id="rId53" Type="http://schemas.openxmlformats.org/officeDocument/2006/relationships/hyperlink" Target="https://sei.ufg.br/sei/controlador.php?acao=procedimento_trabalhar&amp;id_procedimento=6474851" TargetMode="External"/><Relationship Id="rId52" Type="http://schemas.openxmlformats.org/officeDocument/2006/relationships/hyperlink" Target="https://sei.ufg.br/sei/controlador.php?acao=procedimento_trabalhar&amp;id_procedimento=6484373" TargetMode="External"/><Relationship Id="rId55" Type="http://schemas.openxmlformats.org/officeDocument/2006/relationships/hyperlink" Target="https://sei.ufg.br/sei/controlador.php?acao=procedimento_trabalhar&amp;id_procedimento=6435034" TargetMode="External"/><Relationship Id="rId161" Type="http://schemas.openxmlformats.org/officeDocument/2006/relationships/hyperlink" Target="https://sei.ufg.br/sei/controlador.php?acao=procedimento_trabalhar&amp;id_procedimento=4961401" TargetMode="External"/><Relationship Id="rId282" Type="http://schemas.openxmlformats.org/officeDocument/2006/relationships/hyperlink" Target="https://sei.ufg.br/sei/controlador.php?acao=procedimento_trabalhar&amp;id_procedimento=3741759" TargetMode="External"/><Relationship Id="rId54" Type="http://schemas.openxmlformats.org/officeDocument/2006/relationships/hyperlink" Target="https://sei.ufg.br/sei/controlador.php?acao=procedimento_trabalhar&amp;id_procedimento=6445400" TargetMode="External"/><Relationship Id="rId160" Type="http://schemas.openxmlformats.org/officeDocument/2006/relationships/hyperlink" Target="https://sei.ufg.br/sei/controlador.php?acao=procedimento_trabalhar&amp;id_procedimento=5174091" TargetMode="External"/><Relationship Id="rId281" Type="http://schemas.openxmlformats.org/officeDocument/2006/relationships/hyperlink" Target="https://sei.ufg.br/sei/controlador.php?acao=procedimento_trabalhar&amp;id_procedimento=3740884" TargetMode="External"/><Relationship Id="rId57" Type="http://schemas.openxmlformats.org/officeDocument/2006/relationships/hyperlink" Target="https://sei.ufg.br/sei/controlador.php?acao=procedimento_trabalhar&amp;id_procedimento=6409868" TargetMode="External"/><Relationship Id="rId280" Type="http://schemas.openxmlformats.org/officeDocument/2006/relationships/hyperlink" Target="https://sei.ufg.br/sei/controlador.php?acao=procedimento_trabalhar&amp;id_procedimento=3779274" TargetMode="External"/><Relationship Id="rId56" Type="http://schemas.openxmlformats.org/officeDocument/2006/relationships/hyperlink" Target="https://sei.ufg.br/sei/controlador.php?acao=procedimento_trabalhar&amp;id_procedimento=6433285" TargetMode="External"/><Relationship Id="rId159" Type="http://schemas.openxmlformats.org/officeDocument/2006/relationships/hyperlink" Target="https://sei.ufg.br/sei/controlador.php?acao=procedimento_trabalhar&amp;id_procedimento=5212044" TargetMode="External"/><Relationship Id="rId59" Type="http://schemas.openxmlformats.org/officeDocument/2006/relationships/hyperlink" Target="https://sei.ufg.br/sei/controlador.php?acao=procedimento_trabalhar&amp;id_procedimento=6184258" TargetMode="External"/><Relationship Id="rId154" Type="http://schemas.openxmlformats.org/officeDocument/2006/relationships/hyperlink" Target="https://sei.ufg.br/sei/controlador.php?acao=procedimento_trabalhar&amp;id_procedimento=5170968" TargetMode="External"/><Relationship Id="rId275" Type="http://schemas.openxmlformats.org/officeDocument/2006/relationships/hyperlink" Target="https://sei.ufg.br/sei/controlador.php?acao=procedimento_trabalhar&amp;id_procedimento=3740919" TargetMode="External"/><Relationship Id="rId58" Type="http://schemas.openxmlformats.org/officeDocument/2006/relationships/hyperlink" Target="https://sei.ufg.br/sei/controlador.php?acao=procedimento_trabalhar&amp;id_procedimento=6393994" TargetMode="External"/><Relationship Id="rId153" Type="http://schemas.openxmlformats.org/officeDocument/2006/relationships/hyperlink" Target="https://sei.ufg.br/sei/controlador.php?acao=procedimento_trabalhar&amp;id_procedimento=5270130" TargetMode="External"/><Relationship Id="rId274" Type="http://schemas.openxmlformats.org/officeDocument/2006/relationships/hyperlink" Target="https://sei.ufg.br/sei/controlador.php?acao=procedimento_trabalhar&amp;id_procedimento=3387260" TargetMode="External"/><Relationship Id="rId152" Type="http://schemas.openxmlformats.org/officeDocument/2006/relationships/hyperlink" Target="https://sei.ufg.br/sei/controlador.php?acao=procedimento_trabalhar&amp;id_procedimento=5262469" TargetMode="External"/><Relationship Id="rId273" Type="http://schemas.openxmlformats.org/officeDocument/2006/relationships/hyperlink" Target="https://sei.ufg.br/sei/controlador.php?acao=procedimento_trabalhar&amp;id_procedimento=3883221" TargetMode="External"/><Relationship Id="rId151" Type="http://schemas.openxmlformats.org/officeDocument/2006/relationships/hyperlink" Target="https://sei.ufg.br/sei/controlador.php?acao=procedimento_trabalhar&amp;id_procedimento=5271254" TargetMode="External"/><Relationship Id="rId272" Type="http://schemas.openxmlformats.org/officeDocument/2006/relationships/hyperlink" Target="https://sei.ufg.br/sei/controlador.php?acao=procedimento_trabalhar&amp;id_procedimento=3869881" TargetMode="External"/><Relationship Id="rId158" Type="http://schemas.openxmlformats.org/officeDocument/2006/relationships/hyperlink" Target="https://sei.ufg.br/sei/controlador.php?acao=procedimento_trabalhar&amp;id_procedimento=5230835" TargetMode="External"/><Relationship Id="rId279" Type="http://schemas.openxmlformats.org/officeDocument/2006/relationships/hyperlink" Target="https://sei.ufg.br/sei/controlador.php?acao=procedimento_trabalhar&amp;id_procedimento=3819294" TargetMode="External"/><Relationship Id="rId157" Type="http://schemas.openxmlformats.org/officeDocument/2006/relationships/hyperlink" Target="https://sei.ufg.br/sei/controlador.php?acao=procedimento_trabalhar&amp;id_procedimento=5230904" TargetMode="External"/><Relationship Id="rId278" Type="http://schemas.openxmlformats.org/officeDocument/2006/relationships/hyperlink" Target="https://sei.ufg.br/sei/controlador.php?acao=procedimento_trabalhar&amp;id_procedimento=3813824" TargetMode="External"/><Relationship Id="rId156" Type="http://schemas.openxmlformats.org/officeDocument/2006/relationships/hyperlink" Target="https://sei.ufg.br/sei/controlador.php?acao=procedimento_trabalhar&amp;id_procedimento=3663200" TargetMode="External"/><Relationship Id="rId277" Type="http://schemas.openxmlformats.org/officeDocument/2006/relationships/hyperlink" Target="https://sei.ufg.br/sei/controlador.php?acao=procedimento_trabalhar&amp;id_procedimento=3833732" TargetMode="External"/><Relationship Id="rId155" Type="http://schemas.openxmlformats.org/officeDocument/2006/relationships/hyperlink" Target="https://sei.ufg.br/sei/controlador.php?acao=procedimento_trabalhar&amp;id_procedimento=4777249" TargetMode="External"/><Relationship Id="rId276" Type="http://schemas.openxmlformats.org/officeDocument/2006/relationships/hyperlink" Target="https://sei.ufg.br/sei/controlador.php?acao=procedimento_trabalhar&amp;id_procedimento=3865402" TargetMode="External"/><Relationship Id="rId107" Type="http://schemas.openxmlformats.org/officeDocument/2006/relationships/hyperlink" Target="https://sei.ufg.br/sei/controlador.php?acao=procedimento_trabalhar&amp;id_procedimento=5744806" TargetMode="External"/><Relationship Id="rId228" Type="http://schemas.openxmlformats.org/officeDocument/2006/relationships/hyperlink" Target="https://sei.ufg.br/sei/controlador.php?acao=procedimento_trabalhar&amp;id_procedimento=4117719" TargetMode="External"/><Relationship Id="rId349" Type="http://schemas.openxmlformats.org/officeDocument/2006/relationships/hyperlink" Target="https://sei.ufg.br/sei/controlador.php?acao=procedimento_trabalhar&amp;id_procedimento=2962047" TargetMode="External"/><Relationship Id="rId106" Type="http://schemas.openxmlformats.org/officeDocument/2006/relationships/hyperlink" Target="https://sei.ufg.br/sei/controlador.php?acao=procedimento_trabalhar&amp;id_procedimento=5839892" TargetMode="External"/><Relationship Id="rId227" Type="http://schemas.openxmlformats.org/officeDocument/2006/relationships/hyperlink" Target="https://sei.ufg.br/sei/controlador.php?acao=procedimento_trabalhar&amp;id_procedimento=4118308" TargetMode="External"/><Relationship Id="rId348" Type="http://schemas.openxmlformats.org/officeDocument/2006/relationships/hyperlink" Target="https://sei.ufg.br/sei/controlador.php?acao=procedimento_trabalhar&amp;id_procedimento=2938835" TargetMode="External"/><Relationship Id="rId105" Type="http://schemas.openxmlformats.org/officeDocument/2006/relationships/hyperlink" Target="https://sei.ufg.br/sei/controlador.php?acao=procedimento_trabalhar&amp;id_procedimento=5827679" TargetMode="External"/><Relationship Id="rId226" Type="http://schemas.openxmlformats.org/officeDocument/2006/relationships/hyperlink" Target="https://sei.ufg.br/sei/controlador.php?acao=procedimento_trabalhar&amp;id_procedimento=4102037" TargetMode="External"/><Relationship Id="rId347" Type="http://schemas.openxmlformats.org/officeDocument/2006/relationships/hyperlink" Target="https://sei.ufg.br/sei/controlador.php?acao=procedimento_trabalhar&amp;id_procedimento=3010649" TargetMode="External"/><Relationship Id="rId104" Type="http://schemas.openxmlformats.org/officeDocument/2006/relationships/hyperlink" Target="https://sei.ufg.br/sei/controlador.php?acao=procedimento_trabalhar&amp;id_procedimento=5865442" TargetMode="External"/><Relationship Id="rId225" Type="http://schemas.openxmlformats.org/officeDocument/2006/relationships/hyperlink" Target="https://sei.ufg.br/sei/controlador.php?acao=procedimento_trabalhar&amp;id_procedimento=4198855" TargetMode="External"/><Relationship Id="rId346" Type="http://schemas.openxmlformats.org/officeDocument/2006/relationships/hyperlink" Target="https://sei.ufg.br/sei/controlador.php?acao=procedimento_trabalhar&amp;id_procedimento=2115325" TargetMode="External"/><Relationship Id="rId109" Type="http://schemas.openxmlformats.org/officeDocument/2006/relationships/hyperlink" Target="https://sei.ufg.br/sei/controlador.php?acao=procedimento_trabalhar&amp;id_procedimento=5681612" TargetMode="External"/><Relationship Id="rId108" Type="http://schemas.openxmlformats.org/officeDocument/2006/relationships/hyperlink" Target="https://sei.ufg.br/sei/controlador.php?acao=procedimento_trabalhar&amp;id_procedimento=5771410" TargetMode="External"/><Relationship Id="rId229" Type="http://schemas.openxmlformats.org/officeDocument/2006/relationships/hyperlink" Target="https://sei.ufg.br/sei/controlador.php?acao=procedimento_trabalhar&amp;id_procedimento=4205721" TargetMode="External"/><Relationship Id="rId220" Type="http://schemas.openxmlformats.org/officeDocument/2006/relationships/hyperlink" Target="https://sei.ufg.br/sei/controlador.php?acao=procedimento_trabalhar&amp;id_procedimento=4257410" TargetMode="External"/><Relationship Id="rId341" Type="http://schemas.openxmlformats.org/officeDocument/2006/relationships/hyperlink" Target="https://sei.ufg.br/sei/controlador.php?acao=procedimento_trabalhar&amp;id_procedimento=2906184" TargetMode="External"/><Relationship Id="rId340" Type="http://schemas.openxmlformats.org/officeDocument/2006/relationships/hyperlink" Target="https://sei.ufg.br/sei/controlador.php?acao=procedimento_trabalhar&amp;id_procedimento=3018398" TargetMode="External"/><Relationship Id="rId103" Type="http://schemas.openxmlformats.org/officeDocument/2006/relationships/hyperlink" Target="https://sei.ufg.br/sei/controlador.php?acao=procedimento_trabalhar&amp;id_procedimento=5858710" TargetMode="External"/><Relationship Id="rId224" Type="http://schemas.openxmlformats.org/officeDocument/2006/relationships/hyperlink" Target="https://sei.ufg.br/sei/controlador.php?acao=procedimento_trabalhar&amp;id_procedimento=4292672" TargetMode="External"/><Relationship Id="rId345" Type="http://schemas.openxmlformats.org/officeDocument/2006/relationships/hyperlink" Target="https://sei.ufg.br/sei/controlador.php?acao=procedimento_trabalhar&amp;id_procedimento=3028370" TargetMode="External"/><Relationship Id="rId102" Type="http://schemas.openxmlformats.org/officeDocument/2006/relationships/hyperlink" Target="https://sei.ufg.br/sei/controlador.php?acao=procedimento_trabalhar&amp;id_procedimento=5826113" TargetMode="External"/><Relationship Id="rId223" Type="http://schemas.openxmlformats.org/officeDocument/2006/relationships/hyperlink" Target="https://sei.ufg.br/sei/controlador.php?acao=procedimento_trabalhar&amp;id_procedimento=4335504" TargetMode="External"/><Relationship Id="rId344" Type="http://schemas.openxmlformats.org/officeDocument/2006/relationships/hyperlink" Target="https://sei.ufg.br/sei/controlador.php?acao=procedimento_trabalhar&amp;id_procedimento=2685099" TargetMode="External"/><Relationship Id="rId101" Type="http://schemas.openxmlformats.org/officeDocument/2006/relationships/hyperlink" Target="https://sei.ufg.br/sei/controlador.php?acao=procedimento_trabalhar&amp;id_procedimento=5741802" TargetMode="External"/><Relationship Id="rId222" Type="http://schemas.openxmlformats.org/officeDocument/2006/relationships/hyperlink" Target="https://sei.ufg.br/sei/controlador.php?acao=procedimento_trabalhar&amp;id_procedimento=4350072" TargetMode="External"/><Relationship Id="rId343" Type="http://schemas.openxmlformats.org/officeDocument/2006/relationships/hyperlink" Target="https://sei.ufg.br/sei/controlador.php?acao=procedimento_trabalhar&amp;id_procedimento=2961670" TargetMode="External"/><Relationship Id="rId100" Type="http://schemas.openxmlformats.org/officeDocument/2006/relationships/hyperlink" Target="https://sei.ufg.br/sei/controlador.php?acao=procedimento_trabalhar&amp;id_procedimento=5882218" TargetMode="External"/><Relationship Id="rId221" Type="http://schemas.openxmlformats.org/officeDocument/2006/relationships/hyperlink" Target="https://sei.ufg.br/sei/controlador.php?acao=procedimento_trabalhar&amp;id_procedimento=4338022" TargetMode="External"/><Relationship Id="rId342" Type="http://schemas.openxmlformats.org/officeDocument/2006/relationships/hyperlink" Target="https://sei.ufg.br/sei/controlador.php?acao=procedimento_trabalhar&amp;id_procedimento=3015908" TargetMode="External"/><Relationship Id="rId217" Type="http://schemas.openxmlformats.org/officeDocument/2006/relationships/hyperlink" Target="https://sei.ufg.br/sei/controlador.php?acao=procedimento_trabalhar&amp;id_procedimento=3743605" TargetMode="External"/><Relationship Id="rId338" Type="http://schemas.openxmlformats.org/officeDocument/2006/relationships/hyperlink" Target="https://sei.ufg.br/sei/controlador.php?acao=procedimento_trabalhar&amp;id_procedimento=3041383" TargetMode="External"/><Relationship Id="rId216" Type="http://schemas.openxmlformats.org/officeDocument/2006/relationships/hyperlink" Target="https://sei.ufg.br/sei/controlador.php?acao=procedimento_trabalhar&amp;id_procedimento=4441026" TargetMode="External"/><Relationship Id="rId337" Type="http://schemas.openxmlformats.org/officeDocument/2006/relationships/hyperlink" Target="https://sei.ufg.br/sei/controlador.php?acao=procedimento_trabalhar&amp;id_procedimento=2928221" TargetMode="External"/><Relationship Id="rId215" Type="http://schemas.openxmlformats.org/officeDocument/2006/relationships/hyperlink" Target="https://sei.ufg.br/sei/controlador.php?acao=procedimento_trabalhar&amp;id_procedimento=4234710" TargetMode="External"/><Relationship Id="rId336" Type="http://schemas.openxmlformats.org/officeDocument/2006/relationships/hyperlink" Target="https://sei.ufg.br/sei/controlador.php?acao=procedimento_trabalhar&amp;id_procedimento=3071548" TargetMode="External"/><Relationship Id="rId214" Type="http://schemas.openxmlformats.org/officeDocument/2006/relationships/hyperlink" Target="https://sei.ufg.br/sei/controlador.php?acao=procedimento_trabalhar&amp;id_procedimento=4507033" TargetMode="External"/><Relationship Id="rId335" Type="http://schemas.openxmlformats.org/officeDocument/2006/relationships/hyperlink" Target="https://sei.ufg.br/sei/controlador.php?acao=procedimento_trabalhar&amp;id_procedimento=3067437" TargetMode="External"/><Relationship Id="rId219" Type="http://schemas.openxmlformats.org/officeDocument/2006/relationships/hyperlink" Target="https://sei.ufg.br/sei/controlador.php?acao=procedimento_trabalhar&amp;id_procedimento=4106612" TargetMode="External"/><Relationship Id="rId218" Type="http://schemas.openxmlformats.org/officeDocument/2006/relationships/hyperlink" Target="https://sei.ufg.br/sei/controlador.php?acao=procedimento_trabalhar&amp;id_procedimento=4380107" TargetMode="External"/><Relationship Id="rId339" Type="http://schemas.openxmlformats.org/officeDocument/2006/relationships/hyperlink" Target="https://sei.ufg.br/sei/controlador.php?acao=procedimento_trabalhar&amp;id_procedimento=2929718" TargetMode="External"/><Relationship Id="rId330" Type="http://schemas.openxmlformats.org/officeDocument/2006/relationships/hyperlink" Target="https://sei.ufg.br/sei/controlador.php?acao=procedimento_trabalhar&amp;id_procedimento=3108889" TargetMode="External"/><Relationship Id="rId213" Type="http://schemas.openxmlformats.org/officeDocument/2006/relationships/hyperlink" Target="https://sei.ufg.br/sei/controlador.php?acao=procedimento_trabalhar&amp;id_procedimento=3598892" TargetMode="External"/><Relationship Id="rId334" Type="http://schemas.openxmlformats.org/officeDocument/2006/relationships/hyperlink" Target="https://sei.ufg.br/sei/controlador.php?acao=procedimento_trabalhar&amp;id_procedimento=2941864" TargetMode="External"/><Relationship Id="rId212" Type="http://schemas.openxmlformats.org/officeDocument/2006/relationships/hyperlink" Target="https://sei.ufg.br/sei/controlador.php?acao=procedimento_trabalhar&amp;id_procedimento=4290175" TargetMode="External"/><Relationship Id="rId333" Type="http://schemas.openxmlformats.org/officeDocument/2006/relationships/hyperlink" Target="https://sei.ufg.br/sei/controlador.php?acao=procedimento_trabalhar&amp;id_procedimento=2310982" TargetMode="External"/><Relationship Id="rId211" Type="http://schemas.openxmlformats.org/officeDocument/2006/relationships/hyperlink" Target="https://sei.ufg.br/sei/controlador.php?acao=procedimento_trabalhar&amp;id_procedimento=4545643" TargetMode="External"/><Relationship Id="rId332" Type="http://schemas.openxmlformats.org/officeDocument/2006/relationships/hyperlink" Target="https://sei.ufg.br/sei/controlador.php?acao=procedimento_trabalhar&amp;id_procedimento=3139315" TargetMode="External"/><Relationship Id="rId210" Type="http://schemas.openxmlformats.org/officeDocument/2006/relationships/hyperlink" Target="https://sei.ufg.br/sei/controlador.php?acao=procedimento_trabalhar&amp;id_procedimento=4556516" TargetMode="External"/><Relationship Id="rId331" Type="http://schemas.openxmlformats.org/officeDocument/2006/relationships/hyperlink" Target="https://sei.ufg.br/sei/controlador.php?acao=procedimento_trabalhar&amp;id_procedimento=2622827" TargetMode="External"/><Relationship Id="rId370" Type="http://schemas.openxmlformats.org/officeDocument/2006/relationships/hyperlink" Target="https://sei.ufg.br/sei/controlador.php?acao=procedimento_trabalhar&amp;id_procedimento=758009" TargetMode="External"/><Relationship Id="rId129" Type="http://schemas.openxmlformats.org/officeDocument/2006/relationships/hyperlink" Target="https://sei.ufg.br/sei/controlador.php?acao=procedimento_trabalhar&amp;id_procedimento=5423480" TargetMode="External"/><Relationship Id="rId128" Type="http://schemas.openxmlformats.org/officeDocument/2006/relationships/hyperlink" Target="https://sei.ufg.br/sei/controlador.php?acao=procedimento_trabalhar&amp;id_procedimento=5402693" TargetMode="External"/><Relationship Id="rId249" Type="http://schemas.openxmlformats.org/officeDocument/2006/relationships/hyperlink" Target="https://sei.ufg.br/sei/controlador.php?acao=procedimento_trabalhar&amp;id_procedimento=1185028" TargetMode="External"/><Relationship Id="rId127" Type="http://schemas.openxmlformats.org/officeDocument/2006/relationships/hyperlink" Target="https://sei.ufg.br/sei/controlador.php?acao=procedimento_trabalhar&amp;id_procedimento=5265858" TargetMode="External"/><Relationship Id="rId248" Type="http://schemas.openxmlformats.org/officeDocument/2006/relationships/hyperlink" Target="https://sei.ufg.br/sei/controlador.php?acao=procedimento_trabalhar&amp;id_procedimento=4142352" TargetMode="External"/><Relationship Id="rId369" Type="http://schemas.openxmlformats.org/officeDocument/2006/relationships/hyperlink" Target="https://sei.ufg.br/sei/controlador.php?acao=procedimento_trabalhar&amp;id_procedimento=979455" TargetMode="External"/><Relationship Id="rId126" Type="http://schemas.openxmlformats.org/officeDocument/2006/relationships/hyperlink" Target="https://sei.ufg.br/sei/controlador.php?acao=procedimento_trabalhar&amp;id_procedimento=5427334" TargetMode="External"/><Relationship Id="rId247" Type="http://schemas.openxmlformats.org/officeDocument/2006/relationships/hyperlink" Target="https://sei.ufg.br/sei/controlador.php?acao=procedimento_trabalhar&amp;id_procedimento=3741267" TargetMode="External"/><Relationship Id="rId368" Type="http://schemas.openxmlformats.org/officeDocument/2006/relationships/hyperlink" Target="https://sei.ufg.br/sei/controlador.php?acao=procedimento_trabalhar&amp;id_procedimento=976303" TargetMode="External"/><Relationship Id="rId121" Type="http://schemas.openxmlformats.org/officeDocument/2006/relationships/hyperlink" Target="https://sei.ufg.br/sei/controlador.php?acao=procedimento_trabalhar&amp;id_procedimento=5534295" TargetMode="External"/><Relationship Id="rId242" Type="http://schemas.openxmlformats.org/officeDocument/2006/relationships/hyperlink" Target="https://sei.ufg.br/sei/controlador.php?acao=procedimento_trabalhar&amp;id_procedimento=4174074" TargetMode="External"/><Relationship Id="rId363" Type="http://schemas.openxmlformats.org/officeDocument/2006/relationships/hyperlink" Target="https://sei.ufg.br/sei/controlador.php?acao=procedimento_trabalhar&amp;id_procedimento=2536817" TargetMode="External"/><Relationship Id="rId120" Type="http://schemas.openxmlformats.org/officeDocument/2006/relationships/hyperlink" Target="https://sei.ufg.br/sei/controlador.php?acao=procedimento_trabalhar&amp;id_procedimento=5427222" TargetMode="External"/><Relationship Id="rId241" Type="http://schemas.openxmlformats.org/officeDocument/2006/relationships/hyperlink" Target="https://sei.ufg.br/sei/controlador.php?acao=procedimento_trabalhar&amp;id_procedimento=4103411" TargetMode="External"/><Relationship Id="rId362" Type="http://schemas.openxmlformats.org/officeDocument/2006/relationships/hyperlink" Target="https://sei.ufg.br/sei/controlador.php?acao=procedimento_trabalhar&amp;id_procedimento=2652373" TargetMode="External"/><Relationship Id="rId240" Type="http://schemas.openxmlformats.org/officeDocument/2006/relationships/hyperlink" Target="https://sei.ufg.br/sei/controlador.php?acao=procedimento_trabalhar&amp;id_procedimento=4179677" TargetMode="External"/><Relationship Id="rId361" Type="http://schemas.openxmlformats.org/officeDocument/2006/relationships/hyperlink" Target="https://sei.ufg.br/sei/controlador.php?acao=procedimento_trabalhar&amp;id_procedimento=2590985" TargetMode="External"/><Relationship Id="rId360" Type="http://schemas.openxmlformats.org/officeDocument/2006/relationships/hyperlink" Target="https://sei.ufg.br/sei/controlador.php?acao=procedimento_trabalhar&amp;id_procedimento=2653432" TargetMode="External"/><Relationship Id="rId125" Type="http://schemas.openxmlformats.org/officeDocument/2006/relationships/hyperlink" Target="https://sei.ufg.br/sei/controlador.php?acao=procedimento_trabalhar&amp;id_procedimento=5421264" TargetMode="External"/><Relationship Id="rId246" Type="http://schemas.openxmlformats.org/officeDocument/2006/relationships/hyperlink" Target="https://sei.ufg.br/sei/controlador.php?acao=procedimento_trabalhar&amp;id_procedimento=4147456" TargetMode="External"/><Relationship Id="rId367" Type="http://schemas.openxmlformats.org/officeDocument/2006/relationships/hyperlink" Target="https://sei.ufg.br/sei/controlador.php?acao=procedimento_trabalhar&amp;id_procedimento=985629" TargetMode="External"/><Relationship Id="rId124" Type="http://schemas.openxmlformats.org/officeDocument/2006/relationships/hyperlink" Target="https://sei.ufg.br/sei/controlador.php?acao=procedimento_trabalhar&amp;id_procedimento=5292509" TargetMode="External"/><Relationship Id="rId245" Type="http://schemas.openxmlformats.org/officeDocument/2006/relationships/hyperlink" Target="https://sei.ufg.br/sei/controlador.php?acao=procedimento_trabalhar&amp;id_procedimento=3728105" TargetMode="External"/><Relationship Id="rId366" Type="http://schemas.openxmlformats.org/officeDocument/2006/relationships/hyperlink" Target="https://sei.ufg.br/sei/controlador.php?acao=procedimento_trabalhar&amp;id_procedimento=1417390" TargetMode="External"/><Relationship Id="rId123" Type="http://schemas.openxmlformats.org/officeDocument/2006/relationships/hyperlink" Target="https://sei.ufg.br/sei/controlador.php?acao=procedimento_trabalhar&amp;id_procedimento=5481477" TargetMode="External"/><Relationship Id="rId244" Type="http://schemas.openxmlformats.org/officeDocument/2006/relationships/hyperlink" Target="https://sei.ufg.br/sei/controlador.php?acao=procedimento_trabalhar&amp;id_procedimento=4245639" TargetMode="External"/><Relationship Id="rId365" Type="http://schemas.openxmlformats.org/officeDocument/2006/relationships/hyperlink" Target="https://sei.ufg.br/sei/controlador.php?acao=procedimento_trabalhar&amp;id_procedimento=1911417" TargetMode="External"/><Relationship Id="rId122" Type="http://schemas.openxmlformats.org/officeDocument/2006/relationships/hyperlink" Target="https://sei.ufg.br/sei/controlador.php?acao=procedimento_trabalhar&amp;id_procedimento=4703689" TargetMode="External"/><Relationship Id="rId243" Type="http://schemas.openxmlformats.org/officeDocument/2006/relationships/hyperlink" Target="https://sei.ufg.br/sei/controlador.php?acao=procedimento_trabalhar&amp;id_procedimento=4173671" TargetMode="External"/><Relationship Id="rId364" Type="http://schemas.openxmlformats.org/officeDocument/2006/relationships/hyperlink" Target="https://sei.ufg.br/sei/controlador.php?acao=procedimento_trabalhar&amp;id_procedimento=2532037" TargetMode="External"/><Relationship Id="rId95" Type="http://schemas.openxmlformats.org/officeDocument/2006/relationships/hyperlink" Target="https://sei.ufg.br/sei/controlador.php?acao=procedimento_trabalhar&amp;id_procedimento=6003484" TargetMode="External"/><Relationship Id="rId94" Type="http://schemas.openxmlformats.org/officeDocument/2006/relationships/hyperlink" Target="https://sei.ufg.br/sei/controlador.php?acao=procedimento_trabalhar&amp;id_procedimento=6007402" TargetMode="External"/><Relationship Id="rId97" Type="http://schemas.openxmlformats.org/officeDocument/2006/relationships/hyperlink" Target="https://sei.ufg.br/sei/controlador.php?acao=procedimento_trabalhar&amp;id_procedimento=5555112" TargetMode="External"/><Relationship Id="rId96" Type="http://schemas.openxmlformats.org/officeDocument/2006/relationships/hyperlink" Target="https://sei.ufg.br/sei/controlador.php?acao=procedimento_trabalhar&amp;id_procedimento=5963198" TargetMode="External"/><Relationship Id="rId99" Type="http://schemas.openxmlformats.org/officeDocument/2006/relationships/hyperlink" Target="https://sei.ufg.br/sei/controlador.php?acao=procedimento_trabalhar&amp;id_procedimento=5311653" TargetMode="External"/><Relationship Id="rId98" Type="http://schemas.openxmlformats.org/officeDocument/2006/relationships/hyperlink" Target="https://sei.ufg.br/sei/controlador.php?acao=procedimento_trabalhar&amp;id_procedimento=5551180" TargetMode="External"/><Relationship Id="rId91" Type="http://schemas.openxmlformats.org/officeDocument/2006/relationships/hyperlink" Target="https://sei.ufg.br/sei/controlador.php?acao=procedimento_trabalhar&amp;id_procedimento=6034301" TargetMode="External"/><Relationship Id="rId90" Type="http://schemas.openxmlformats.org/officeDocument/2006/relationships/hyperlink" Target="https://sei.ufg.br/sei/controlador.php?acao=procedimento_trabalhar&amp;id_procedimento=6035267" TargetMode="External"/><Relationship Id="rId93" Type="http://schemas.openxmlformats.org/officeDocument/2006/relationships/hyperlink" Target="https://sei.ufg.br/sei/controlador.php?acao=procedimento_trabalhar&amp;id_procedimento=6013776" TargetMode="External"/><Relationship Id="rId92" Type="http://schemas.openxmlformats.org/officeDocument/2006/relationships/hyperlink" Target="https://sei.ufg.br/sei/controlador.php?acao=procedimento_trabalhar&amp;id_procedimento=6022339" TargetMode="External"/><Relationship Id="rId118" Type="http://schemas.openxmlformats.org/officeDocument/2006/relationships/hyperlink" Target="https://sei.ufg.br/sei/controlador.php?acao=procedimento_trabalhar&amp;id_procedimento=5304764" TargetMode="External"/><Relationship Id="rId239" Type="http://schemas.openxmlformats.org/officeDocument/2006/relationships/hyperlink" Target="https://sei.ufg.br/sei/controlador.php?acao=procedimento_trabalhar&amp;id_procedimento=4179749" TargetMode="External"/><Relationship Id="rId117" Type="http://schemas.openxmlformats.org/officeDocument/2006/relationships/hyperlink" Target="https://sei.ufg.br/sei/controlador.php?acao=procedimento_trabalhar&amp;id_procedimento=5547421&amp;id_documento=5582532" TargetMode="External"/><Relationship Id="rId238" Type="http://schemas.openxmlformats.org/officeDocument/2006/relationships/hyperlink" Target="https://sei.ufg.br/sei/controlador.php?acao=procedimento_trabalhar&amp;id_procedimento=4102037" TargetMode="External"/><Relationship Id="rId359" Type="http://schemas.openxmlformats.org/officeDocument/2006/relationships/hyperlink" Target="https://sei.ufg.br/sei/controlador.php?acao=procedimento_trabalhar&amp;id_procedimento=1421517" TargetMode="External"/><Relationship Id="rId116" Type="http://schemas.openxmlformats.org/officeDocument/2006/relationships/hyperlink" Target="https://sei.ufg.br/sei/controlador.php?acao=procedimento_trabalhar&amp;id_procedimento=5592766" TargetMode="External"/><Relationship Id="rId237" Type="http://schemas.openxmlformats.org/officeDocument/2006/relationships/hyperlink" Target="https://sei.ufg.br/sei/controlador.php?acao=procedimento_trabalhar&amp;id_procedimento=4249949" TargetMode="External"/><Relationship Id="rId358" Type="http://schemas.openxmlformats.org/officeDocument/2006/relationships/hyperlink" Target="https://sei.ufg.br/sei/controlador.php?acao=procedimento_trabalhar&amp;id_procedimento=1643960" TargetMode="External"/><Relationship Id="rId115" Type="http://schemas.openxmlformats.org/officeDocument/2006/relationships/hyperlink" Target="https://sei.ufg.br/sei/controlador.php?acao=procedimento_trabalhar&amp;id_procedimento=5505658" TargetMode="External"/><Relationship Id="rId236" Type="http://schemas.openxmlformats.org/officeDocument/2006/relationships/hyperlink" Target="https://sei.ufg.br/sei/controlador.php?acao=procedimento_trabalhar&amp;id_procedimento=4171380" TargetMode="External"/><Relationship Id="rId357" Type="http://schemas.openxmlformats.org/officeDocument/2006/relationships/hyperlink" Target="https://sei.ufg.br/sei/controlador.php?acao=procedimento_trabalhar&amp;id_procedimento=2435587" TargetMode="External"/><Relationship Id="rId119" Type="http://schemas.openxmlformats.org/officeDocument/2006/relationships/hyperlink" Target="https://sei.ufg.br/sei/controlador.php?acao=procedimento_trabalhar&amp;id_procedimento=5549415" TargetMode="External"/><Relationship Id="rId110" Type="http://schemas.openxmlformats.org/officeDocument/2006/relationships/hyperlink" Target="https://sei.ufg.br/sei/controlador.php?acao=procedimento_trabalhar&amp;id_procedimento=5601403" TargetMode="External"/><Relationship Id="rId231" Type="http://schemas.openxmlformats.org/officeDocument/2006/relationships/hyperlink" Target="https://sei.ufg.br/sei/controlador.php?acao=procedimento_trabalhar&amp;id_procedimento=4329896" TargetMode="External"/><Relationship Id="rId352" Type="http://schemas.openxmlformats.org/officeDocument/2006/relationships/hyperlink" Target="https://sei.ufg.br/sei/controlador.php?acao=procedimento_trabalhar&amp;id_procedimento=2711826" TargetMode="External"/><Relationship Id="rId230" Type="http://schemas.openxmlformats.org/officeDocument/2006/relationships/hyperlink" Target="https://sei.ufg.br/sei/controlador.php?acao=procedimento_trabalhar&amp;id_procedimento=4141900" TargetMode="External"/><Relationship Id="rId351" Type="http://schemas.openxmlformats.org/officeDocument/2006/relationships/hyperlink" Target="https://sei.ufg.br/sei/controlador.php?acao=procedimento_trabalhar&amp;id_procedimento=2849270" TargetMode="External"/><Relationship Id="rId350" Type="http://schemas.openxmlformats.org/officeDocument/2006/relationships/hyperlink" Target="https://sei.ufg.br/sei/controlador.php?acao=procedimento_trabalhar&amp;id_procedimento=2880887" TargetMode="External"/><Relationship Id="rId114" Type="http://schemas.openxmlformats.org/officeDocument/2006/relationships/hyperlink" Target="https://sei.ufg.br/sei/controlador.php?acao=procedimento_trabalhar&amp;id_procedimento=5367247" TargetMode="External"/><Relationship Id="rId235" Type="http://schemas.openxmlformats.org/officeDocument/2006/relationships/hyperlink" Target="https://sei.ufg.br/sei/controlador.php?acao=procedimento_trabalhar&amp;id_procedimento=635381" TargetMode="External"/><Relationship Id="rId356" Type="http://schemas.openxmlformats.org/officeDocument/2006/relationships/hyperlink" Target="https://sei.ufg.br/sei/controlador.php?acao=procedimento_trabalhar&amp;id_procedimento=2176087" TargetMode="External"/><Relationship Id="rId113" Type="http://schemas.openxmlformats.org/officeDocument/2006/relationships/hyperlink" Target="https://sei.ufg.br/sei/controlador.php?acao=procedimento_trabalhar&amp;id_procedimento=5582636" TargetMode="External"/><Relationship Id="rId234" Type="http://schemas.openxmlformats.org/officeDocument/2006/relationships/hyperlink" Target="https://sei.ufg.br/sei/controlador.php?acao=procedimento_trabalhar&amp;id_procedimento=1517728" TargetMode="External"/><Relationship Id="rId355" Type="http://schemas.openxmlformats.org/officeDocument/2006/relationships/hyperlink" Target="https://sei.ufg.br/sei/controlador.php?acao=procedimento_trabalhar&amp;id_procedimento=2550148" TargetMode="External"/><Relationship Id="rId112" Type="http://schemas.openxmlformats.org/officeDocument/2006/relationships/hyperlink" Target="https://sei.ufg.br/sei/controlador.php?acao=procedimento_trabalhar&amp;id_procedimento=5618497" TargetMode="External"/><Relationship Id="rId233" Type="http://schemas.openxmlformats.org/officeDocument/2006/relationships/hyperlink" Target="https://sei.ufg.br/sei/controlador.php?acao=procedimento_trabalhar&amp;id_procedimento=635393" TargetMode="External"/><Relationship Id="rId354" Type="http://schemas.openxmlformats.org/officeDocument/2006/relationships/hyperlink" Target="https://sei.ufg.br/sei/controlador.php?acao=procedimento_trabalhar&amp;id_procedimento=2590985" TargetMode="External"/><Relationship Id="rId111" Type="http://schemas.openxmlformats.org/officeDocument/2006/relationships/hyperlink" Target="https://sei.ufg.br/sei/controlador.php?acao=procedimento_trabalhar&amp;id_procedimento=5673644" TargetMode="External"/><Relationship Id="rId232" Type="http://schemas.openxmlformats.org/officeDocument/2006/relationships/hyperlink" Target="https://sei.ufg.br/sei/controlador.php?acao=procedimento_trabalhar&amp;id_procedimento=1808111" TargetMode="External"/><Relationship Id="rId353" Type="http://schemas.openxmlformats.org/officeDocument/2006/relationships/hyperlink" Target="https://sei.ufg.br/sei/controlador.php?acao=procedimento_trabalhar&amp;id_procedimento=2745323" TargetMode="External"/><Relationship Id="rId305" Type="http://schemas.openxmlformats.org/officeDocument/2006/relationships/hyperlink" Target="https://sei.ufg.br/sei/controlador.php?acao=procedimento_trabalhar&amp;id_procedimento=3352657" TargetMode="External"/><Relationship Id="rId304" Type="http://schemas.openxmlformats.org/officeDocument/2006/relationships/hyperlink" Target="https://sei.ufg.br/sei/controlador.php?acao=procedimento_trabalhar&amp;id_procedimento=2834321" TargetMode="External"/><Relationship Id="rId303" Type="http://schemas.openxmlformats.org/officeDocument/2006/relationships/hyperlink" Target="https://sei.ufg.br/sei/controlador.php?acao=procedimento_trabalhar&amp;id_procedimento=3353469" TargetMode="External"/><Relationship Id="rId302" Type="http://schemas.openxmlformats.org/officeDocument/2006/relationships/hyperlink" Target="https://sei.ufg.br/sei/controlador.php?acao=procedimento_trabalhar&amp;id_procedimento=3195644" TargetMode="External"/><Relationship Id="rId309" Type="http://schemas.openxmlformats.org/officeDocument/2006/relationships/hyperlink" Target="https://sei.ufg.br/sei/controlador.php?acao=procedimento_trabalhar&amp;id_procedimento=3398219" TargetMode="External"/><Relationship Id="rId308" Type="http://schemas.openxmlformats.org/officeDocument/2006/relationships/hyperlink" Target="https://sei.ufg.br/sei/controlador.php?acao=procedimento_trabalhar&amp;id_procedimento=3451929" TargetMode="External"/><Relationship Id="rId307" Type="http://schemas.openxmlformats.org/officeDocument/2006/relationships/hyperlink" Target="https://sei.ufg.br/sei/controlador.php?acao=procedimento_trabalhar&amp;id_procedimento=3372839" TargetMode="External"/><Relationship Id="rId306" Type="http://schemas.openxmlformats.org/officeDocument/2006/relationships/hyperlink" Target="https://sei.ufg.br/sei/controlador.php?acao=procedimento_trabalhar&amp;id_procedimento=3472445" TargetMode="External"/><Relationship Id="rId301" Type="http://schemas.openxmlformats.org/officeDocument/2006/relationships/hyperlink" Target="https://sei.ufg.br/sei/controlador.php?acao=procedimento_trabalhar&amp;id_procedimento=3398065" TargetMode="External"/><Relationship Id="rId300" Type="http://schemas.openxmlformats.org/officeDocument/2006/relationships/hyperlink" Target="https://sei.ufg.br/sei/controlador.php?acao=procedimento_trabalhar&amp;id_procedimento=3180116" TargetMode="External"/><Relationship Id="rId206" Type="http://schemas.openxmlformats.org/officeDocument/2006/relationships/hyperlink" Target="https://sei.ufg.br/sei/controlador.php?acao=procedimento_trabalhar&amp;id_procedimento=4130566" TargetMode="External"/><Relationship Id="rId327" Type="http://schemas.openxmlformats.org/officeDocument/2006/relationships/hyperlink" Target="https://sei.ufg.br/sei/controlador.php?acao=procedimento_trabalhar&amp;id_procedimento=3054781" TargetMode="External"/><Relationship Id="rId205" Type="http://schemas.openxmlformats.org/officeDocument/2006/relationships/hyperlink" Target="https://sei.ufg.br/sei/controlador.php?acao=procedimento_trabalhar&amp;id_procedimento=4563991" TargetMode="External"/><Relationship Id="rId326" Type="http://schemas.openxmlformats.org/officeDocument/2006/relationships/hyperlink" Target="https://sei.ufg.br/sei/controlador.php?acao=procedimento_trabalhar&amp;id_procedimento=3186779" TargetMode="External"/><Relationship Id="rId204" Type="http://schemas.openxmlformats.org/officeDocument/2006/relationships/hyperlink" Target="https://sei.ufg.br/sei/controlador.php?acao=procedimento_trabalhar&amp;id_procedimento=4387737" TargetMode="External"/><Relationship Id="rId325" Type="http://schemas.openxmlformats.org/officeDocument/2006/relationships/hyperlink" Target="https://sei.ufg.br/sei/controlador.php?acao=procedimento_trabalhar&amp;id_procedimento=3190515" TargetMode="External"/><Relationship Id="rId203" Type="http://schemas.openxmlformats.org/officeDocument/2006/relationships/hyperlink" Target="https://sei.ufg.br/sei/controlador.php?acao=procedimento_trabalhar&amp;id_procedimento=4555892" TargetMode="External"/><Relationship Id="rId324" Type="http://schemas.openxmlformats.org/officeDocument/2006/relationships/hyperlink" Target="https://sei.ufg.br/sei/controlador.php?acao=procedimento_trabalhar&amp;id_procedimento=3314251" TargetMode="External"/><Relationship Id="rId209" Type="http://schemas.openxmlformats.org/officeDocument/2006/relationships/hyperlink" Target="https://sei.ufg.br/sei/controlador.php?acao=procedimento_trabalhar&amp;id_procedimento=4556528" TargetMode="External"/><Relationship Id="rId208" Type="http://schemas.openxmlformats.org/officeDocument/2006/relationships/hyperlink" Target="https://sei.ufg.br/sei/controlador.php?acao=procedimento_trabalhar&amp;id_procedimento=4567915" TargetMode="External"/><Relationship Id="rId329" Type="http://schemas.openxmlformats.org/officeDocument/2006/relationships/hyperlink" Target="https://sei.ufg.br/sei/controlador.php?acao=procedimento_trabalhar&amp;id_procedimento=3071548" TargetMode="External"/><Relationship Id="rId207" Type="http://schemas.openxmlformats.org/officeDocument/2006/relationships/hyperlink" Target="https://sei.ufg.br/sei/controlador.php?acao=procedimento_trabalhar&amp;id_procedimento=4304395" TargetMode="External"/><Relationship Id="rId328" Type="http://schemas.openxmlformats.org/officeDocument/2006/relationships/hyperlink" Target="https://sei.ufg.br/sei/controlador.php?acao=procedimento_trabalhar&amp;id_procedimento=3071869" TargetMode="External"/><Relationship Id="rId202" Type="http://schemas.openxmlformats.org/officeDocument/2006/relationships/hyperlink" Target="https://sei.ufg.br/sei/controlador.php?acao=procedimento_trabalhar&amp;id_procedimento=4658739" TargetMode="External"/><Relationship Id="rId323" Type="http://schemas.openxmlformats.org/officeDocument/2006/relationships/hyperlink" Target="https://sei.ufg.br/sei/controlador.php?acao=procedimento_trabalhar&amp;id_procedimento=3285101" TargetMode="External"/><Relationship Id="rId201" Type="http://schemas.openxmlformats.org/officeDocument/2006/relationships/hyperlink" Target="https://sei.ufg.br/sei/controlador.php?acao=procedimento_trabalhar&amp;id_procedimento=4647463" TargetMode="External"/><Relationship Id="rId322" Type="http://schemas.openxmlformats.org/officeDocument/2006/relationships/hyperlink" Target="https://sei.ufg.br/sei/controlador.php?acao=procedimento_trabalhar&amp;id_procedimento=3244042" TargetMode="External"/><Relationship Id="rId200" Type="http://schemas.openxmlformats.org/officeDocument/2006/relationships/hyperlink" Target="https://sei.ufg.br/sei/controlador.php?acao=procedimento_trabalhar&amp;id_procedimento=4716280" TargetMode="External"/><Relationship Id="rId321" Type="http://schemas.openxmlformats.org/officeDocument/2006/relationships/hyperlink" Target="https://sei.ufg.br/sei/controlador.php?acao=procedimento_trabalhar&amp;id_procedimento=3297288" TargetMode="External"/><Relationship Id="rId320" Type="http://schemas.openxmlformats.org/officeDocument/2006/relationships/hyperlink" Target="https://sei.ufg.br/sei/controlador.php?acao=procedimento_trabalhar&amp;id_procedimento=3309877" TargetMode="External"/><Relationship Id="rId316" Type="http://schemas.openxmlformats.org/officeDocument/2006/relationships/hyperlink" Target="https://sei.ufg.br/sei/controlador.php?acao=procedimento_trabalhar&amp;id_procedimento=3375065" TargetMode="External"/><Relationship Id="rId315" Type="http://schemas.openxmlformats.org/officeDocument/2006/relationships/hyperlink" Target="https://sei.ufg.br/sei/controlador.php?acao=procedimento_trabalhar&amp;id_procedimento=3270201" TargetMode="External"/><Relationship Id="rId314" Type="http://schemas.openxmlformats.org/officeDocument/2006/relationships/hyperlink" Target="https://sei.ufg.br/sei/controlador.php?acao=procedimento_trabalhar&amp;id_procedimento=3421560" TargetMode="External"/><Relationship Id="rId313" Type="http://schemas.openxmlformats.org/officeDocument/2006/relationships/hyperlink" Target="https://sei.ufg.br/sei/controlador.php?acao=procedimento_trabalhar&amp;id_procedimento=3415677" TargetMode="External"/><Relationship Id="rId319" Type="http://schemas.openxmlformats.org/officeDocument/2006/relationships/hyperlink" Target="https://sei.ufg.br/sei/controlador.php?acao=procedimento_trabalhar&amp;id_procedimento=3321627" TargetMode="External"/><Relationship Id="rId318" Type="http://schemas.openxmlformats.org/officeDocument/2006/relationships/hyperlink" Target="https://sei.ufg.br/sei/controlador.php?acao=procedimento_trabalhar&amp;id_procedimento=3318419" TargetMode="External"/><Relationship Id="rId317" Type="http://schemas.openxmlformats.org/officeDocument/2006/relationships/hyperlink" Target="https://sei.ufg.br/sei/controlador.php?acao=procedimento_trabalhar&amp;id_procedimento=3308518" TargetMode="External"/><Relationship Id="rId312" Type="http://schemas.openxmlformats.org/officeDocument/2006/relationships/hyperlink" Target="https://sei.ufg.br/sei/controlador.php?acao=procedimento_trabalhar&amp;id_procedimento=3439198" TargetMode="External"/><Relationship Id="rId311" Type="http://schemas.openxmlformats.org/officeDocument/2006/relationships/hyperlink" Target="https://sei.ufg.br/sei/controlador.php?acao=procedimento_trabalhar&amp;id_procedimento=3398243" TargetMode="External"/><Relationship Id="rId310" Type="http://schemas.openxmlformats.org/officeDocument/2006/relationships/hyperlink" Target="https://sei.ufg.br/sei/controlador.php?acao=procedimento_trabalhar&amp;id_procedimento=3430403" TargetMode="External"/></Relationships>
</file>

<file path=xl/worksheets/_rels/sheet2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sei.ufg.br/sei/controlador.php?acao=procedimento_trabalhar&amp;id_procedimento=6451233" TargetMode="External"/><Relationship Id="rId190" Type="http://schemas.openxmlformats.org/officeDocument/2006/relationships/hyperlink" Target="https://sei.ufg.br/sei/controlador.php?acao=procedimento_trabalhar&amp;id_procedimento=4683971" TargetMode="External"/><Relationship Id="rId42" Type="http://schemas.openxmlformats.org/officeDocument/2006/relationships/hyperlink" Target="https://sei.ufg.br/sei/controlador.php?acao=procedimento_trabalhar&amp;id_procedimento=6266456" TargetMode="External"/><Relationship Id="rId41" Type="http://schemas.openxmlformats.org/officeDocument/2006/relationships/hyperlink" Target="https://sei.ufg.br/sei/controlador.php?acao=procedimento_trabalhar&amp;id_procedimento=6236566" TargetMode="External"/><Relationship Id="rId44" Type="http://schemas.openxmlformats.org/officeDocument/2006/relationships/hyperlink" Target="https://sei.ufg.br/sei/controlador.php?acao=procedimento_trabalhar&amp;id_procedimento=6529340" TargetMode="External"/><Relationship Id="rId194" Type="http://schemas.openxmlformats.org/officeDocument/2006/relationships/hyperlink" Target="https://sei.ufg.br/sei/controlador.php?acao=procedimento_trabalhar&amp;id_procedimento=4737493" TargetMode="External"/><Relationship Id="rId43" Type="http://schemas.openxmlformats.org/officeDocument/2006/relationships/hyperlink" Target="https://sei.ufg.br/sei/controlador.php?acao=procedimento_trabalhar&amp;id_procedimento=6572935" TargetMode="External"/><Relationship Id="rId193" Type="http://schemas.openxmlformats.org/officeDocument/2006/relationships/hyperlink" Target="https://sei.ufg.br/sei/controlador.php?acao=procedimento_trabalhar&amp;id_procedimento=4014899" TargetMode="External"/><Relationship Id="rId46" Type="http://schemas.openxmlformats.org/officeDocument/2006/relationships/hyperlink" Target="https://sei.ufg.br/sei/controlador.php?acao=procedimento_trabalhar&amp;id_procedimento=6538215" TargetMode="External"/><Relationship Id="rId192" Type="http://schemas.openxmlformats.org/officeDocument/2006/relationships/hyperlink" Target="https://sei.ufg.br/sei/controlador.php?acao=procedimento_trabalhar&amp;id_procedimento=4691176" TargetMode="External"/><Relationship Id="rId45" Type="http://schemas.openxmlformats.org/officeDocument/2006/relationships/hyperlink" Target="https://sei.ufg.br/sei/controlador.php?acao=procedimento_trabalhar&amp;id_procedimento=6529177" TargetMode="External"/><Relationship Id="rId191" Type="http://schemas.openxmlformats.org/officeDocument/2006/relationships/hyperlink" Target="https://sei.ufg.br/sei/controlador.php?acao=procedimento_trabalhar&amp;id_procedimento=4691157" TargetMode="External"/><Relationship Id="rId48" Type="http://schemas.openxmlformats.org/officeDocument/2006/relationships/hyperlink" Target="https://sei.ufg.br/sei/controlador.php?acao=procedimento_trabalhar&amp;id_procedimento=6478736" TargetMode="External"/><Relationship Id="rId187" Type="http://schemas.openxmlformats.org/officeDocument/2006/relationships/hyperlink" Target="https://sei.ufg.br/sei/controlador.php?acao=procedimento_trabalhar&amp;id_procedimento=4817886" TargetMode="External"/><Relationship Id="rId47" Type="http://schemas.openxmlformats.org/officeDocument/2006/relationships/hyperlink" Target="https://sei.ufg.br/sei/controlador.php?acao=procedimento_trabalhar&amp;id_procedimento=6454682" TargetMode="External"/><Relationship Id="rId186" Type="http://schemas.openxmlformats.org/officeDocument/2006/relationships/hyperlink" Target="https://sei.ufg.br/sei/controlador.php?acao=procedimento_trabalhar&amp;id_procedimento=4769205" TargetMode="External"/><Relationship Id="rId185" Type="http://schemas.openxmlformats.org/officeDocument/2006/relationships/hyperlink" Target="https://sei.ufg.br/sei/controlador.php?acao=procedimento_trabalhar&amp;id_procedimento=4756760" TargetMode="External"/><Relationship Id="rId49" Type="http://schemas.openxmlformats.org/officeDocument/2006/relationships/hyperlink" Target="https://sei.ufg.br/sei/controlador.php?acao=procedimento_trabalhar&amp;id_procedimento=6484373" TargetMode="External"/><Relationship Id="rId184" Type="http://schemas.openxmlformats.org/officeDocument/2006/relationships/hyperlink" Target="https://sei.ufg.br/sei/controlador.php?acao=procedimento_trabalhar&amp;id_procedimento=4875180" TargetMode="External"/><Relationship Id="rId189" Type="http://schemas.openxmlformats.org/officeDocument/2006/relationships/hyperlink" Target="https://sei.ufg.br/sei/controlador.php?acao=procedimento_trabalhar&amp;id_procedimento=4717689" TargetMode="External"/><Relationship Id="rId188" Type="http://schemas.openxmlformats.org/officeDocument/2006/relationships/hyperlink" Target="https://sei.ufg.br/sei/controlador.php?acao=procedimento_trabalhar&amp;id_procedimento=4791078" TargetMode="External"/><Relationship Id="rId31" Type="http://schemas.openxmlformats.org/officeDocument/2006/relationships/hyperlink" Target="https://sei.ufg.br/sei/controlador.php?acao=procedimento_trabalhar&amp;id_procedimento=5356182" TargetMode="External"/><Relationship Id="rId30" Type="http://schemas.openxmlformats.org/officeDocument/2006/relationships/hyperlink" Target="https://sei.ufg.br/sei/controlador.php?acao=procedimento_trabalhar&amp;id_procedimento=5906634" TargetMode="External"/><Relationship Id="rId33" Type="http://schemas.openxmlformats.org/officeDocument/2006/relationships/hyperlink" Target="https://sei.ufg.br/sei/controlador.php?acao=procedimento_trabalhar&amp;id_procedimento=6601419" TargetMode="External"/><Relationship Id="rId183" Type="http://schemas.openxmlformats.org/officeDocument/2006/relationships/hyperlink" Target="https://sei.ufg.br/sei/controlador.php?acao=procedimento_trabalhar&amp;id_procedimento=3948877" TargetMode="External"/><Relationship Id="rId32" Type="http://schemas.openxmlformats.org/officeDocument/2006/relationships/hyperlink" Target="https://sei.ufg.br/sei/controlador.php?acao=procedimento_trabalhar&amp;id_procedimento=6563269" TargetMode="External"/><Relationship Id="rId182" Type="http://schemas.openxmlformats.org/officeDocument/2006/relationships/hyperlink" Target="https://sei.ufg.br/sei/controlador.php?acao=procedimento_trabalhar&amp;id_procedimento=4630539" TargetMode="External"/><Relationship Id="rId35" Type="http://schemas.openxmlformats.org/officeDocument/2006/relationships/hyperlink" Target="https://sei.ufg.br/sei/controlador.php?acao=procedimento_trabalhar&amp;id_procedimento=6590866" TargetMode="External"/><Relationship Id="rId181" Type="http://schemas.openxmlformats.org/officeDocument/2006/relationships/hyperlink" Target="https://sei.ufg.br/sei/controlador.php?acao=procedimento_trabalhar&amp;id_procedimento=4727394" TargetMode="External"/><Relationship Id="rId34" Type="http://schemas.openxmlformats.org/officeDocument/2006/relationships/hyperlink" Target="https://sei.ufg.br/sei/controlador.php?acao=procedimento_trabalhar&amp;id_procedimento=6593319" TargetMode="External"/><Relationship Id="rId180" Type="http://schemas.openxmlformats.org/officeDocument/2006/relationships/hyperlink" Target="https://sei.ufg.br/sei/controlador.php?acao=procedimento_trabalhar&amp;id_procedimento=3206730" TargetMode="External"/><Relationship Id="rId37" Type="http://schemas.openxmlformats.org/officeDocument/2006/relationships/hyperlink" Target="https://sei.ufg.br/sei/controlador.php?acao=procedimento_trabalhar&amp;id_procedimento=6576337" TargetMode="External"/><Relationship Id="rId176" Type="http://schemas.openxmlformats.org/officeDocument/2006/relationships/hyperlink" Target="https://sei.ufg.br/sei/controlador.php?acao=procedimento_trabalhar&amp;id_procedimento=5014942" TargetMode="External"/><Relationship Id="rId297" Type="http://schemas.openxmlformats.org/officeDocument/2006/relationships/hyperlink" Target="https://sei.ufg.br/sei/controlador.php?acao=procedimento_trabalhar&amp;id_procedimento=3180116" TargetMode="External"/><Relationship Id="rId36" Type="http://schemas.openxmlformats.org/officeDocument/2006/relationships/hyperlink" Target="https://sei.ufg.br/sei/controlador.php?acao=procedimento_trabalhar&amp;id_procedimento=5718704" TargetMode="External"/><Relationship Id="rId175" Type="http://schemas.openxmlformats.org/officeDocument/2006/relationships/hyperlink" Target="https://sei.ufg.br/sei/controlador.php?acao=procedimento_trabalhar&amp;id_procedimento=5033896" TargetMode="External"/><Relationship Id="rId296" Type="http://schemas.openxmlformats.org/officeDocument/2006/relationships/hyperlink" Target="https://sei.ufg.br/sei/controlador.php?acao=procedimento_trabalhar&amp;id_procedimento=3516816" TargetMode="External"/><Relationship Id="rId39" Type="http://schemas.openxmlformats.org/officeDocument/2006/relationships/hyperlink" Target="https://sei.ufg.br/sei/controlador.php?acao=procedimento_trabalhar&amp;id_procedimento=6454758" TargetMode="External"/><Relationship Id="rId174" Type="http://schemas.openxmlformats.org/officeDocument/2006/relationships/hyperlink" Target="https://sei.ufg.br/sei/controlador.php?acao=procedimento_trabalhar&amp;id_procedimento=5027405" TargetMode="External"/><Relationship Id="rId295" Type="http://schemas.openxmlformats.org/officeDocument/2006/relationships/hyperlink" Target="https://sei.ufg.br/sei/controlador.php?acao=procedimento_trabalhar&amp;id_procedimento=4462091" TargetMode="External"/><Relationship Id="rId38" Type="http://schemas.openxmlformats.org/officeDocument/2006/relationships/hyperlink" Target="https://sei.ufg.br/sei/controlador.php?acao=procedimento_trabalhar&amp;id_procedimento=5292043" TargetMode="External"/><Relationship Id="rId173" Type="http://schemas.openxmlformats.org/officeDocument/2006/relationships/hyperlink" Target="https://sei.ufg.br/sei/controlador.php?acao=procedimento_trabalhar&amp;id_procedimento=5056740" TargetMode="External"/><Relationship Id="rId294" Type="http://schemas.openxmlformats.org/officeDocument/2006/relationships/hyperlink" Target="https://sei.ufg.br/sei/controlador.php?acao=procedimento_trabalhar&amp;id_procedimento=3539505" TargetMode="External"/><Relationship Id="rId179" Type="http://schemas.openxmlformats.org/officeDocument/2006/relationships/hyperlink" Target="https://sei.ufg.br/sei/controlador.php?acao=procedimento_trabalhar&amp;id_procedimento=4897756" TargetMode="External"/><Relationship Id="rId178" Type="http://schemas.openxmlformats.org/officeDocument/2006/relationships/hyperlink" Target="https://sei.ufg.br/sei/controlador.php?acao=procedimento_trabalhar&amp;id_procedimento=4950836" TargetMode="External"/><Relationship Id="rId299" Type="http://schemas.openxmlformats.org/officeDocument/2006/relationships/hyperlink" Target="https://sei.ufg.br/sei/controlador.php?acao=procedimento_trabalhar&amp;id_procedimento=3195644" TargetMode="External"/><Relationship Id="rId177" Type="http://schemas.openxmlformats.org/officeDocument/2006/relationships/hyperlink" Target="https://sei.ufg.br/sei/controlador.php?acao=procedimento_trabalhar&amp;id_procedimento=5006734" TargetMode="External"/><Relationship Id="rId298" Type="http://schemas.openxmlformats.org/officeDocument/2006/relationships/hyperlink" Target="https://sei.ufg.br/sei/controlador.php?acao=procedimento_trabalhar&amp;id_procedimento=3398065" TargetMode="External"/><Relationship Id="rId20" Type="http://schemas.openxmlformats.org/officeDocument/2006/relationships/hyperlink" Target="https://sei.ufg.br/sei/controlador.php?acao=procedimento_trabalhar&amp;id_procedimento=6656594" TargetMode="External"/><Relationship Id="rId22" Type="http://schemas.openxmlformats.org/officeDocument/2006/relationships/hyperlink" Target="https://sei.ufg.br/sei/controlador.php?acao=procedimento_trabalhar&amp;id_procedimento=4703689" TargetMode="External"/><Relationship Id="rId21" Type="http://schemas.openxmlformats.org/officeDocument/2006/relationships/hyperlink" Target="https://sei.ufg.br/sei/controlador.php?acao=procedimento_trabalhar&amp;id_procedimento=6633519" TargetMode="External"/><Relationship Id="rId24" Type="http://schemas.openxmlformats.org/officeDocument/2006/relationships/hyperlink" Target="https://sei.ufg.br/sei/controlador.php?acao=procedimento_trabalhar&amp;id_procedimento=6617411" TargetMode="External"/><Relationship Id="rId23" Type="http://schemas.openxmlformats.org/officeDocument/2006/relationships/hyperlink" Target="https://sei.ufg.br/sei/controlador.php?acao=procedimento_trabalhar&amp;id_procedimento=6620823" TargetMode="External"/><Relationship Id="rId26" Type="http://schemas.openxmlformats.org/officeDocument/2006/relationships/hyperlink" Target="https://sei.ufg.br/sei/controlador.php?acao=procedimento_trabalhar&amp;id_procedimento=6609224" TargetMode="External"/><Relationship Id="rId25" Type="http://schemas.openxmlformats.org/officeDocument/2006/relationships/hyperlink" Target="https://sei.ufg.br/sei/controlador.php?acao=procedimento_trabalhar&amp;id_procedimento=6612466" TargetMode="External"/><Relationship Id="rId28" Type="http://schemas.openxmlformats.org/officeDocument/2006/relationships/hyperlink" Target="https://sei.ufg.br/sei/controlador.php?acao=procedimento_trabalhar&amp;id_procedimento=6603849" TargetMode="External"/><Relationship Id="rId27" Type="http://schemas.openxmlformats.org/officeDocument/2006/relationships/hyperlink" Target="https://sei.ufg.br/sei/controlador.php?acao=procedimento_trabalhar&amp;id_procedimento=6580371" TargetMode="External"/><Relationship Id="rId29" Type="http://schemas.openxmlformats.org/officeDocument/2006/relationships/hyperlink" Target="https://sei.ufg.br/sei/controlador.php?acao=procedimento_trabalhar&amp;id_procedimento=6358369" TargetMode="External"/><Relationship Id="rId11" Type="http://schemas.openxmlformats.org/officeDocument/2006/relationships/hyperlink" Target="https://sei.ufg.br/sei/controlador.php?acao=procedimento_trabalhar&amp;id_procedimento=6714397" TargetMode="External"/><Relationship Id="rId10" Type="http://schemas.openxmlformats.org/officeDocument/2006/relationships/hyperlink" Target="https://sei.ufg.br/sei/controlador.php?acao=procedimento_trabalhar&amp;id_procedimento=6722434" TargetMode="External"/><Relationship Id="rId13" Type="http://schemas.openxmlformats.org/officeDocument/2006/relationships/hyperlink" Target="https://sei.ufg.br/sei/controlador.php?acao=procedimento_trabalhar&amp;id_procedimento=6693705" TargetMode="External"/><Relationship Id="rId12" Type="http://schemas.openxmlformats.org/officeDocument/2006/relationships/hyperlink" Target="https://sei.ufg.br/sei/controlador.php?acao=procedimento_trabalhar&amp;id_procedimento=6689044" TargetMode="External"/><Relationship Id="rId15" Type="http://schemas.openxmlformats.org/officeDocument/2006/relationships/hyperlink" Target="https://sei.ufg.br/sei/controlador.php?acao=procedimento_trabalhar&amp;id_procedimento=6658334" TargetMode="External"/><Relationship Id="rId198" Type="http://schemas.openxmlformats.org/officeDocument/2006/relationships/hyperlink" Target="https://sei.ufg.br/sei/controlador.php?acao=procedimento_trabalhar&amp;id_procedimento=4647463" TargetMode="External"/><Relationship Id="rId14" Type="http://schemas.openxmlformats.org/officeDocument/2006/relationships/hyperlink" Target="https://sei.ufg.br/sei/controlador.php?acao=procedimento_trabalhar&amp;id_procedimento=6693576" TargetMode="External"/><Relationship Id="rId197" Type="http://schemas.openxmlformats.org/officeDocument/2006/relationships/hyperlink" Target="https://sei.ufg.br/sei/controlador.php?acao=procedimento_trabalhar&amp;id_procedimento=4716280" TargetMode="External"/><Relationship Id="rId17" Type="http://schemas.openxmlformats.org/officeDocument/2006/relationships/hyperlink" Target="https://sei.ufg.br/sei/controlador.php?acao=procedimento_trabalhar&amp;id_procedimento=6660527" TargetMode="External"/><Relationship Id="rId196" Type="http://schemas.openxmlformats.org/officeDocument/2006/relationships/hyperlink" Target="https://sei.ufg.br/sei/controlador.php?acao=procedimento_trabalhar&amp;id_procedimento=4718878" TargetMode="External"/><Relationship Id="rId16" Type="http://schemas.openxmlformats.org/officeDocument/2006/relationships/hyperlink" Target="https://sei.ufg.br/sei/controlador.php?acao=procedimento_trabalhar&amp;id_procedimento=6649999" TargetMode="External"/><Relationship Id="rId195" Type="http://schemas.openxmlformats.org/officeDocument/2006/relationships/hyperlink" Target="https://sei.ufg.br/sei/controlador.php?acao=procedimento_trabalhar&amp;id_procedimento=4722735" TargetMode="External"/><Relationship Id="rId19" Type="http://schemas.openxmlformats.org/officeDocument/2006/relationships/hyperlink" Target="https://sei.ufg.br/sei/controlador.php?acao=procedimento_trabalhar&amp;id_procedimento=6656415" TargetMode="External"/><Relationship Id="rId18" Type="http://schemas.openxmlformats.org/officeDocument/2006/relationships/hyperlink" Target="https://sei.ufg.br/sei/controlador.php?acao=procedimento_trabalhar&amp;id_procedimento=6658657" TargetMode="External"/><Relationship Id="rId199" Type="http://schemas.openxmlformats.org/officeDocument/2006/relationships/hyperlink" Target="https://sei.ufg.br/sei/controlador.php?acao=procedimento_trabalhar&amp;id_procedimento=4658739" TargetMode="External"/><Relationship Id="rId84" Type="http://schemas.openxmlformats.org/officeDocument/2006/relationships/hyperlink" Target="https://sei.ufg.br/sei/controlador.php?acao=procedimento_trabalhar&amp;id_procedimento=5389392" TargetMode="External"/><Relationship Id="rId83" Type="http://schemas.openxmlformats.org/officeDocument/2006/relationships/hyperlink" Target="https://sei.ufg.br/sei/controlador.php?acao=procedimento_trabalhar&amp;id_procedimento=3206730" TargetMode="External"/><Relationship Id="rId86" Type="http://schemas.openxmlformats.org/officeDocument/2006/relationships/hyperlink" Target="https://sei.ufg.br/sei/controlador.php?acao=procedimento_trabalhar&amp;id_procedimento=5711333" TargetMode="External"/><Relationship Id="rId85" Type="http://schemas.openxmlformats.org/officeDocument/2006/relationships/hyperlink" Target="https://sei.ufg.br/sei/controlador.php?acao=procedimento_trabalhar&amp;id_procedimento=5985243" TargetMode="External"/><Relationship Id="rId88" Type="http://schemas.openxmlformats.org/officeDocument/2006/relationships/hyperlink" Target="https://sei.ufg.br/sei/controlador.php?acao=procedimento_trabalhar&amp;id_procedimento=6034301" TargetMode="External"/><Relationship Id="rId150" Type="http://schemas.openxmlformats.org/officeDocument/2006/relationships/hyperlink" Target="https://sei.ufg.br/sei/controlador.php?acao=procedimento_trabalhar&amp;id_procedimento=5270130" TargetMode="External"/><Relationship Id="rId271" Type="http://schemas.openxmlformats.org/officeDocument/2006/relationships/hyperlink" Target="https://sei.ufg.br/sei/controlador.php?acao=procedimento_trabalhar&amp;id_procedimento=3387260" TargetMode="External"/><Relationship Id="rId87" Type="http://schemas.openxmlformats.org/officeDocument/2006/relationships/hyperlink" Target="https://sei.ufg.br/sei/controlador.php?acao=procedimento_trabalhar&amp;id_procedimento=6035267" TargetMode="External"/><Relationship Id="rId270" Type="http://schemas.openxmlformats.org/officeDocument/2006/relationships/hyperlink" Target="https://sei.ufg.br/sei/controlador.php?acao=procedimento_trabalhar&amp;id_procedimento=3883221" TargetMode="External"/><Relationship Id="rId89" Type="http://schemas.openxmlformats.org/officeDocument/2006/relationships/hyperlink" Target="https://sei.ufg.br/sei/controlador.php?acao=procedimento_trabalhar&amp;id_procedimento=6022339" TargetMode="External"/><Relationship Id="rId80" Type="http://schemas.openxmlformats.org/officeDocument/2006/relationships/hyperlink" Target="https://sei.ufg.br/sei/controlador.php?acao=procedimento_trabalhar&amp;id_procedimento=6116938" TargetMode="External"/><Relationship Id="rId82" Type="http://schemas.openxmlformats.org/officeDocument/2006/relationships/hyperlink" Target="https://sei.ufg.br/sei/controlador.php?acao=procedimento_trabalhar&amp;id_procedimento=5277007" TargetMode="External"/><Relationship Id="rId81" Type="http://schemas.openxmlformats.org/officeDocument/2006/relationships/hyperlink" Target="https://sei.ufg.br/sei/controlador.php?acao=procedimento_trabalhar&amp;id_procedimento=6124709" TargetMode="External"/><Relationship Id="rId1" Type="http://schemas.openxmlformats.org/officeDocument/2006/relationships/hyperlink" Target="https://sei.ufg.br/sei/controlador.php?acao=procedimento_trabalhar&amp;id_procedimento=6797986" TargetMode="External"/><Relationship Id="rId2" Type="http://schemas.openxmlformats.org/officeDocument/2006/relationships/hyperlink" Target="https://sei.ufg.br/sei/controlador.php?acao=procedimento_trabalhar&amp;id_procedimento=6798371" TargetMode="External"/><Relationship Id="rId3" Type="http://schemas.openxmlformats.org/officeDocument/2006/relationships/hyperlink" Target="https://sei.ufg.br/sei/controlador.php?acao=procedimento_trabalhar&amp;id_procedimento=6772514" TargetMode="External"/><Relationship Id="rId149" Type="http://schemas.openxmlformats.org/officeDocument/2006/relationships/hyperlink" Target="https://sei.ufg.br/sei/controlador.php?acao=procedimento_trabalhar&amp;id_procedimento=5262469" TargetMode="External"/><Relationship Id="rId4" Type="http://schemas.openxmlformats.org/officeDocument/2006/relationships/hyperlink" Target="https://sei.ufg.br/sei/controlador.php?acao=procedimento_trabalhar&amp;id_procedimento=6728273" TargetMode="External"/><Relationship Id="rId148" Type="http://schemas.openxmlformats.org/officeDocument/2006/relationships/hyperlink" Target="https://sei.ufg.br/sei/controlador.php?acao=procedimento_trabalhar&amp;id_procedimento=5271254" TargetMode="External"/><Relationship Id="rId269" Type="http://schemas.openxmlformats.org/officeDocument/2006/relationships/hyperlink" Target="https://sei.ufg.br/sei/controlador.php?acao=procedimento_trabalhar&amp;id_procedimento=3869881" TargetMode="External"/><Relationship Id="rId9" Type="http://schemas.openxmlformats.org/officeDocument/2006/relationships/hyperlink" Target="https://sei.ufg.br/sei/controlador.php?acao=procedimento_trabalhar&amp;id_procedimento=6430245" TargetMode="External"/><Relationship Id="rId143" Type="http://schemas.openxmlformats.org/officeDocument/2006/relationships/hyperlink" Target="https://sei.ufg.br/sei/controlador.php?acao=procedimento_trabalhar&amp;id_procedimento=5212561" TargetMode="External"/><Relationship Id="rId264" Type="http://schemas.openxmlformats.org/officeDocument/2006/relationships/hyperlink" Target="https://sei.ufg.br/sei/controlador.php?acao=procedimento_trabalhar&amp;id_procedimento=3975264" TargetMode="External"/><Relationship Id="rId142" Type="http://schemas.openxmlformats.org/officeDocument/2006/relationships/hyperlink" Target="https://sei.ufg.br/sei/controlador.php?acao=procedimento_trabalhar&amp;id_procedimento=5226627" TargetMode="External"/><Relationship Id="rId263" Type="http://schemas.openxmlformats.org/officeDocument/2006/relationships/hyperlink" Target="https://sei.ufg.br/sei/controlador.php?acao=procedimento_trabalhar&amp;id_procedimento=3978666" TargetMode="External"/><Relationship Id="rId141" Type="http://schemas.openxmlformats.org/officeDocument/2006/relationships/hyperlink" Target="https://sei.ufg.br/sei/controlador.php?acao=procedimento_trabalhar&amp;id_procedimento=5234059" TargetMode="External"/><Relationship Id="rId262" Type="http://schemas.openxmlformats.org/officeDocument/2006/relationships/hyperlink" Target="https://sei.ufg.br/sei/controlador.php?acao=procedimento_trabalhar&amp;id_procedimento=3992739" TargetMode="External"/><Relationship Id="rId140" Type="http://schemas.openxmlformats.org/officeDocument/2006/relationships/hyperlink" Target="https://sei.ufg.br/sei/controlador.php?acao=procedimento_trabalhar&amp;id_procedimento=5218362" TargetMode="External"/><Relationship Id="rId261" Type="http://schemas.openxmlformats.org/officeDocument/2006/relationships/hyperlink" Target="https://sei.ufg.br/sei/controlador.php?acao=procedimento_trabalhar&amp;id_procedimento=4022477" TargetMode="External"/><Relationship Id="rId5" Type="http://schemas.openxmlformats.org/officeDocument/2006/relationships/hyperlink" Target="https://sei.ufg.br/sei/controlador.php?acao=procedimento_trabalhar&amp;id_procedimento=6759957" TargetMode="External"/><Relationship Id="rId147" Type="http://schemas.openxmlformats.org/officeDocument/2006/relationships/hyperlink" Target="https://sei.ufg.br/sei/controlador.php?acao=procedimento_trabalhar&amp;id_procedimento=5273144" TargetMode="External"/><Relationship Id="rId268" Type="http://schemas.openxmlformats.org/officeDocument/2006/relationships/hyperlink" Target="https://sei.ufg.br/sei/controlador.php?acao=procedimento_trabalhar&amp;id_procedimento=3895886" TargetMode="External"/><Relationship Id="rId6" Type="http://schemas.openxmlformats.org/officeDocument/2006/relationships/hyperlink" Target="https://sei.ufg.br/sei/controlador.php?acao=procedimento_trabalhar&amp;id_procedimento=6738059" TargetMode="External"/><Relationship Id="rId146" Type="http://schemas.openxmlformats.org/officeDocument/2006/relationships/hyperlink" Target="https://sei.ufg.br/sei/controlador.php?acao=procedimento_trabalhar&amp;id_procedimento=4660417" TargetMode="External"/><Relationship Id="rId267" Type="http://schemas.openxmlformats.org/officeDocument/2006/relationships/hyperlink" Target="https://sei.ufg.br/sei/controlador.php?acao=procedimento_trabalhar&amp;id_procedimento=3879702" TargetMode="External"/><Relationship Id="rId7" Type="http://schemas.openxmlformats.org/officeDocument/2006/relationships/hyperlink" Target="https://sei.ufg.br/sei/controlador.php?acao=procedimento_trabalhar&amp;id_procedimento=5584851" TargetMode="External"/><Relationship Id="rId145" Type="http://schemas.openxmlformats.org/officeDocument/2006/relationships/hyperlink" Target="https://sei.ufg.br/sei/controlador.php?acao=procedimento_trabalhar&amp;id_procedimento=4897785" TargetMode="External"/><Relationship Id="rId266" Type="http://schemas.openxmlformats.org/officeDocument/2006/relationships/hyperlink" Target="https://sei.ufg.br/sei/controlador.php?acao=procedimento_trabalhar&amp;id_procedimento=3933843" TargetMode="External"/><Relationship Id="rId8" Type="http://schemas.openxmlformats.org/officeDocument/2006/relationships/hyperlink" Target="https://sei.ufg.br/sei/controlador.php?acao=procedimento_trabalhar&amp;id_procedimento=6677453" TargetMode="External"/><Relationship Id="rId144" Type="http://schemas.openxmlformats.org/officeDocument/2006/relationships/hyperlink" Target="https://sei.ufg.br/sei/controlador.php?acao=procedimento_trabalhar&amp;id_procedimento=5137757" TargetMode="External"/><Relationship Id="rId265" Type="http://schemas.openxmlformats.org/officeDocument/2006/relationships/hyperlink" Target="https://sei.ufg.br/sei/controlador.php?acao=procedimento_trabalhar&amp;id_procedimento=3829000" TargetMode="External"/><Relationship Id="rId73" Type="http://schemas.openxmlformats.org/officeDocument/2006/relationships/hyperlink" Target="https://sei.ufg.br/sei/controlador.php?acao=procedimento_trabalhar&amp;id_procedimento=6206612" TargetMode="External"/><Relationship Id="rId72" Type="http://schemas.openxmlformats.org/officeDocument/2006/relationships/hyperlink" Target="https://sei.ufg.br/sei/controlador.php?acao=procedimento_trabalhar&amp;id_procedimento=6179230" TargetMode="External"/><Relationship Id="rId75" Type="http://schemas.openxmlformats.org/officeDocument/2006/relationships/hyperlink" Target="https://sei.ufg.br/sei/controlador.php?acao=procedimento_trabalhar&amp;id_procedimento=6152687" TargetMode="External"/><Relationship Id="rId74" Type="http://schemas.openxmlformats.org/officeDocument/2006/relationships/hyperlink" Target="https://sei.ufg.br/sei/controlador.php?acao=procedimento_trabalhar&amp;id_procedimento=6095915" TargetMode="External"/><Relationship Id="rId77" Type="http://schemas.openxmlformats.org/officeDocument/2006/relationships/hyperlink" Target="https://sei.ufg.br/sei/controlador.php?acao=procedimento_trabalhar&amp;id_procedimento=6143255" TargetMode="External"/><Relationship Id="rId260" Type="http://schemas.openxmlformats.org/officeDocument/2006/relationships/hyperlink" Target="https://sei.ufg.br/sei/controlador.php?acao=procedimento_trabalhar&amp;id_procedimento=3894610" TargetMode="External"/><Relationship Id="rId76" Type="http://schemas.openxmlformats.org/officeDocument/2006/relationships/hyperlink" Target="https://sei.ufg.br/sei/controlador.php?acao=procedimento_trabalhar&amp;id_procedimento=6143441" TargetMode="External"/><Relationship Id="rId79" Type="http://schemas.openxmlformats.org/officeDocument/2006/relationships/hyperlink" Target="https://sei.ufg.br/sei/controlador.php?acao=procedimento_trabalhar&amp;id_procedimento=6135359" TargetMode="External"/><Relationship Id="rId78" Type="http://schemas.openxmlformats.org/officeDocument/2006/relationships/hyperlink" Target="https://sei.ufg.br/sei/controlador.php?acao=procedimento_trabalhar&amp;id_procedimento=6158799" TargetMode="External"/><Relationship Id="rId71" Type="http://schemas.openxmlformats.org/officeDocument/2006/relationships/hyperlink" Target="https://sei.ufg.br/sei/controlador.php?acao=procedimento_trabalhar&amp;id_procedimento=6174719" TargetMode="External"/><Relationship Id="rId70" Type="http://schemas.openxmlformats.org/officeDocument/2006/relationships/hyperlink" Target="https://sei.ufg.br/sei/controlador.php?acao=procedimento_trabalhar&amp;id_procedimento=6226618" TargetMode="External"/><Relationship Id="rId139" Type="http://schemas.openxmlformats.org/officeDocument/2006/relationships/hyperlink" Target="https://sei.ufg.br/sei/controlador.php?acao=procedimento_trabalhar&amp;id_procedimento=5221897" TargetMode="External"/><Relationship Id="rId138" Type="http://schemas.openxmlformats.org/officeDocument/2006/relationships/hyperlink" Target="https://sei.ufg.br/sei/controlador.php?acao=procedimento_trabalhar&amp;id_procedimento=4736361" TargetMode="External"/><Relationship Id="rId259" Type="http://schemas.openxmlformats.org/officeDocument/2006/relationships/hyperlink" Target="https://sei.ufg.br/sei/controlador.php?acao=procedimento_trabalhar&amp;id_procedimento=4010329" TargetMode="External"/><Relationship Id="rId137" Type="http://schemas.openxmlformats.org/officeDocument/2006/relationships/hyperlink" Target="https://sei.ufg.br/sei/controlador.php?acao=procedimento_trabalhar&amp;id_procedimento=5289299" TargetMode="External"/><Relationship Id="rId258" Type="http://schemas.openxmlformats.org/officeDocument/2006/relationships/hyperlink" Target="https://sei.ufg.br/sei/controlador.php?acao=procedimento_trabalhar&amp;id_procedimento=4032245" TargetMode="External"/><Relationship Id="rId132" Type="http://schemas.openxmlformats.org/officeDocument/2006/relationships/hyperlink" Target="https://sei.ufg.br/sei/controlador.php?acao=procedimento_trabalhar&amp;id_procedimento=1291676" TargetMode="External"/><Relationship Id="rId253" Type="http://schemas.openxmlformats.org/officeDocument/2006/relationships/hyperlink" Target="https://sei.ufg.br/sei/controlador.php?acao=procedimento_trabalhar&amp;id_procedimento=4106485" TargetMode="External"/><Relationship Id="rId131" Type="http://schemas.openxmlformats.org/officeDocument/2006/relationships/hyperlink" Target="https://sei.ufg.br/sei/controlador.php?acao=procedimento_trabalhar&amp;id_procedimento=5384140" TargetMode="External"/><Relationship Id="rId252" Type="http://schemas.openxmlformats.org/officeDocument/2006/relationships/hyperlink" Target="https://sei.ufg.br/sei/controlador.php?acao=procedimento_trabalhar&amp;id_procedimento=4106362" TargetMode="External"/><Relationship Id="rId130" Type="http://schemas.openxmlformats.org/officeDocument/2006/relationships/hyperlink" Target="https://sei.ufg.br/sei/controlador.php?acao=procedimento_trabalhar&amp;id_procedimento=5347542" TargetMode="External"/><Relationship Id="rId251" Type="http://schemas.openxmlformats.org/officeDocument/2006/relationships/hyperlink" Target="https://sei.ufg.br/sei/controlador.php?acao=procedimento_trabalhar&amp;id_procedimento=4104869" TargetMode="External"/><Relationship Id="rId250" Type="http://schemas.openxmlformats.org/officeDocument/2006/relationships/hyperlink" Target="https://sei.ufg.br/sei/controlador.php?acao=procedimento_trabalhar&amp;id_procedimento=4076188" TargetMode="External"/><Relationship Id="rId136" Type="http://schemas.openxmlformats.org/officeDocument/2006/relationships/hyperlink" Target="https://sei.ufg.br/sei/controlador.php?acao=procedimento_trabalhar&amp;id_procedimento=5192133" TargetMode="External"/><Relationship Id="rId257" Type="http://schemas.openxmlformats.org/officeDocument/2006/relationships/hyperlink" Target="https://sei.ufg.br/sei/controlador.php?acao=procedimento_trabalhar&amp;id_procedimento=4071995" TargetMode="External"/><Relationship Id="rId135" Type="http://schemas.openxmlformats.org/officeDocument/2006/relationships/hyperlink" Target="https://sei.ufg.br/sei/controlador.php?acao=procedimento_trabalhar&amp;id_procedimento=5340245" TargetMode="External"/><Relationship Id="rId256" Type="http://schemas.openxmlformats.org/officeDocument/2006/relationships/hyperlink" Target="https://sei.ufg.br/sei/controlador.php?acao=procedimento_trabalhar&amp;id_procedimento=4087983" TargetMode="External"/><Relationship Id="rId134" Type="http://schemas.openxmlformats.org/officeDocument/2006/relationships/hyperlink" Target="https://sei.ufg.br/sei/controlador.php?acao=procedimento_trabalhar&amp;id_procedimento=5347229" TargetMode="External"/><Relationship Id="rId255" Type="http://schemas.openxmlformats.org/officeDocument/2006/relationships/hyperlink" Target="https://sei.ufg.br/sei/controlador.php?acao=procedimento_trabalhar&amp;id_procedimento=3894610" TargetMode="External"/><Relationship Id="rId133" Type="http://schemas.openxmlformats.org/officeDocument/2006/relationships/hyperlink" Target="https://sei.ufg.br/sei/controlador.php?acao=procedimento_trabalhar&amp;id_procedimento=5366509" TargetMode="External"/><Relationship Id="rId254" Type="http://schemas.openxmlformats.org/officeDocument/2006/relationships/hyperlink" Target="https://sei.ufg.br/sei/controlador.php?acao=procedimento_trabalhar&amp;id_procedimento=3172207" TargetMode="External"/><Relationship Id="rId62" Type="http://schemas.openxmlformats.org/officeDocument/2006/relationships/hyperlink" Target="https://sei.ufg.br/sei/controlador.php?acao=procedimento_trabalhar&amp;id_procedimento=6242832" TargetMode="External"/><Relationship Id="rId61" Type="http://schemas.openxmlformats.org/officeDocument/2006/relationships/hyperlink" Target="https://sei.ufg.br/sei/controlador.php?acao=procedimento_trabalhar&amp;id_procedimento=6243403" TargetMode="External"/><Relationship Id="rId64" Type="http://schemas.openxmlformats.org/officeDocument/2006/relationships/hyperlink" Target="https://sei.ufg.br/sei/controlador.php?acao=procedimento_trabalhar&amp;id_procedimento=6310817" TargetMode="External"/><Relationship Id="rId63" Type="http://schemas.openxmlformats.org/officeDocument/2006/relationships/hyperlink" Target="https://sei.ufg.br/sei/controlador.php?acao=procedimento_trabalhar&amp;id_procedimento=6281263" TargetMode="External"/><Relationship Id="rId66" Type="http://schemas.openxmlformats.org/officeDocument/2006/relationships/hyperlink" Target="https://sei.ufg.br/sei/controlador.php?acao=procedimento_trabalhar&amp;id_procedimento=5999216" TargetMode="External"/><Relationship Id="rId172" Type="http://schemas.openxmlformats.org/officeDocument/2006/relationships/hyperlink" Target="https://sei.ufg.br/sei/controlador.php?acao=procedimento_trabalhar&amp;id_procedimento=5070298" TargetMode="External"/><Relationship Id="rId293" Type="http://schemas.openxmlformats.org/officeDocument/2006/relationships/hyperlink" Target="https://sei.ufg.br/sei/controlador.php?acao=procedimento_trabalhar&amp;id_procedimento=3492377" TargetMode="External"/><Relationship Id="rId65" Type="http://schemas.openxmlformats.org/officeDocument/2006/relationships/hyperlink" Target="https://sei.ufg.br/sei/controlador.php?acao=procedimento_trabalhar&amp;id_procedimento=3334102" TargetMode="External"/><Relationship Id="rId171" Type="http://schemas.openxmlformats.org/officeDocument/2006/relationships/hyperlink" Target="https://sei.ufg.br/sei/controlador.php?acao=procedimento_trabalhar&amp;id_procedimento=5070298" TargetMode="External"/><Relationship Id="rId292" Type="http://schemas.openxmlformats.org/officeDocument/2006/relationships/hyperlink" Target="https://sei.ufg.br/sei/controlador.php?acao=procedimento_trabalhar&amp;id_procedimento=3182904" TargetMode="External"/><Relationship Id="rId68" Type="http://schemas.openxmlformats.org/officeDocument/2006/relationships/hyperlink" Target="https://sei.ufg.br/sei/controlador.php?acao=procedimento_trabalhar&amp;id_procedimento=6229474" TargetMode="External"/><Relationship Id="rId170" Type="http://schemas.openxmlformats.org/officeDocument/2006/relationships/hyperlink" Target="https://sei.ufg.br/sei/controlador.php?acao=procedimento_trabalhar&amp;id_procedimento=4012599" TargetMode="External"/><Relationship Id="rId291" Type="http://schemas.openxmlformats.org/officeDocument/2006/relationships/hyperlink" Target="https://sei.ufg.br/sei/controlador.php?acao=procedimento_trabalhar&amp;id_procedimento=3195987" TargetMode="External"/><Relationship Id="rId67" Type="http://schemas.openxmlformats.org/officeDocument/2006/relationships/hyperlink" Target="https://sei.ufg.br/sei/controlador.php?acao=procedimento_trabalhar&amp;id_procedimento=6194363" TargetMode="External"/><Relationship Id="rId290" Type="http://schemas.openxmlformats.org/officeDocument/2006/relationships/hyperlink" Target="https://sei.ufg.br/sei/controlador.php?acao=procedimento_trabalhar&amp;id_procedimento=3185489" TargetMode="External"/><Relationship Id="rId60" Type="http://schemas.openxmlformats.org/officeDocument/2006/relationships/hyperlink" Target="https://sei.ufg.br/sei/controlador.php?acao=procedimento_trabalhar&amp;id_procedimento=6228776" TargetMode="External"/><Relationship Id="rId165" Type="http://schemas.openxmlformats.org/officeDocument/2006/relationships/hyperlink" Target="https://sei.ufg.br/sei/controlador.php?acao=procedimento_trabalhar&amp;id_procedimento=5162842" TargetMode="External"/><Relationship Id="rId286" Type="http://schemas.openxmlformats.org/officeDocument/2006/relationships/hyperlink" Target="https://sei.ufg.br/sei/controlador.php?acao=procedimento_trabalhar&amp;id_procedimento=3677087" TargetMode="External"/><Relationship Id="rId69" Type="http://schemas.openxmlformats.org/officeDocument/2006/relationships/hyperlink" Target="https://sei.ufg.br/sei/controlador.php?acao=procedimento_trabalhar&amp;id_procedimento=5367247" TargetMode="External"/><Relationship Id="rId164" Type="http://schemas.openxmlformats.org/officeDocument/2006/relationships/hyperlink" Target="https://sei.ufg.br/sei/controlador.php?acao=procedimento_trabalhar&amp;id_procedimento=4907603" TargetMode="External"/><Relationship Id="rId285" Type="http://schemas.openxmlformats.org/officeDocument/2006/relationships/hyperlink" Target="https://sei.ufg.br/sei/controlador.php?acao=procedimento_trabalhar&amp;id_procedimento=3707748" TargetMode="External"/><Relationship Id="rId163" Type="http://schemas.openxmlformats.org/officeDocument/2006/relationships/hyperlink" Target="https://sei.ufg.br/sei/controlador.php?acao=procedimento_trabalhar&amp;id_procedimento=4962023" TargetMode="External"/><Relationship Id="rId284" Type="http://schemas.openxmlformats.org/officeDocument/2006/relationships/hyperlink" Target="https://sei.ufg.br/sei/controlador.php?acao=procedimento_trabalhar&amp;id_procedimento=3731009" TargetMode="External"/><Relationship Id="rId162" Type="http://schemas.openxmlformats.org/officeDocument/2006/relationships/hyperlink" Target="https://sei.ufg.br/sei/controlador.php?acao=procedimento_trabalhar&amp;id_procedimento=4883760" TargetMode="External"/><Relationship Id="rId283" Type="http://schemas.openxmlformats.org/officeDocument/2006/relationships/hyperlink" Target="https://sei.ufg.br/sei/controlador.php?acao=procedimento_trabalhar&amp;id_procedimento=3734491" TargetMode="External"/><Relationship Id="rId169" Type="http://schemas.openxmlformats.org/officeDocument/2006/relationships/hyperlink" Target="https://sei.ufg.br/sei/controlador.php?acao=procedimento_trabalhar&amp;id_procedimento=4054084" TargetMode="External"/><Relationship Id="rId168" Type="http://schemas.openxmlformats.org/officeDocument/2006/relationships/hyperlink" Target="https://sei.ufg.br/sei/controlador.php?acao=procedimento_trabalhar&amp;id_procedimento=5147635" TargetMode="External"/><Relationship Id="rId289" Type="http://schemas.openxmlformats.org/officeDocument/2006/relationships/hyperlink" Target="https://sei.ufg.br/sei/controlador.php?acao=procedimento_trabalhar&amp;id_procedimento=3656268" TargetMode="External"/><Relationship Id="rId167" Type="http://schemas.openxmlformats.org/officeDocument/2006/relationships/hyperlink" Target="https://sei.ufg.br/sei/controlador.php?acao=procedimento_trabalhar&amp;id_procedimento=5146865" TargetMode="External"/><Relationship Id="rId288" Type="http://schemas.openxmlformats.org/officeDocument/2006/relationships/hyperlink" Target="https://sei.ufg.br/sei/controlador.php?acao=procedimento_trabalhar&amp;id_procedimento=3672787" TargetMode="External"/><Relationship Id="rId166" Type="http://schemas.openxmlformats.org/officeDocument/2006/relationships/hyperlink" Target="https://sei.ufg.br/sei/controlador.php?acao=procedimento_trabalhar&amp;id_procedimento=5166453" TargetMode="External"/><Relationship Id="rId287" Type="http://schemas.openxmlformats.org/officeDocument/2006/relationships/hyperlink" Target="https://sei.ufg.br/sei/controlador.php?acao=procedimento_trabalhar&amp;id_procedimento=3673808" TargetMode="External"/><Relationship Id="rId51" Type="http://schemas.openxmlformats.org/officeDocument/2006/relationships/hyperlink" Target="https://sei.ufg.br/sei/controlador.php?acao=procedimento_trabalhar&amp;id_procedimento=6445400" TargetMode="External"/><Relationship Id="rId50" Type="http://schemas.openxmlformats.org/officeDocument/2006/relationships/hyperlink" Target="https://sei.ufg.br/sei/controlador.php?acao=procedimento_trabalhar&amp;id_procedimento=6474851" TargetMode="External"/><Relationship Id="rId53" Type="http://schemas.openxmlformats.org/officeDocument/2006/relationships/hyperlink" Target="https://sei.ufg.br/sei/controlador.php?acao=procedimento_trabalhar&amp;id_procedimento=6433285" TargetMode="External"/><Relationship Id="rId52" Type="http://schemas.openxmlformats.org/officeDocument/2006/relationships/hyperlink" Target="https://sei.ufg.br/sei/controlador.php?acao=procedimento_trabalhar&amp;id_procedimento=6435034" TargetMode="External"/><Relationship Id="rId55" Type="http://schemas.openxmlformats.org/officeDocument/2006/relationships/hyperlink" Target="https://sei.ufg.br/sei/controlador.php?acao=procedimento_trabalhar&amp;id_procedimento=6393994" TargetMode="External"/><Relationship Id="rId161" Type="http://schemas.openxmlformats.org/officeDocument/2006/relationships/hyperlink" Target="https://sei.ufg.br/sei/controlador.php?acao=procedimento_trabalhar&amp;id_procedimento=4925375" TargetMode="External"/><Relationship Id="rId282" Type="http://schemas.openxmlformats.org/officeDocument/2006/relationships/hyperlink" Target="https://sei.ufg.br/sei/controlador.php?acao=procedimento_trabalhar&amp;id_procedimento=3727297" TargetMode="External"/><Relationship Id="rId54" Type="http://schemas.openxmlformats.org/officeDocument/2006/relationships/hyperlink" Target="https://sei.ufg.br/sei/controlador.php?acao=procedimento_trabalhar&amp;id_procedimento=6409868" TargetMode="External"/><Relationship Id="rId160" Type="http://schemas.openxmlformats.org/officeDocument/2006/relationships/hyperlink" Target="https://sei.ufg.br/sei/controlador.php?acao=procedimento_trabalhar&amp;id_procedimento=5102890" TargetMode="External"/><Relationship Id="rId281" Type="http://schemas.openxmlformats.org/officeDocument/2006/relationships/hyperlink" Target="https://sei.ufg.br/sei/controlador.php?acao=procedimento_trabalhar&amp;id_procedimento=3775708" TargetMode="External"/><Relationship Id="rId57" Type="http://schemas.openxmlformats.org/officeDocument/2006/relationships/hyperlink" Target="https://sei.ufg.br/sei/controlador.php?acao=procedimento_trabalhar&amp;id_procedimento=6209856" TargetMode="External"/><Relationship Id="rId280" Type="http://schemas.openxmlformats.org/officeDocument/2006/relationships/hyperlink" Target="https://sei.ufg.br/sei/controlador.php?acao=procedimento_trabalhar&amp;id_procedimento=3514816" TargetMode="External"/><Relationship Id="rId56" Type="http://schemas.openxmlformats.org/officeDocument/2006/relationships/hyperlink" Target="https://sei.ufg.br/sei/controlador.php?acao=procedimento_trabalhar&amp;id_procedimento=6184258" TargetMode="External"/><Relationship Id="rId159" Type="http://schemas.openxmlformats.org/officeDocument/2006/relationships/hyperlink" Target="https://sei.ufg.br/sei/controlador.php?acao=procedimento_trabalhar&amp;id_procedimento=4874404" TargetMode="External"/><Relationship Id="rId59" Type="http://schemas.openxmlformats.org/officeDocument/2006/relationships/hyperlink" Target="https://sei.ufg.br/sei/controlador.php?acao=procedimento_trabalhar&amp;id_procedimento=6231117" TargetMode="External"/><Relationship Id="rId154" Type="http://schemas.openxmlformats.org/officeDocument/2006/relationships/hyperlink" Target="https://sei.ufg.br/sei/controlador.php?acao=procedimento_trabalhar&amp;id_procedimento=5230904" TargetMode="External"/><Relationship Id="rId275" Type="http://schemas.openxmlformats.org/officeDocument/2006/relationships/hyperlink" Target="https://sei.ufg.br/sei/controlador.php?acao=procedimento_trabalhar&amp;id_procedimento=3813824" TargetMode="External"/><Relationship Id="rId58" Type="http://schemas.openxmlformats.org/officeDocument/2006/relationships/hyperlink" Target="https://sei.ufg.br/sei/controlador.php?acao=procedimento_trabalhar&amp;id_procedimento=6223510" TargetMode="External"/><Relationship Id="rId153" Type="http://schemas.openxmlformats.org/officeDocument/2006/relationships/hyperlink" Target="https://sei.ufg.br/sei/controlador.php?acao=procedimento_trabalhar&amp;id_procedimento=3663200" TargetMode="External"/><Relationship Id="rId274" Type="http://schemas.openxmlformats.org/officeDocument/2006/relationships/hyperlink" Target="https://sei.ufg.br/sei/controlador.php?acao=procedimento_trabalhar&amp;id_procedimento=3833732" TargetMode="External"/><Relationship Id="rId152" Type="http://schemas.openxmlformats.org/officeDocument/2006/relationships/hyperlink" Target="https://sei.ufg.br/sei/controlador.php?acao=procedimento_trabalhar&amp;id_procedimento=4777249" TargetMode="External"/><Relationship Id="rId273" Type="http://schemas.openxmlformats.org/officeDocument/2006/relationships/hyperlink" Target="https://sei.ufg.br/sei/controlador.php?acao=procedimento_trabalhar&amp;id_procedimento=3865402" TargetMode="External"/><Relationship Id="rId151" Type="http://schemas.openxmlformats.org/officeDocument/2006/relationships/hyperlink" Target="https://sei.ufg.br/sei/controlador.php?acao=procedimento_trabalhar&amp;id_procedimento=5170968" TargetMode="External"/><Relationship Id="rId272" Type="http://schemas.openxmlformats.org/officeDocument/2006/relationships/hyperlink" Target="https://sei.ufg.br/sei/controlador.php?acao=procedimento_trabalhar&amp;id_procedimento=3740919" TargetMode="External"/><Relationship Id="rId158" Type="http://schemas.openxmlformats.org/officeDocument/2006/relationships/hyperlink" Target="https://sei.ufg.br/sei/controlador.php?acao=procedimento_trabalhar&amp;id_procedimento=4961401" TargetMode="External"/><Relationship Id="rId279" Type="http://schemas.openxmlformats.org/officeDocument/2006/relationships/hyperlink" Target="https://sei.ufg.br/sei/controlador.php?acao=procedimento_trabalhar&amp;id_procedimento=3741759" TargetMode="External"/><Relationship Id="rId157" Type="http://schemas.openxmlformats.org/officeDocument/2006/relationships/hyperlink" Target="https://sei.ufg.br/sei/controlador.php?acao=procedimento_trabalhar&amp;id_procedimento=5174091" TargetMode="External"/><Relationship Id="rId278" Type="http://schemas.openxmlformats.org/officeDocument/2006/relationships/hyperlink" Target="https://sei.ufg.br/sei/controlador.php?acao=procedimento_trabalhar&amp;id_procedimento=3740884" TargetMode="External"/><Relationship Id="rId156" Type="http://schemas.openxmlformats.org/officeDocument/2006/relationships/hyperlink" Target="https://sei.ufg.br/sei/controlador.php?acao=procedimento_trabalhar&amp;id_procedimento=5212044" TargetMode="External"/><Relationship Id="rId277" Type="http://schemas.openxmlformats.org/officeDocument/2006/relationships/hyperlink" Target="https://sei.ufg.br/sei/controlador.php?acao=procedimento_trabalhar&amp;id_procedimento=3779274" TargetMode="External"/><Relationship Id="rId155" Type="http://schemas.openxmlformats.org/officeDocument/2006/relationships/hyperlink" Target="https://sei.ufg.br/sei/controlador.php?acao=procedimento_trabalhar&amp;id_procedimento=5230835" TargetMode="External"/><Relationship Id="rId276" Type="http://schemas.openxmlformats.org/officeDocument/2006/relationships/hyperlink" Target="https://sei.ufg.br/sei/controlador.php?acao=procedimento_trabalhar&amp;id_procedimento=3819294" TargetMode="External"/><Relationship Id="rId107" Type="http://schemas.openxmlformats.org/officeDocument/2006/relationships/hyperlink" Target="https://sei.ufg.br/sei/controlador.php?acao=procedimento_trabalhar&amp;id_procedimento=5601403" TargetMode="External"/><Relationship Id="rId228" Type="http://schemas.openxmlformats.org/officeDocument/2006/relationships/hyperlink" Target="https://sei.ufg.br/sei/controlador.php?acao=procedimento_trabalhar&amp;id_procedimento=4329896" TargetMode="External"/><Relationship Id="rId349" Type="http://schemas.openxmlformats.org/officeDocument/2006/relationships/hyperlink" Target="https://sei.ufg.br/sei/controlador.php?acao=procedimento_trabalhar&amp;id_procedimento=2711826" TargetMode="External"/><Relationship Id="rId106" Type="http://schemas.openxmlformats.org/officeDocument/2006/relationships/hyperlink" Target="https://sei.ufg.br/sei/controlador.php?acao=procedimento_trabalhar&amp;id_procedimento=5681612" TargetMode="External"/><Relationship Id="rId227" Type="http://schemas.openxmlformats.org/officeDocument/2006/relationships/hyperlink" Target="https://sei.ufg.br/sei/controlador.php?acao=procedimento_trabalhar&amp;id_procedimento=4141900" TargetMode="External"/><Relationship Id="rId348" Type="http://schemas.openxmlformats.org/officeDocument/2006/relationships/hyperlink" Target="https://sei.ufg.br/sei/controlador.php?acao=procedimento_trabalhar&amp;id_procedimento=2849270" TargetMode="External"/><Relationship Id="rId105" Type="http://schemas.openxmlformats.org/officeDocument/2006/relationships/hyperlink" Target="https://sei.ufg.br/sei/controlador.php?acao=procedimento_trabalhar&amp;id_procedimento=5771410" TargetMode="External"/><Relationship Id="rId226" Type="http://schemas.openxmlformats.org/officeDocument/2006/relationships/hyperlink" Target="https://sei.ufg.br/sei/controlador.php?acao=procedimento_trabalhar&amp;id_procedimento=4205721" TargetMode="External"/><Relationship Id="rId347" Type="http://schemas.openxmlformats.org/officeDocument/2006/relationships/hyperlink" Target="https://sei.ufg.br/sei/controlador.php?acao=procedimento_trabalhar&amp;id_procedimento=2880887" TargetMode="External"/><Relationship Id="rId104" Type="http://schemas.openxmlformats.org/officeDocument/2006/relationships/hyperlink" Target="https://sei.ufg.br/sei/controlador.php?acao=procedimento_trabalhar&amp;id_procedimento=5744806" TargetMode="External"/><Relationship Id="rId225" Type="http://schemas.openxmlformats.org/officeDocument/2006/relationships/hyperlink" Target="https://sei.ufg.br/sei/controlador.php?acao=procedimento_trabalhar&amp;id_procedimento=4117719" TargetMode="External"/><Relationship Id="rId346" Type="http://schemas.openxmlformats.org/officeDocument/2006/relationships/hyperlink" Target="https://sei.ufg.br/sei/controlador.php?acao=procedimento_trabalhar&amp;id_procedimento=2962047" TargetMode="External"/><Relationship Id="rId109" Type="http://schemas.openxmlformats.org/officeDocument/2006/relationships/hyperlink" Target="https://sei.ufg.br/sei/controlador.php?acao=procedimento_trabalhar&amp;id_procedimento=5618497" TargetMode="External"/><Relationship Id="rId108" Type="http://schemas.openxmlformats.org/officeDocument/2006/relationships/hyperlink" Target="https://sei.ufg.br/sei/controlador.php?acao=procedimento_trabalhar&amp;id_procedimento=5673644" TargetMode="External"/><Relationship Id="rId229" Type="http://schemas.openxmlformats.org/officeDocument/2006/relationships/hyperlink" Target="https://sei.ufg.br/sei/controlador.php?acao=procedimento_trabalhar&amp;id_procedimento=1808111" TargetMode="External"/><Relationship Id="rId220" Type="http://schemas.openxmlformats.org/officeDocument/2006/relationships/hyperlink" Target="https://sei.ufg.br/sei/controlador.php?acao=procedimento_trabalhar&amp;id_procedimento=4335504" TargetMode="External"/><Relationship Id="rId341" Type="http://schemas.openxmlformats.org/officeDocument/2006/relationships/hyperlink" Target="https://sei.ufg.br/sei/controlador.php?acao=procedimento_trabalhar&amp;id_procedimento=2685099" TargetMode="External"/><Relationship Id="rId340" Type="http://schemas.openxmlformats.org/officeDocument/2006/relationships/hyperlink" Target="https://sei.ufg.br/sei/controlador.php?acao=procedimento_trabalhar&amp;id_procedimento=2961670" TargetMode="External"/><Relationship Id="rId103" Type="http://schemas.openxmlformats.org/officeDocument/2006/relationships/hyperlink" Target="https://sei.ufg.br/sei/controlador.php?acao=procedimento_trabalhar&amp;id_procedimento=5839892" TargetMode="External"/><Relationship Id="rId224" Type="http://schemas.openxmlformats.org/officeDocument/2006/relationships/hyperlink" Target="https://sei.ufg.br/sei/controlador.php?acao=procedimento_trabalhar&amp;id_procedimento=4118308" TargetMode="External"/><Relationship Id="rId345" Type="http://schemas.openxmlformats.org/officeDocument/2006/relationships/hyperlink" Target="https://sei.ufg.br/sei/controlador.php?acao=procedimento_trabalhar&amp;id_procedimento=2938835" TargetMode="External"/><Relationship Id="rId102" Type="http://schemas.openxmlformats.org/officeDocument/2006/relationships/hyperlink" Target="https://sei.ufg.br/sei/controlador.php?acao=procedimento_trabalhar&amp;id_procedimento=5827679" TargetMode="External"/><Relationship Id="rId223" Type="http://schemas.openxmlformats.org/officeDocument/2006/relationships/hyperlink" Target="https://sei.ufg.br/sei/controlador.php?acao=procedimento_trabalhar&amp;id_procedimento=4102037" TargetMode="External"/><Relationship Id="rId344" Type="http://schemas.openxmlformats.org/officeDocument/2006/relationships/hyperlink" Target="https://sei.ufg.br/sei/controlador.php?acao=procedimento_trabalhar&amp;id_procedimento=3010649" TargetMode="External"/><Relationship Id="rId101" Type="http://schemas.openxmlformats.org/officeDocument/2006/relationships/hyperlink" Target="https://sei.ufg.br/sei/controlador.php?acao=procedimento_trabalhar&amp;id_procedimento=5865442" TargetMode="External"/><Relationship Id="rId222" Type="http://schemas.openxmlformats.org/officeDocument/2006/relationships/hyperlink" Target="https://sei.ufg.br/sei/controlador.php?acao=procedimento_trabalhar&amp;id_procedimento=4198855" TargetMode="External"/><Relationship Id="rId343" Type="http://schemas.openxmlformats.org/officeDocument/2006/relationships/hyperlink" Target="https://sei.ufg.br/sei/controlador.php?acao=procedimento_trabalhar&amp;id_procedimento=2115325" TargetMode="External"/><Relationship Id="rId100" Type="http://schemas.openxmlformats.org/officeDocument/2006/relationships/hyperlink" Target="https://sei.ufg.br/sei/controlador.php?acao=procedimento_trabalhar&amp;id_procedimento=5858710" TargetMode="External"/><Relationship Id="rId221" Type="http://schemas.openxmlformats.org/officeDocument/2006/relationships/hyperlink" Target="https://sei.ufg.br/sei/controlador.php?acao=procedimento_trabalhar&amp;id_procedimento=4292672" TargetMode="External"/><Relationship Id="rId342" Type="http://schemas.openxmlformats.org/officeDocument/2006/relationships/hyperlink" Target="https://sei.ufg.br/sei/controlador.php?acao=procedimento_trabalhar&amp;id_procedimento=3028370" TargetMode="External"/><Relationship Id="rId217" Type="http://schemas.openxmlformats.org/officeDocument/2006/relationships/hyperlink" Target="https://sei.ufg.br/sei/controlador.php?acao=procedimento_trabalhar&amp;id_procedimento=4257410" TargetMode="External"/><Relationship Id="rId338" Type="http://schemas.openxmlformats.org/officeDocument/2006/relationships/hyperlink" Target="https://sei.ufg.br/sei/controlador.php?acao=procedimento_trabalhar&amp;id_procedimento=2906184" TargetMode="External"/><Relationship Id="rId216" Type="http://schemas.openxmlformats.org/officeDocument/2006/relationships/hyperlink" Target="https://sei.ufg.br/sei/controlador.php?acao=procedimento_trabalhar&amp;id_procedimento=4106612" TargetMode="External"/><Relationship Id="rId337" Type="http://schemas.openxmlformats.org/officeDocument/2006/relationships/hyperlink" Target="https://sei.ufg.br/sei/controlador.php?acao=procedimento_trabalhar&amp;id_procedimento=3018398" TargetMode="External"/><Relationship Id="rId215" Type="http://schemas.openxmlformats.org/officeDocument/2006/relationships/hyperlink" Target="https://sei.ufg.br/sei/controlador.php?acao=procedimento_trabalhar&amp;id_procedimento=4380107" TargetMode="External"/><Relationship Id="rId336" Type="http://schemas.openxmlformats.org/officeDocument/2006/relationships/hyperlink" Target="https://sei.ufg.br/sei/controlador.php?acao=procedimento_trabalhar&amp;id_procedimento=2929718" TargetMode="External"/><Relationship Id="rId214" Type="http://schemas.openxmlformats.org/officeDocument/2006/relationships/hyperlink" Target="https://sei.ufg.br/sei/controlador.php?acao=procedimento_trabalhar&amp;id_procedimento=3743605" TargetMode="External"/><Relationship Id="rId335" Type="http://schemas.openxmlformats.org/officeDocument/2006/relationships/hyperlink" Target="https://sei.ufg.br/sei/controlador.php?acao=procedimento_trabalhar&amp;id_procedimento=3041383" TargetMode="External"/><Relationship Id="rId219" Type="http://schemas.openxmlformats.org/officeDocument/2006/relationships/hyperlink" Target="https://sei.ufg.br/sei/controlador.php?acao=procedimento_trabalhar&amp;id_procedimento=4350072" TargetMode="External"/><Relationship Id="rId218" Type="http://schemas.openxmlformats.org/officeDocument/2006/relationships/hyperlink" Target="https://sei.ufg.br/sei/controlador.php?acao=procedimento_trabalhar&amp;id_procedimento=4338022" TargetMode="External"/><Relationship Id="rId339" Type="http://schemas.openxmlformats.org/officeDocument/2006/relationships/hyperlink" Target="https://sei.ufg.br/sei/controlador.php?acao=procedimento_trabalhar&amp;id_procedimento=3015908" TargetMode="External"/><Relationship Id="rId330" Type="http://schemas.openxmlformats.org/officeDocument/2006/relationships/hyperlink" Target="https://sei.ufg.br/sei/controlador.php?acao=procedimento_trabalhar&amp;id_procedimento=2310982" TargetMode="External"/><Relationship Id="rId213" Type="http://schemas.openxmlformats.org/officeDocument/2006/relationships/hyperlink" Target="https://sei.ufg.br/sei/controlador.php?acao=procedimento_trabalhar&amp;id_procedimento=4441026" TargetMode="External"/><Relationship Id="rId334" Type="http://schemas.openxmlformats.org/officeDocument/2006/relationships/hyperlink" Target="https://sei.ufg.br/sei/controlador.php?acao=procedimento_trabalhar&amp;id_procedimento=2928221" TargetMode="External"/><Relationship Id="rId212" Type="http://schemas.openxmlformats.org/officeDocument/2006/relationships/hyperlink" Target="https://sei.ufg.br/sei/controlador.php?acao=procedimento_trabalhar&amp;id_procedimento=4234710" TargetMode="External"/><Relationship Id="rId333" Type="http://schemas.openxmlformats.org/officeDocument/2006/relationships/hyperlink" Target="https://sei.ufg.br/sei/controlador.php?acao=procedimento_trabalhar&amp;id_procedimento=3071548" TargetMode="External"/><Relationship Id="rId211" Type="http://schemas.openxmlformats.org/officeDocument/2006/relationships/hyperlink" Target="https://sei.ufg.br/sei/controlador.php?acao=procedimento_trabalhar&amp;id_procedimento=4507033" TargetMode="External"/><Relationship Id="rId332" Type="http://schemas.openxmlformats.org/officeDocument/2006/relationships/hyperlink" Target="https://sei.ufg.br/sei/controlador.php?acao=procedimento_trabalhar&amp;id_procedimento=3067437" TargetMode="External"/><Relationship Id="rId210" Type="http://schemas.openxmlformats.org/officeDocument/2006/relationships/hyperlink" Target="https://sei.ufg.br/sei/controlador.php?acao=procedimento_trabalhar&amp;id_procedimento=3598892" TargetMode="External"/><Relationship Id="rId331" Type="http://schemas.openxmlformats.org/officeDocument/2006/relationships/hyperlink" Target="https://sei.ufg.br/sei/controlador.php?acao=procedimento_trabalhar&amp;id_procedimento=2941864" TargetMode="External"/><Relationship Id="rId129" Type="http://schemas.openxmlformats.org/officeDocument/2006/relationships/hyperlink" Target="https://sei.ufg.br/sei/controlador.php?acao=procedimento_trabalhar&amp;id_procedimento=5309783" TargetMode="External"/><Relationship Id="rId128" Type="http://schemas.openxmlformats.org/officeDocument/2006/relationships/hyperlink" Target="https://sei.ufg.br/sei/controlador.php?acao=procedimento_trabalhar&amp;id_procedimento=5203930" TargetMode="External"/><Relationship Id="rId249" Type="http://schemas.openxmlformats.org/officeDocument/2006/relationships/hyperlink" Target="https://sei.ufg.br/sei/controlador.php?acao=procedimento_trabalhar&amp;id_procedimento=3976875" TargetMode="External"/><Relationship Id="rId127" Type="http://schemas.openxmlformats.org/officeDocument/2006/relationships/hyperlink" Target="https://sei.ufg.br/sei/controlador.php?acao=procedimento_trabalhar&amp;id_procedimento=5402450" TargetMode="External"/><Relationship Id="rId248" Type="http://schemas.openxmlformats.org/officeDocument/2006/relationships/hyperlink" Target="https://sei.ufg.br/sei/controlador.php?acao=procedimento_trabalhar&amp;id_procedimento=4109192" TargetMode="External"/><Relationship Id="rId369" Type="http://schemas.openxmlformats.org/officeDocument/2006/relationships/drawing" Target="../drawings/drawing3.xml"/><Relationship Id="rId126" Type="http://schemas.openxmlformats.org/officeDocument/2006/relationships/hyperlink" Target="https://sei.ufg.br/sei/controlador.php?acao=procedimento_trabalhar&amp;id_procedimento=5423480" TargetMode="External"/><Relationship Id="rId247" Type="http://schemas.openxmlformats.org/officeDocument/2006/relationships/hyperlink" Target="https://sei.ufg.br/sei/controlador.php?acao=procedimento_trabalhar&amp;id_procedimento=3976488" TargetMode="External"/><Relationship Id="rId368" Type="http://schemas.openxmlformats.org/officeDocument/2006/relationships/hyperlink" Target="https://sei.ufg.br/sei/controlador.php?acao=procedimento_trabalhar&amp;id_procedimento=672706" TargetMode="External"/><Relationship Id="rId121" Type="http://schemas.openxmlformats.org/officeDocument/2006/relationships/hyperlink" Target="https://sei.ufg.br/sei/controlador.php?acao=procedimento_trabalhar&amp;id_procedimento=5292509" TargetMode="External"/><Relationship Id="rId242" Type="http://schemas.openxmlformats.org/officeDocument/2006/relationships/hyperlink" Target="https://sei.ufg.br/sei/controlador.php?acao=procedimento_trabalhar&amp;id_procedimento=3728105" TargetMode="External"/><Relationship Id="rId363" Type="http://schemas.openxmlformats.org/officeDocument/2006/relationships/hyperlink" Target="https://sei.ufg.br/sei/controlador.php?acao=procedimento_trabalhar&amp;id_procedimento=1417390" TargetMode="External"/><Relationship Id="rId120" Type="http://schemas.openxmlformats.org/officeDocument/2006/relationships/hyperlink" Target="https://sei.ufg.br/sei/controlador.php?acao=procedimento_trabalhar&amp;id_procedimento=5481477" TargetMode="External"/><Relationship Id="rId241" Type="http://schemas.openxmlformats.org/officeDocument/2006/relationships/hyperlink" Target="https://sei.ufg.br/sei/controlador.php?acao=procedimento_trabalhar&amp;id_procedimento=4245639" TargetMode="External"/><Relationship Id="rId362" Type="http://schemas.openxmlformats.org/officeDocument/2006/relationships/hyperlink" Target="https://sei.ufg.br/sei/controlador.php?acao=procedimento_trabalhar&amp;id_procedimento=1911417" TargetMode="External"/><Relationship Id="rId240" Type="http://schemas.openxmlformats.org/officeDocument/2006/relationships/hyperlink" Target="https://sei.ufg.br/sei/controlador.php?acao=procedimento_trabalhar&amp;id_procedimento=4173671" TargetMode="External"/><Relationship Id="rId361" Type="http://schemas.openxmlformats.org/officeDocument/2006/relationships/hyperlink" Target="https://sei.ufg.br/sei/controlador.php?acao=procedimento_trabalhar&amp;id_procedimento=2532037" TargetMode="External"/><Relationship Id="rId360" Type="http://schemas.openxmlformats.org/officeDocument/2006/relationships/hyperlink" Target="https://sei.ufg.br/sei/controlador.php?acao=procedimento_trabalhar&amp;id_procedimento=2536817" TargetMode="External"/><Relationship Id="rId125" Type="http://schemas.openxmlformats.org/officeDocument/2006/relationships/hyperlink" Target="https://sei.ufg.br/sei/controlador.php?acao=procedimento_trabalhar&amp;id_procedimento=5402693" TargetMode="External"/><Relationship Id="rId246" Type="http://schemas.openxmlformats.org/officeDocument/2006/relationships/hyperlink" Target="https://sei.ufg.br/sei/controlador.php?acao=procedimento_trabalhar&amp;id_procedimento=1185028" TargetMode="External"/><Relationship Id="rId367" Type="http://schemas.openxmlformats.org/officeDocument/2006/relationships/hyperlink" Target="https://sei.ufg.br/sei/controlador.php?acao=procedimento_trabalhar&amp;id_procedimento=758009" TargetMode="External"/><Relationship Id="rId124" Type="http://schemas.openxmlformats.org/officeDocument/2006/relationships/hyperlink" Target="https://sei.ufg.br/sei/controlador.php?acao=procedimento_trabalhar&amp;id_procedimento=5265858" TargetMode="External"/><Relationship Id="rId245" Type="http://schemas.openxmlformats.org/officeDocument/2006/relationships/hyperlink" Target="https://sei.ufg.br/sei/controlador.php?acao=procedimento_trabalhar&amp;id_procedimento=4142352" TargetMode="External"/><Relationship Id="rId366" Type="http://schemas.openxmlformats.org/officeDocument/2006/relationships/hyperlink" Target="https://sei.ufg.br/sei/controlador.php?acao=procedimento_trabalhar&amp;id_procedimento=979455" TargetMode="External"/><Relationship Id="rId123" Type="http://schemas.openxmlformats.org/officeDocument/2006/relationships/hyperlink" Target="https://sei.ufg.br/sei/controlador.php?acao=procedimento_trabalhar&amp;id_procedimento=5427334" TargetMode="External"/><Relationship Id="rId244" Type="http://schemas.openxmlformats.org/officeDocument/2006/relationships/hyperlink" Target="https://sei.ufg.br/sei/controlador.php?acao=procedimento_trabalhar&amp;id_procedimento=3741267" TargetMode="External"/><Relationship Id="rId365" Type="http://schemas.openxmlformats.org/officeDocument/2006/relationships/hyperlink" Target="https://sei.ufg.br/sei/controlador.php?acao=procedimento_trabalhar&amp;id_procedimento=976303" TargetMode="External"/><Relationship Id="rId122" Type="http://schemas.openxmlformats.org/officeDocument/2006/relationships/hyperlink" Target="https://sei.ufg.br/sei/controlador.php?acao=procedimento_trabalhar&amp;id_procedimento=5421264" TargetMode="External"/><Relationship Id="rId243" Type="http://schemas.openxmlformats.org/officeDocument/2006/relationships/hyperlink" Target="https://sei.ufg.br/sei/controlador.php?acao=procedimento_trabalhar&amp;id_procedimento=4147456" TargetMode="External"/><Relationship Id="rId364" Type="http://schemas.openxmlformats.org/officeDocument/2006/relationships/hyperlink" Target="https://sei.ufg.br/sei/controlador.php?acao=procedimento_trabalhar&amp;id_procedimento=985629" TargetMode="External"/><Relationship Id="rId95" Type="http://schemas.openxmlformats.org/officeDocument/2006/relationships/hyperlink" Target="https://sei.ufg.br/sei/controlador.php?acao=procedimento_trabalhar&amp;id_procedimento=5551180" TargetMode="External"/><Relationship Id="rId94" Type="http://schemas.openxmlformats.org/officeDocument/2006/relationships/hyperlink" Target="https://sei.ufg.br/sei/controlador.php?acao=procedimento_trabalhar&amp;id_procedimento=5555112" TargetMode="External"/><Relationship Id="rId97" Type="http://schemas.openxmlformats.org/officeDocument/2006/relationships/hyperlink" Target="https://sei.ufg.br/sei/controlador.php?acao=procedimento_trabalhar&amp;id_procedimento=5882218" TargetMode="External"/><Relationship Id="rId96" Type="http://schemas.openxmlformats.org/officeDocument/2006/relationships/hyperlink" Target="https://sei.ufg.br/sei/controlador.php?acao=procedimento_trabalhar&amp;id_procedimento=5311653" TargetMode="External"/><Relationship Id="rId99" Type="http://schemas.openxmlformats.org/officeDocument/2006/relationships/hyperlink" Target="https://sei.ufg.br/sei/controlador.php?acao=procedimento_trabalhar&amp;id_procedimento=5826113" TargetMode="External"/><Relationship Id="rId98" Type="http://schemas.openxmlformats.org/officeDocument/2006/relationships/hyperlink" Target="https://sei.ufg.br/sei/controlador.php?acao=procedimento_trabalhar&amp;id_procedimento=5741802" TargetMode="External"/><Relationship Id="rId91" Type="http://schemas.openxmlformats.org/officeDocument/2006/relationships/hyperlink" Target="https://sei.ufg.br/sei/controlador.php?acao=procedimento_trabalhar&amp;id_procedimento=6007402" TargetMode="External"/><Relationship Id="rId90" Type="http://schemas.openxmlformats.org/officeDocument/2006/relationships/hyperlink" Target="https://sei.ufg.br/sei/controlador.php?acao=procedimento_trabalhar&amp;id_procedimento=6013776" TargetMode="External"/><Relationship Id="rId93" Type="http://schemas.openxmlformats.org/officeDocument/2006/relationships/hyperlink" Target="https://sei.ufg.br/sei/controlador.php?acao=procedimento_trabalhar&amp;id_procedimento=5963198" TargetMode="External"/><Relationship Id="rId92" Type="http://schemas.openxmlformats.org/officeDocument/2006/relationships/hyperlink" Target="https://sei.ufg.br/sei/controlador.php?acao=procedimento_trabalhar&amp;id_procedimento=6003484" TargetMode="External"/><Relationship Id="rId118" Type="http://schemas.openxmlformats.org/officeDocument/2006/relationships/hyperlink" Target="https://sei.ufg.br/sei/controlador.php?acao=procedimento_trabalhar&amp;id_procedimento=5534295" TargetMode="External"/><Relationship Id="rId239" Type="http://schemas.openxmlformats.org/officeDocument/2006/relationships/hyperlink" Target="https://sei.ufg.br/sei/controlador.php?acao=procedimento_trabalhar&amp;id_procedimento=4174074" TargetMode="External"/><Relationship Id="rId117" Type="http://schemas.openxmlformats.org/officeDocument/2006/relationships/hyperlink" Target="https://sei.ufg.br/sei/controlador.php?acao=procedimento_trabalhar&amp;id_procedimento=5427222" TargetMode="External"/><Relationship Id="rId238" Type="http://schemas.openxmlformats.org/officeDocument/2006/relationships/hyperlink" Target="https://sei.ufg.br/sei/controlador.php?acao=procedimento_trabalhar&amp;id_procedimento=4103411" TargetMode="External"/><Relationship Id="rId359" Type="http://schemas.openxmlformats.org/officeDocument/2006/relationships/hyperlink" Target="https://sei.ufg.br/sei/controlador.php?acao=procedimento_trabalhar&amp;id_procedimento=2652373" TargetMode="External"/><Relationship Id="rId116" Type="http://schemas.openxmlformats.org/officeDocument/2006/relationships/hyperlink" Target="https://sei.ufg.br/sei/controlador.php?acao=procedimento_trabalhar&amp;id_procedimento=5549415" TargetMode="External"/><Relationship Id="rId237" Type="http://schemas.openxmlformats.org/officeDocument/2006/relationships/hyperlink" Target="https://sei.ufg.br/sei/controlador.php?acao=procedimento_trabalhar&amp;id_procedimento=4179677" TargetMode="External"/><Relationship Id="rId358" Type="http://schemas.openxmlformats.org/officeDocument/2006/relationships/hyperlink" Target="https://sei.ufg.br/sei/controlador.php?acao=procedimento_trabalhar&amp;id_procedimento=2590985" TargetMode="External"/><Relationship Id="rId115" Type="http://schemas.openxmlformats.org/officeDocument/2006/relationships/hyperlink" Target="https://sei.ufg.br/sei/controlador.php?acao=procedimento_trabalhar&amp;id_procedimento=5304764" TargetMode="External"/><Relationship Id="rId236" Type="http://schemas.openxmlformats.org/officeDocument/2006/relationships/hyperlink" Target="https://sei.ufg.br/sei/controlador.php?acao=procedimento_trabalhar&amp;id_procedimento=4179749" TargetMode="External"/><Relationship Id="rId357" Type="http://schemas.openxmlformats.org/officeDocument/2006/relationships/hyperlink" Target="https://sei.ufg.br/sei/controlador.php?acao=procedimento_trabalhar&amp;id_procedimento=2653432" TargetMode="External"/><Relationship Id="rId119" Type="http://schemas.openxmlformats.org/officeDocument/2006/relationships/hyperlink" Target="https://sei.ufg.br/sei/controlador.php?acao=procedimento_trabalhar&amp;id_procedimento=4703689" TargetMode="External"/><Relationship Id="rId110" Type="http://schemas.openxmlformats.org/officeDocument/2006/relationships/hyperlink" Target="https://sei.ufg.br/sei/controlador.php?acao=procedimento_trabalhar&amp;id_procedimento=5582636" TargetMode="External"/><Relationship Id="rId231" Type="http://schemas.openxmlformats.org/officeDocument/2006/relationships/hyperlink" Target="https://sei.ufg.br/sei/controlador.php?acao=procedimento_trabalhar&amp;id_procedimento=1517728" TargetMode="External"/><Relationship Id="rId352" Type="http://schemas.openxmlformats.org/officeDocument/2006/relationships/hyperlink" Target="https://sei.ufg.br/sei/controlador.php?acao=procedimento_trabalhar&amp;id_procedimento=2550148" TargetMode="External"/><Relationship Id="rId230" Type="http://schemas.openxmlformats.org/officeDocument/2006/relationships/hyperlink" Target="https://sei.ufg.br/sei/controlador.php?acao=procedimento_trabalhar&amp;id_procedimento=635393" TargetMode="External"/><Relationship Id="rId351" Type="http://schemas.openxmlformats.org/officeDocument/2006/relationships/hyperlink" Target="https://sei.ufg.br/sei/controlador.php?acao=procedimento_trabalhar&amp;id_procedimento=2590985" TargetMode="External"/><Relationship Id="rId350" Type="http://schemas.openxmlformats.org/officeDocument/2006/relationships/hyperlink" Target="https://sei.ufg.br/sei/controlador.php?acao=procedimento_trabalhar&amp;id_procedimento=2745323" TargetMode="External"/><Relationship Id="rId114" Type="http://schemas.openxmlformats.org/officeDocument/2006/relationships/hyperlink" Target="https://sei.ufg.br/sei/controlador.php?acao=procedimento_trabalhar&amp;id_procedimento=5547421&amp;id_documento=5582532" TargetMode="External"/><Relationship Id="rId235" Type="http://schemas.openxmlformats.org/officeDocument/2006/relationships/hyperlink" Target="https://sei.ufg.br/sei/controlador.php?acao=procedimento_trabalhar&amp;id_procedimento=4102037" TargetMode="External"/><Relationship Id="rId356" Type="http://schemas.openxmlformats.org/officeDocument/2006/relationships/hyperlink" Target="https://sei.ufg.br/sei/controlador.php?acao=procedimento_trabalhar&amp;id_procedimento=1421517" TargetMode="External"/><Relationship Id="rId113" Type="http://schemas.openxmlformats.org/officeDocument/2006/relationships/hyperlink" Target="https://sei.ufg.br/sei/controlador.php?acao=procedimento_trabalhar&amp;id_procedimento=5592766" TargetMode="External"/><Relationship Id="rId234" Type="http://schemas.openxmlformats.org/officeDocument/2006/relationships/hyperlink" Target="https://sei.ufg.br/sei/controlador.php?acao=procedimento_trabalhar&amp;id_procedimento=4249949" TargetMode="External"/><Relationship Id="rId355" Type="http://schemas.openxmlformats.org/officeDocument/2006/relationships/hyperlink" Target="https://sei.ufg.br/sei/controlador.php?acao=procedimento_trabalhar&amp;id_procedimento=1643960" TargetMode="External"/><Relationship Id="rId112" Type="http://schemas.openxmlformats.org/officeDocument/2006/relationships/hyperlink" Target="https://sei.ufg.br/sei/controlador.php?acao=procedimento_trabalhar&amp;id_procedimento=5505658" TargetMode="External"/><Relationship Id="rId233" Type="http://schemas.openxmlformats.org/officeDocument/2006/relationships/hyperlink" Target="https://sei.ufg.br/sei/controlador.php?acao=procedimento_trabalhar&amp;id_procedimento=4171380" TargetMode="External"/><Relationship Id="rId354" Type="http://schemas.openxmlformats.org/officeDocument/2006/relationships/hyperlink" Target="https://sei.ufg.br/sei/controlador.php?acao=procedimento_trabalhar&amp;id_procedimento=2435587" TargetMode="External"/><Relationship Id="rId111" Type="http://schemas.openxmlformats.org/officeDocument/2006/relationships/hyperlink" Target="https://sei.ufg.br/sei/controlador.php?acao=procedimento_trabalhar&amp;id_procedimento=5367247" TargetMode="External"/><Relationship Id="rId232" Type="http://schemas.openxmlformats.org/officeDocument/2006/relationships/hyperlink" Target="https://sei.ufg.br/sei/controlador.php?acao=procedimento_trabalhar&amp;id_procedimento=635381" TargetMode="External"/><Relationship Id="rId353" Type="http://schemas.openxmlformats.org/officeDocument/2006/relationships/hyperlink" Target="https://sei.ufg.br/sei/controlador.php?acao=procedimento_trabalhar&amp;id_procedimento=2176087" TargetMode="External"/><Relationship Id="rId305" Type="http://schemas.openxmlformats.org/officeDocument/2006/relationships/hyperlink" Target="https://sei.ufg.br/sei/controlador.php?acao=procedimento_trabalhar&amp;id_procedimento=3451929" TargetMode="External"/><Relationship Id="rId304" Type="http://schemas.openxmlformats.org/officeDocument/2006/relationships/hyperlink" Target="https://sei.ufg.br/sei/controlador.php?acao=procedimento_trabalhar&amp;id_procedimento=3372839" TargetMode="External"/><Relationship Id="rId303" Type="http://schemas.openxmlformats.org/officeDocument/2006/relationships/hyperlink" Target="https://sei.ufg.br/sei/controlador.php?acao=procedimento_trabalhar&amp;id_procedimento=3472445" TargetMode="External"/><Relationship Id="rId302" Type="http://schemas.openxmlformats.org/officeDocument/2006/relationships/hyperlink" Target="https://sei.ufg.br/sei/controlador.php?acao=procedimento_trabalhar&amp;id_procedimento=3352657" TargetMode="External"/><Relationship Id="rId309" Type="http://schemas.openxmlformats.org/officeDocument/2006/relationships/hyperlink" Target="https://sei.ufg.br/sei/controlador.php?acao=procedimento_trabalhar&amp;id_procedimento=3439198" TargetMode="External"/><Relationship Id="rId308" Type="http://schemas.openxmlformats.org/officeDocument/2006/relationships/hyperlink" Target="https://sei.ufg.br/sei/controlador.php?acao=procedimento_trabalhar&amp;id_procedimento=3398243" TargetMode="External"/><Relationship Id="rId307" Type="http://schemas.openxmlformats.org/officeDocument/2006/relationships/hyperlink" Target="https://sei.ufg.br/sei/controlador.php?acao=procedimento_trabalhar&amp;id_procedimento=3430403" TargetMode="External"/><Relationship Id="rId306" Type="http://schemas.openxmlformats.org/officeDocument/2006/relationships/hyperlink" Target="https://sei.ufg.br/sei/controlador.php?acao=procedimento_trabalhar&amp;id_procedimento=3398219" TargetMode="External"/><Relationship Id="rId301" Type="http://schemas.openxmlformats.org/officeDocument/2006/relationships/hyperlink" Target="https://sei.ufg.br/sei/controlador.php?acao=procedimento_trabalhar&amp;id_procedimento=2834321" TargetMode="External"/><Relationship Id="rId300" Type="http://schemas.openxmlformats.org/officeDocument/2006/relationships/hyperlink" Target="https://sei.ufg.br/sei/controlador.php?acao=procedimento_trabalhar&amp;id_procedimento=3353469" TargetMode="External"/><Relationship Id="rId206" Type="http://schemas.openxmlformats.org/officeDocument/2006/relationships/hyperlink" Target="https://sei.ufg.br/sei/controlador.php?acao=procedimento_trabalhar&amp;id_procedimento=4556528" TargetMode="External"/><Relationship Id="rId327" Type="http://schemas.openxmlformats.org/officeDocument/2006/relationships/hyperlink" Target="https://sei.ufg.br/sei/controlador.php?acao=procedimento_trabalhar&amp;id_procedimento=3108889" TargetMode="External"/><Relationship Id="rId205" Type="http://schemas.openxmlformats.org/officeDocument/2006/relationships/hyperlink" Target="https://sei.ufg.br/sei/controlador.php?acao=procedimento_trabalhar&amp;id_procedimento=4567915" TargetMode="External"/><Relationship Id="rId326" Type="http://schemas.openxmlformats.org/officeDocument/2006/relationships/hyperlink" Target="https://sei.ufg.br/sei/controlador.php?acao=procedimento_trabalhar&amp;id_procedimento=3071548" TargetMode="External"/><Relationship Id="rId204" Type="http://schemas.openxmlformats.org/officeDocument/2006/relationships/hyperlink" Target="https://sei.ufg.br/sei/controlador.php?acao=procedimento_trabalhar&amp;id_procedimento=4304395" TargetMode="External"/><Relationship Id="rId325" Type="http://schemas.openxmlformats.org/officeDocument/2006/relationships/hyperlink" Target="https://sei.ufg.br/sei/controlador.php?acao=procedimento_trabalhar&amp;id_procedimento=3071869" TargetMode="External"/><Relationship Id="rId203" Type="http://schemas.openxmlformats.org/officeDocument/2006/relationships/hyperlink" Target="https://sei.ufg.br/sei/controlador.php?acao=procedimento_trabalhar&amp;id_procedimento=4130566" TargetMode="External"/><Relationship Id="rId324" Type="http://schemas.openxmlformats.org/officeDocument/2006/relationships/hyperlink" Target="https://sei.ufg.br/sei/controlador.php?acao=procedimento_trabalhar&amp;id_procedimento=3054781" TargetMode="External"/><Relationship Id="rId209" Type="http://schemas.openxmlformats.org/officeDocument/2006/relationships/hyperlink" Target="https://sei.ufg.br/sei/controlador.php?acao=procedimento_trabalhar&amp;id_procedimento=4290175" TargetMode="External"/><Relationship Id="rId208" Type="http://schemas.openxmlformats.org/officeDocument/2006/relationships/hyperlink" Target="https://sei.ufg.br/sei/controlador.php?acao=procedimento_trabalhar&amp;id_procedimento=4545643" TargetMode="External"/><Relationship Id="rId329" Type="http://schemas.openxmlformats.org/officeDocument/2006/relationships/hyperlink" Target="https://sei.ufg.br/sei/controlador.php?acao=procedimento_trabalhar&amp;id_procedimento=3139315" TargetMode="External"/><Relationship Id="rId207" Type="http://schemas.openxmlformats.org/officeDocument/2006/relationships/hyperlink" Target="https://sei.ufg.br/sei/controlador.php?acao=procedimento_trabalhar&amp;id_procedimento=4556516" TargetMode="External"/><Relationship Id="rId328" Type="http://schemas.openxmlformats.org/officeDocument/2006/relationships/hyperlink" Target="https://sei.ufg.br/sei/controlador.php?acao=procedimento_trabalhar&amp;id_procedimento=2622827" TargetMode="External"/><Relationship Id="rId202" Type="http://schemas.openxmlformats.org/officeDocument/2006/relationships/hyperlink" Target="https://sei.ufg.br/sei/controlador.php?acao=procedimento_trabalhar&amp;id_procedimento=4563991" TargetMode="External"/><Relationship Id="rId323" Type="http://schemas.openxmlformats.org/officeDocument/2006/relationships/hyperlink" Target="https://sei.ufg.br/sei/controlador.php?acao=procedimento_trabalhar&amp;id_procedimento=3186779" TargetMode="External"/><Relationship Id="rId201" Type="http://schemas.openxmlformats.org/officeDocument/2006/relationships/hyperlink" Target="https://sei.ufg.br/sei/controlador.php?acao=procedimento_trabalhar&amp;id_procedimento=4387737" TargetMode="External"/><Relationship Id="rId322" Type="http://schemas.openxmlformats.org/officeDocument/2006/relationships/hyperlink" Target="https://sei.ufg.br/sei/controlador.php?acao=procedimento_trabalhar&amp;id_procedimento=3190515" TargetMode="External"/><Relationship Id="rId200" Type="http://schemas.openxmlformats.org/officeDocument/2006/relationships/hyperlink" Target="https://sei.ufg.br/sei/controlador.php?acao=procedimento_trabalhar&amp;id_procedimento=4555892" TargetMode="External"/><Relationship Id="rId321" Type="http://schemas.openxmlformats.org/officeDocument/2006/relationships/hyperlink" Target="https://sei.ufg.br/sei/controlador.php?acao=procedimento_trabalhar&amp;id_procedimento=3314251" TargetMode="External"/><Relationship Id="rId320" Type="http://schemas.openxmlformats.org/officeDocument/2006/relationships/hyperlink" Target="https://sei.ufg.br/sei/controlador.php?acao=procedimento_trabalhar&amp;id_procedimento=3285101" TargetMode="External"/><Relationship Id="rId316" Type="http://schemas.openxmlformats.org/officeDocument/2006/relationships/hyperlink" Target="https://sei.ufg.br/sei/controlador.php?acao=procedimento_trabalhar&amp;id_procedimento=3321627" TargetMode="External"/><Relationship Id="rId315" Type="http://schemas.openxmlformats.org/officeDocument/2006/relationships/hyperlink" Target="https://sei.ufg.br/sei/controlador.php?acao=procedimento_trabalhar&amp;id_procedimento=3318419" TargetMode="External"/><Relationship Id="rId314" Type="http://schemas.openxmlformats.org/officeDocument/2006/relationships/hyperlink" Target="https://sei.ufg.br/sei/controlador.php?acao=procedimento_trabalhar&amp;id_procedimento=3308518" TargetMode="External"/><Relationship Id="rId313" Type="http://schemas.openxmlformats.org/officeDocument/2006/relationships/hyperlink" Target="https://sei.ufg.br/sei/controlador.php?acao=procedimento_trabalhar&amp;id_procedimento=3375065" TargetMode="External"/><Relationship Id="rId319" Type="http://schemas.openxmlformats.org/officeDocument/2006/relationships/hyperlink" Target="https://sei.ufg.br/sei/controlador.php?acao=procedimento_trabalhar&amp;id_procedimento=3244042" TargetMode="External"/><Relationship Id="rId318" Type="http://schemas.openxmlformats.org/officeDocument/2006/relationships/hyperlink" Target="https://sei.ufg.br/sei/controlador.php?acao=procedimento_trabalhar&amp;id_procedimento=3297288" TargetMode="External"/><Relationship Id="rId317" Type="http://schemas.openxmlformats.org/officeDocument/2006/relationships/hyperlink" Target="https://sei.ufg.br/sei/controlador.php?acao=procedimento_trabalhar&amp;id_procedimento=3309877" TargetMode="External"/><Relationship Id="rId312" Type="http://schemas.openxmlformats.org/officeDocument/2006/relationships/hyperlink" Target="https://sei.ufg.br/sei/controlador.php?acao=procedimento_trabalhar&amp;id_procedimento=3270201" TargetMode="External"/><Relationship Id="rId311" Type="http://schemas.openxmlformats.org/officeDocument/2006/relationships/hyperlink" Target="https://sei.ufg.br/sei/controlador.php?acao=procedimento_trabalhar&amp;id_procedimento=3421560" TargetMode="External"/><Relationship Id="rId310" Type="http://schemas.openxmlformats.org/officeDocument/2006/relationships/hyperlink" Target="https://sei.ufg.br/sei/controlador.php?acao=procedimento_trabalhar&amp;id_procedimento=3415677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2.14"/>
    <col customWidth="1" min="3" max="3" width="7.57"/>
    <col customWidth="1" min="4" max="4" width="12.57"/>
    <col customWidth="1" min="5" max="5" width="13.14"/>
    <col customWidth="1" min="6" max="6" width="11.57"/>
    <col customWidth="1" min="7" max="7" width="15.43"/>
    <col customWidth="1" min="8" max="8" width="17.71"/>
    <col customWidth="1" min="9" max="9" width="15.0"/>
    <col customWidth="1" min="10" max="10" width="15.14"/>
    <col customWidth="1" min="11" max="11" width="12.43"/>
    <col customWidth="1" min="12" max="12" width="13.43"/>
    <col customWidth="1" min="13" max="13" width="11.43"/>
    <col customWidth="1" min="14" max="15" width="15.71"/>
    <col customWidth="1" min="16" max="16" width="14.0"/>
    <col customWidth="1" min="17" max="17" width="12.86"/>
    <col customWidth="1" min="18" max="18" width="7.43"/>
    <col customWidth="1" min="19" max="19" width="19.43"/>
    <col customWidth="1" min="20" max="20" width="26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1</v>
      </c>
      <c r="T1" s="4">
        <f>NOW()</f>
        <v>46212.13434</v>
      </c>
    </row>
    <row r="2" ht="33.75" customHeight="1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7" t="s">
        <v>21</v>
      </c>
    </row>
    <row r="3" ht="172.5" customHeight="1">
      <c r="A3" s="8"/>
      <c r="B3" s="9"/>
      <c r="C3" s="9"/>
      <c r="D3" s="9"/>
      <c r="E3" s="9"/>
      <c r="F3" s="9"/>
      <c r="G3" s="10"/>
      <c r="H3" s="10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1"/>
    </row>
    <row r="4" ht="33.75" customHeight="1">
      <c r="A4" s="12">
        <v>83.0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3" t="s">
        <v>8</v>
      </c>
      <c r="H4" s="12" t="s">
        <v>9</v>
      </c>
      <c r="I4" s="13" t="s">
        <v>10</v>
      </c>
      <c r="J4" s="12" t="s">
        <v>11</v>
      </c>
      <c r="K4" s="13" t="s">
        <v>12</v>
      </c>
      <c r="L4" s="12" t="s">
        <v>13</v>
      </c>
      <c r="M4" s="12" t="s">
        <v>14</v>
      </c>
      <c r="N4" s="12" t="s">
        <v>15</v>
      </c>
      <c r="O4" s="12" t="s">
        <v>16</v>
      </c>
      <c r="P4" s="12" t="s">
        <v>17</v>
      </c>
      <c r="Q4" s="12" t="s">
        <v>18</v>
      </c>
      <c r="R4" s="14" t="s">
        <v>19</v>
      </c>
      <c r="S4" s="14" t="s">
        <v>20</v>
      </c>
      <c r="T4" s="15" t="s">
        <v>22</v>
      </c>
    </row>
    <row r="5" ht="58.5" hidden="1" customHeight="1">
      <c r="A5" s="16" t="s">
        <v>23</v>
      </c>
      <c r="B5" s="17">
        <v>46195.0</v>
      </c>
      <c r="C5" s="18">
        <f t="shared" ref="C5:C201" si="1">B5</f>
        <v>46195</v>
      </c>
      <c r="D5" s="19" t="s">
        <v>24</v>
      </c>
      <c r="E5" s="19" t="s">
        <v>25</v>
      </c>
      <c r="F5" s="19" t="s">
        <v>26</v>
      </c>
      <c r="G5" s="20" t="s">
        <v>27</v>
      </c>
      <c r="H5" s="19" t="s">
        <v>28</v>
      </c>
      <c r="I5" s="21" t="s">
        <v>29</v>
      </c>
      <c r="J5" s="21"/>
      <c r="K5" s="22"/>
      <c r="L5" s="22"/>
      <c r="M5" s="22"/>
      <c r="N5" s="23" t="s">
        <v>30</v>
      </c>
      <c r="O5" s="19"/>
      <c r="P5" s="22"/>
      <c r="Q5" s="22"/>
      <c r="R5" s="24"/>
      <c r="S5" s="25"/>
      <c r="T5" s="26"/>
    </row>
    <row r="6" ht="58.5" hidden="1" customHeight="1">
      <c r="A6" s="16" t="s">
        <v>31</v>
      </c>
      <c r="B6" s="17">
        <v>46190.0</v>
      </c>
      <c r="C6" s="18">
        <f t="shared" si="1"/>
        <v>46190</v>
      </c>
      <c r="D6" s="19" t="s">
        <v>32</v>
      </c>
      <c r="E6" s="19" t="s">
        <v>33</v>
      </c>
      <c r="F6" s="19" t="s">
        <v>26</v>
      </c>
      <c r="G6" s="20" t="s">
        <v>34</v>
      </c>
      <c r="H6" s="19" t="s">
        <v>35</v>
      </c>
      <c r="I6" s="21" t="s">
        <v>36</v>
      </c>
      <c r="J6" s="21"/>
      <c r="K6" s="22"/>
      <c r="L6" s="22"/>
      <c r="M6" s="22"/>
      <c r="N6" s="23" t="s">
        <v>30</v>
      </c>
      <c r="O6" s="19"/>
      <c r="P6" s="22"/>
      <c r="Q6" s="22"/>
      <c r="R6" s="24"/>
      <c r="S6" s="25"/>
      <c r="T6" s="26"/>
    </row>
    <row r="7" ht="58.5" hidden="1" customHeight="1">
      <c r="A7" s="16" t="s">
        <v>37</v>
      </c>
      <c r="B7" s="17">
        <v>46182.0</v>
      </c>
      <c r="C7" s="18">
        <f t="shared" si="1"/>
        <v>46182</v>
      </c>
      <c r="D7" s="19" t="s">
        <v>38</v>
      </c>
      <c r="E7" s="19" t="s">
        <v>33</v>
      </c>
      <c r="F7" s="19" t="s">
        <v>26</v>
      </c>
      <c r="G7" s="20" t="s">
        <v>39</v>
      </c>
      <c r="H7" s="19" t="s">
        <v>40</v>
      </c>
      <c r="I7" s="21" t="s">
        <v>29</v>
      </c>
      <c r="J7" s="21" t="s">
        <v>41</v>
      </c>
      <c r="K7" s="22">
        <v>46182.0</v>
      </c>
      <c r="L7" s="22"/>
      <c r="M7" s="17">
        <v>46197.0</v>
      </c>
      <c r="N7" s="23" t="s">
        <v>42</v>
      </c>
      <c r="O7" s="19"/>
      <c r="P7" s="22"/>
      <c r="Q7" s="22">
        <v>46204.0</v>
      </c>
      <c r="R7" s="24">
        <f t="shared" ref="R7:R33" si="2">Q7</f>
        <v>46204</v>
      </c>
      <c r="S7" s="25" t="s">
        <v>43</v>
      </c>
      <c r="T7" s="26" t="s">
        <v>44</v>
      </c>
    </row>
    <row r="8" ht="58.5" hidden="1" customHeight="1">
      <c r="A8" s="16" t="s">
        <v>45</v>
      </c>
      <c r="B8" s="17">
        <v>46181.0</v>
      </c>
      <c r="C8" s="18">
        <f t="shared" si="1"/>
        <v>46181</v>
      </c>
      <c r="D8" s="19" t="s">
        <v>46</v>
      </c>
      <c r="E8" s="19" t="s">
        <v>47</v>
      </c>
      <c r="F8" s="19" t="s">
        <v>47</v>
      </c>
      <c r="G8" s="20" t="s">
        <v>48</v>
      </c>
      <c r="H8" s="19" t="s">
        <v>49</v>
      </c>
      <c r="I8" s="21" t="s">
        <v>36</v>
      </c>
      <c r="J8" s="21" t="s">
        <v>41</v>
      </c>
      <c r="K8" s="22">
        <v>46181.0</v>
      </c>
      <c r="L8" s="22"/>
      <c r="M8" s="22">
        <v>46204.0</v>
      </c>
      <c r="N8" s="23" t="s">
        <v>42</v>
      </c>
      <c r="O8" s="19"/>
      <c r="P8" s="22"/>
      <c r="Q8" s="22">
        <v>46204.0</v>
      </c>
      <c r="R8" s="24">
        <f t="shared" si="2"/>
        <v>46204</v>
      </c>
      <c r="S8" s="25" t="s">
        <v>50</v>
      </c>
      <c r="T8" s="26"/>
    </row>
    <row r="9" ht="58.5" hidden="1" customHeight="1">
      <c r="A9" s="16" t="s">
        <v>51</v>
      </c>
      <c r="B9" s="17">
        <v>46174.0</v>
      </c>
      <c r="C9" s="18">
        <f t="shared" si="1"/>
        <v>46174</v>
      </c>
      <c r="D9" s="19" t="s">
        <v>52</v>
      </c>
      <c r="E9" s="19"/>
      <c r="F9" s="19"/>
      <c r="G9" s="20" t="s">
        <v>53</v>
      </c>
      <c r="H9" s="19" t="s">
        <v>54</v>
      </c>
      <c r="I9" s="21" t="s">
        <v>36</v>
      </c>
      <c r="J9" s="21" t="s">
        <v>41</v>
      </c>
      <c r="K9" s="22">
        <v>46174.0</v>
      </c>
      <c r="L9" s="22"/>
      <c r="M9" s="22"/>
      <c r="N9" s="23" t="s">
        <v>55</v>
      </c>
      <c r="O9" s="19"/>
      <c r="P9" s="22"/>
      <c r="Q9" s="22"/>
      <c r="R9" s="24" t="str">
        <f t="shared" si="2"/>
        <v/>
      </c>
      <c r="S9" s="25"/>
      <c r="T9" s="26"/>
    </row>
    <row r="10" ht="58.5" hidden="1" customHeight="1">
      <c r="A10" s="16" t="s">
        <v>56</v>
      </c>
      <c r="B10" s="17">
        <v>46164.0</v>
      </c>
      <c r="C10" s="18">
        <f t="shared" si="1"/>
        <v>46164</v>
      </c>
      <c r="D10" s="19" t="s">
        <v>57</v>
      </c>
      <c r="E10" s="19" t="s">
        <v>58</v>
      </c>
      <c r="F10" s="19" t="s">
        <v>58</v>
      </c>
      <c r="G10" s="20" t="s">
        <v>59</v>
      </c>
      <c r="H10" s="19" t="s">
        <v>60</v>
      </c>
      <c r="I10" s="21" t="s">
        <v>61</v>
      </c>
      <c r="J10" s="21"/>
      <c r="K10" s="22"/>
      <c r="L10" s="22"/>
      <c r="M10" s="22"/>
      <c r="N10" s="23" t="s">
        <v>30</v>
      </c>
      <c r="O10" s="19"/>
      <c r="P10" s="22"/>
      <c r="Q10" s="22"/>
      <c r="R10" s="24" t="str">
        <f t="shared" si="2"/>
        <v/>
      </c>
      <c r="S10" s="25"/>
      <c r="T10" s="26"/>
    </row>
    <row r="11" ht="58.5" hidden="1" customHeight="1">
      <c r="A11" s="16" t="s">
        <v>62</v>
      </c>
      <c r="B11" s="17">
        <v>46163.0</v>
      </c>
      <c r="C11" s="18">
        <f t="shared" si="1"/>
        <v>46163</v>
      </c>
      <c r="D11" s="19" t="s">
        <v>52</v>
      </c>
      <c r="E11" s="19"/>
      <c r="F11" s="19"/>
      <c r="G11" s="20" t="s">
        <v>63</v>
      </c>
      <c r="H11" s="19" t="s">
        <v>54</v>
      </c>
      <c r="I11" s="21" t="s">
        <v>36</v>
      </c>
      <c r="J11" s="21" t="s">
        <v>41</v>
      </c>
      <c r="K11" s="22">
        <v>46163.0</v>
      </c>
      <c r="L11" s="22"/>
      <c r="M11" s="22"/>
      <c r="N11" s="23" t="s">
        <v>64</v>
      </c>
      <c r="O11" s="19"/>
      <c r="P11" s="22"/>
      <c r="Q11" s="22"/>
      <c r="R11" s="24" t="str">
        <f t="shared" si="2"/>
        <v/>
      </c>
      <c r="S11" s="25"/>
      <c r="T11" s="26"/>
    </row>
    <row r="12" ht="58.5" hidden="1" customHeight="1">
      <c r="A12" s="16" t="s">
        <v>65</v>
      </c>
      <c r="B12" s="17">
        <v>46160.0</v>
      </c>
      <c r="C12" s="18">
        <f t="shared" si="1"/>
        <v>46160</v>
      </c>
      <c r="D12" s="19" t="s">
        <v>66</v>
      </c>
      <c r="E12" s="19" t="s">
        <v>25</v>
      </c>
      <c r="F12" s="19" t="s">
        <v>26</v>
      </c>
      <c r="G12" s="20" t="s">
        <v>67</v>
      </c>
      <c r="H12" s="19" t="s">
        <v>28</v>
      </c>
      <c r="I12" s="21" t="s">
        <v>61</v>
      </c>
      <c r="J12" s="21"/>
      <c r="K12" s="22"/>
      <c r="L12" s="27" t="s">
        <v>68</v>
      </c>
      <c r="M12" s="22"/>
      <c r="N12" s="23" t="s">
        <v>30</v>
      </c>
      <c r="O12" s="19"/>
      <c r="P12" s="22"/>
      <c r="Q12" s="22"/>
      <c r="R12" s="24" t="str">
        <f t="shared" si="2"/>
        <v/>
      </c>
      <c r="S12" s="25"/>
      <c r="T12" s="26" t="s">
        <v>69</v>
      </c>
    </row>
    <row r="13" ht="58.5" hidden="1" customHeight="1">
      <c r="A13" s="16" t="s">
        <v>70</v>
      </c>
      <c r="B13" s="17">
        <v>46160.0</v>
      </c>
      <c r="C13" s="18">
        <f t="shared" si="1"/>
        <v>46160</v>
      </c>
      <c r="D13" s="19" t="s">
        <v>24</v>
      </c>
      <c r="E13" s="19" t="s">
        <v>25</v>
      </c>
      <c r="F13" s="19" t="s">
        <v>26</v>
      </c>
      <c r="G13" s="20" t="s">
        <v>71</v>
      </c>
      <c r="H13" s="19" t="s">
        <v>28</v>
      </c>
      <c r="I13" s="21" t="s">
        <v>61</v>
      </c>
      <c r="J13" s="21"/>
      <c r="K13" s="22"/>
      <c r="L13" s="22"/>
      <c r="M13" s="22"/>
      <c r="N13" s="23" t="s">
        <v>30</v>
      </c>
      <c r="O13" s="19"/>
      <c r="P13" s="22"/>
      <c r="Q13" s="22"/>
      <c r="R13" s="24" t="str">
        <f t="shared" si="2"/>
        <v/>
      </c>
      <c r="S13" s="25"/>
      <c r="T13" s="26" t="s">
        <v>72</v>
      </c>
    </row>
    <row r="14" ht="58.5" hidden="1" customHeight="1">
      <c r="A14" s="16" t="s">
        <v>73</v>
      </c>
      <c r="B14" s="17">
        <v>46160.0</v>
      </c>
      <c r="C14" s="18">
        <f t="shared" si="1"/>
        <v>46160</v>
      </c>
      <c r="D14" s="19" t="s">
        <v>46</v>
      </c>
      <c r="E14" s="19" t="s">
        <v>25</v>
      </c>
      <c r="F14" s="19" t="s">
        <v>26</v>
      </c>
      <c r="G14" s="20" t="s">
        <v>74</v>
      </c>
      <c r="H14" s="19" t="s">
        <v>28</v>
      </c>
      <c r="I14" s="21" t="s">
        <v>61</v>
      </c>
      <c r="J14" s="21" t="s">
        <v>75</v>
      </c>
      <c r="K14" s="22">
        <v>46160.0</v>
      </c>
      <c r="L14" s="22"/>
      <c r="M14" s="22"/>
      <c r="N14" s="23" t="s">
        <v>64</v>
      </c>
      <c r="O14" s="19"/>
      <c r="P14" s="22"/>
      <c r="Q14" s="22"/>
      <c r="R14" s="24" t="str">
        <f t="shared" si="2"/>
        <v/>
      </c>
      <c r="S14" s="25"/>
      <c r="T14" s="26"/>
    </row>
    <row r="15" ht="58.5" hidden="1" customHeight="1">
      <c r="A15" s="28" t="s">
        <v>76</v>
      </c>
      <c r="B15" s="17">
        <v>46157.0</v>
      </c>
      <c r="C15" s="18">
        <f t="shared" si="1"/>
        <v>46157</v>
      </c>
      <c r="D15" s="19" t="s">
        <v>77</v>
      </c>
      <c r="E15" s="19" t="s">
        <v>33</v>
      </c>
      <c r="F15" s="19" t="s">
        <v>26</v>
      </c>
      <c r="G15" s="20" t="s">
        <v>78</v>
      </c>
      <c r="H15" s="19" t="s">
        <v>35</v>
      </c>
      <c r="I15" s="21" t="s">
        <v>61</v>
      </c>
      <c r="J15" s="21" t="s">
        <v>41</v>
      </c>
      <c r="K15" s="22">
        <v>46157.0</v>
      </c>
      <c r="L15" s="22">
        <v>46191.0</v>
      </c>
      <c r="M15" s="22">
        <v>46160.0</v>
      </c>
      <c r="N15" s="23" t="s">
        <v>42</v>
      </c>
      <c r="O15" s="19">
        <v>37.12</v>
      </c>
      <c r="P15" s="22">
        <v>46199.0</v>
      </c>
      <c r="Q15" s="22">
        <v>46195.0</v>
      </c>
      <c r="R15" s="24">
        <f t="shared" si="2"/>
        <v>46195</v>
      </c>
      <c r="S15" s="25" t="s">
        <v>50</v>
      </c>
      <c r="T15" s="26" t="s">
        <v>79</v>
      </c>
    </row>
    <row r="16" ht="58.5" hidden="1" customHeight="1">
      <c r="A16" s="16" t="s">
        <v>80</v>
      </c>
      <c r="B16" s="17">
        <v>46155.0</v>
      </c>
      <c r="C16" s="18">
        <f t="shared" si="1"/>
        <v>46155</v>
      </c>
      <c r="D16" s="19" t="s">
        <v>81</v>
      </c>
      <c r="E16" s="19" t="s">
        <v>25</v>
      </c>
      <c r="F16" s="19" t="s">
        <v>26</v>
      </c>
      <c r="G16" s="20" t="s">
        <v>82</v>
      </c>
      <c r="H16" s="19" t="s">
        <v>60</v>
      </c>
      <c r="I16" s="21" t="s">
        <v>61</v>
      </c>
      <c r="J16" s="21"/>
      <c r="K16" s="22"/>
      <c r="L16" s="22"/>
      <c r="M16" s="22"/>
      <c r="N16" s="23" t="s">
        <v>30</v>
      </c>
      <c r="O16" s="19"/>
      <c r="P16" s="22"/>
      <c r="Q16" s="22"/>
      <c r="R16" s="24" t="str">
        <f t="shared" si="2"/>
        <v/>
      </c>
      <c r="S16" s="25"/>
      <c r="T16" s="26"/>
    </row>
    <row r="17" ht="58.5" hidden="1" customHeight="1">
      <c r="A17" s="16" t="s">
        <v>83</v>
      </c>
      <c r="B17" s="17">
        <v>46153.0</v>
      </c>
      <c r="C17" s="18">
        <f t="shared" si="1"/>
        <v>46153</v>
      </c>
      <c r="D17" s="19" t="s">
        <v>32</v>
      </c>
      <c r="E17" s="19" t="s">
        <v>33</v>
      </c>
      <c r="F17" s="19" t="s">
        <v>26</v>
      </c>
      <c r="G17" s="20" t="s">
        <v>84</v>
      </c>
      <c r="H17" s="19" t="s">
        <v>35</v>
      </c>
      <c r="I17" s="21" t="s">
        <v>61</v>
      </c>
      <c r="J17" s="21"/>
      <c r="K17" s="22"/>
      <c r="L17" s="22"/>
      <c r="M17" s="22"/>
      <c r="N17" s="23" t="s">
        <v>30</v>
      </c>
      <c r="O17" s="19"/>
      <c r="P17" s="22"/>
      <c r="Q17" s="22"/>
      <c r="R17" s="24" t="str">
        <f t="shared" si="2"/>
        <v/>
      </c>
      <c r="S17" s="25"/>
      <c r="T17" s="26"/>
    </row>
    <row r="18" ht="58.5" hidden="1" customHeight="1">
      <c r="A18" s="16" t="s">
        <v>85</v>
      </c>
      <c r="B18" s="17">
        <v>46147.0</v>
      </c>
      <c r="C18" s="18">
        <f t="shared" si="1"/>
        <v>46147</v>
      </c>
      <c r="D18" s="19" t="s">
        <v>57</v>
      </c>
      <c r="E18" s="19" t="s">
        <v>58</v>
      </c>
      <c r="F18" s="19" t="s">
        <v>58</v>
      </c>
      <c r="G18" s="20" t="s">
        <v>86</v>
      </c>
      <c r="H18" s="19" t="s">
        <v>87</v>
      </c>
      <c r="I18" s="21" t="s">
        <v>36</v>
      </c>
      <c r="J18" s="21"/>
      <c r="K18" s="22"/>
      <c r="L18" s="22"/>
      <c r="M18" s="22"/>
      <c r="N18" s="23" t="s">
        <v>30</v>
      </c>
      <c r="O18" s="19"/>
      <c r="P18" s="22"/>
      <c r="Q18" s="22"/>
      <c r="R18" s="24" t="str">
        <f t="shared" si="2"/>
        <v/>
      </c>
      <c r="S18" s="25"/>
      <c r="T18" s="26"/>
    </row>
    <row r="19" ht="58.5" hidden="1" customHeight="1">
      <c r="A19" s="16" t="s">
        <v>88</v>
      </c>
      <c r="B19" s="17">
        <v>46147.0</v>
      </c>
      <c r="C19" s="18">
        <f t="shared" si="1"/>
        <v>46147</v>
      </c>
      <c r="D19" s="19" t="s">
        <v>57</v>
      </c>
      <c r="E19" s="19" t="s">
        <v>58</v>
      </c>
      <c r="F19" s="19" t="s">
        <v>58</v>
      </c>
      <c r="G19" s="20" t="s">
        <v>89</v>
      </c>
      <c r="H19" s="19" t="s">
        <v>87</v>
      </c>
      <c r="I19" s="21" t="s">
        <v>36</v>
      </c>
      <c r="J19" s="21"/>
      <c r="K19" s="22"/>
      <c r="L19" s="22"/>
      <c r="M19" s="22"/>
      <c r="N19" s="23" t="s">
        <v>30</v>
      </c>
      <c r="O19" s="19"/>
      <c r="P19" s="22"/>
      <c r="Q19" s="22"/>
      <c r="R19" s="24" t="str">
        <f t="shared" si="2"/>
        <v/>
      </c>
      <c r="S19" s="25"/>
      <c r="T19" s="26"/>
    </row>
    <row r="20" ht="58.5" hidden="1" customHeight="1">
      <c r="A20" s="16" t="s">
        <v>90</v>
      </c>
      <c r="B20" s="17">
        <v>46141.0</v>
      </c>
      <c r="C20" s="18">
        <f t="shared" si="1"/>
        <v>46141</v>
      </c>
      <c r="D20" s="19" t="s">
        <v>91</v>
      </c>
      <c r="E20" s="19" t="s">
        <v>25</v>
      </c>
      <c r="F20" s="19" t="s">
        <v>26</v>
      </c>
      <c r="G20" s="20" t="s">
        <v>92</v>
      </c>
      <c r="H20" s="19" t="s">
        <v>28</v>
      </c>
      <c r="I20" s="21" t="s">
        <v>36</v>
      </c>
      <c r="J20" s="21" t="s">
        <v>41</v>
      </c>
      <c r="K20" s="22">
        <v>46141.0</v>
      </c>
      <c r="L20" s="22">
        <v>46188.0</v>
      </c>
      <c r="M20" s="22">
        <v>46188.0</v>
      </c>
      <c r="N20" s="23" t="s">
        <v>42</v>
      </c>
      <c r="O20" s="19">
        <v>10.94</v>
      </c>
      <c r="P20" s="22">
        <v>46192.0</v>
      </c>
      <c r="Q20" s="22">
        <v>46191.0</v>
      </c>
      <c r="R20" s="24">
        <f t="shared" si="2"/>
        <v>46191</v>
      </c>
      <c r="S20" s="25" t="s">
        <v>43</v>
      </c>
      <c r="T20" s="26" t="s">
        <v>93</v>
      </c>
    </row>
    <row r="21" ht="58.5" hidden="1" customHeight="1">
      <c r="A21" s="16" t="s">
        <v>94</v>
      </c>
      <c r="B21" s="29">
        <v>46139.0</v>
      </c>
      <c r="C21" s="18">
        <f t="shared" si="1"/>
        <v>46139</v>
      </c>
      <c r="D21" s="19" t="s">
        <v>38</v>
      </c>
      <c r="E21" s="19" t="s">
        <v>33</v>
      </c>
      <c r="F21" s="19" t="s">
        <v>26</v>
      </c>
      <c r="G21" s="20" t="s">
        <v>95</v>
      </c>
      <c r="H21" s="19" t="s">
        <v>28</v>
      </c>
      <c r="I21" s="21" t="s">
        <v>29</v>
      </c>
      <c r="J21" s="21" t="s">
        <v>41</v>
      </c>
      <c r="K21" s="22">
        <v>46139.0</v>
      </c>
      <c r="L21" s="22"/>
      <c r="M21" s="22">
        <v>46147.0</v>
      </c>
      <c r="N21" s="23" t="s">
        <v>42</v>
      </c>
      <c r="O21" s="19"/>
      <c r="P21" s="22"/>
      <c r="Q21" s="22">
        <v>46153.0</v>
      </c>
      <c r="R21" s="24">
        <f t="shared" si="2"/>
        <v>46153</v>
      </c>
      <c r="S21" s="25" t="s">
        <v>96</v>
      </c>
      <c r="T21" s="26" t="s">
        <v>97</v>
      </c>
    </row>
    <row r="22" ht="58.5" hidden="1" customHeight="1">
      <c r="A22" s="16" t="s">
        <v>98</v>
      </c>
      <c r="B22" s="29">
        <v>46138.0</v>
      </c>
      <c r="C22" s="18">
        <f t="shared" si="1"/>
        <v>46138</v>
      </c>
      <c r="D22" s="19" t="s">
        <v>57</v>
      </c>
      <c r="E22" s="19" t="s">
        <v>58</v>
      </c>
      <c r="F22" s="19" t="s">
        <v>58</v>
      </c>
      <c r="G22" s="20" t="s">
        <v>99</v>
      </c>
      <c r="H22" s="19" t="s">
        <v>35</v>
      </c>
      <c r="I22" s="21" t="s">
        <v>61</v>
      </c>
      <c r="J22" s="21"/>
      <c r="K22" s="22"/>
      <c r="L22" s="22"/>
      <c r="M22" s="22"/>
      <c r="N22" s="23" t="s">
        <v>30</v>
      </c>
      <c r="O22" s="19"/>
      <c r="P22" s="22"/>
      <c r="Q22" s="22"/>
      <c r="R22" s="24" t="str">
        <f t="shared" si="2"/>
        <v/>
      </c>
      <c r="S22" s="25"/>
      <c r="T22" s="26"/>
    </row>
    <row r="23" ht="58.5" hidden="1" customHeight="1">
      <c r="A23" s="16" t="s">
        <v>100</v>
      </c>
      <c r="B23" s="29">
        <v>46130.0</v>
      </c>
      <c r="C23" s="18">
        <f t="shared" si="1"/>
        <v>46130</v>
      </c>
      <c r="D23" s="19" t="s">
        <v>101</v>
      </c>
      <c r="E23" s="19" t="s">
        <v>25</v>
      </c>
      <c r="F23" s="19" t="s">
        <v>26</v>
      </c>
      <c r="G23" s="20" t="s">
        <v>102</v>
      </c>
      <c r="H23" s="19" t="s">
        <v>60</v>
      </c>
      <c r="I23" s="21" t="s">
        <v>36</v>
      </c>
      <c r="J23" s="21"/>
      <c r="K23" s="22"/>
      <c r="L23" s="22"/>
      <c r="M23" s="22"/>
      <c r="N23" s="23" t="s">
        <v>30</v>
      </c>
      <c r="O23" s="19"/>
      <c r="P23" s="22"/>
      <c r="Q23" s="22"/>
      <c r="R23" s="24" t="str">
        <f t="shared" si="2"/>
        <v/>
      </c>
      <c r="S23" s="25"/>
      <c r="T23" s="26"/>
    </row>
    <row r="24" ht="58.5" hidden="1" customHeight="1">
      <c r="A24" s="16" t="s">
        <v>103</v>
      </c>
      <c r="B24" s="29">
        <v>46129.0</v>
      </c>
      <c r="C24" s="18">
        <f t="shared" si="1"/>
        <v>46129</v>
      </c>
      <c r="D24" s="19" t="s">
        <v>57</v>
      </c>
      <c r="E24" s="19" t="s">
        <v>58</v>
      </c>
      <c r="F24" s="19" t="s">
        <v>58</v>
      </c>
      <c r="G24" s="20" t="s">
        <v>104</v>
      </c>
      <c r="H24" s="19" t="s">
        <v>35</v>
      </c>
      <c r="I24" s="21" t="s">
        <v>36</v>
      </c>
      <c r="J24" s="21"/>
      <c r="K24" s="22"/>
      <c r="L24" s="22"/>
      <c r="M24" s="22"/>
      <c r="N24" s="23" t="s">
        <v>30</v>
      </c>
      <c r="O24" s="19"/>
      <c r="P24" s="22"/>
      <c r="Q24" s="22"/>
      <c r="R24" s="24" t="str">
        <f t="shared" si="2"/>
        <v/>
      </c>
      <c r="S24" s="25"/>
      <c r="T24" s="26"/>
    </row>
    <row r="25" ht="58.5" hidden="1" customHeight="1">
      <c r="A25" s="16" t="s">
        <v>105</v>
      </c>
      <c r="B25" s="29">
        <v>46129.0</v>
      </c>
      <c r="C25" s="18">
        <f t="shared" si="1"/>
        <v>46129</v>
      </c>
      <c r="D25" s="19" t="s">
        <v>57</v>
      </c>
      <c r="E25" s="19" t="s">
        <v>58</v>
      </c>
      <c r="F25" s="19" t="s">
        <v>58</v>
      </c>
      <c r="G25" s="20" t="s">
        <v>106</v>
      </c>
      <c r="H25" s="19" t="s">
        <v>28</v>
      </c>
      <c r="I25" s="21" t="s">
        <v>36</v>
      </c>
      <c r="J25" s="21"/>
      <c r="K25" s="22"/>
      <c r="L25" s="22"/>
      <c r="M25" s="22"/>
      <c r="N25" s="23" t="s">
        <v>30</v>
      </c>
      <c r="O25" s="19"/>
      <c r="P25" s="22"/>
      <c r="Q25" s="22"/>
      <c r="R25" s="24" t="str">
        <f t="shared" si="2"/>
        <v/>
      </c>
      <c r="S25" s="25"/>
      <c r="T25" s="26"/>
    </row>
    <row r="26" ht="58.5" customHeight="1">
      <c r="A26" s="16" t="s">
        <v>107</v>
      </c>
      <c r="B26" s="29">
        <v>46120.0</v>
      </c>
      <c r="C26" s="18">
        <f t="shared" si="1"/>
        <v>46120</v>
      </c>
      <c r="D26" s="19" t="s">
        <v>108</v>
      </c>
      <c r="E26" s="19" t="s">
        <v>25</v>
      </c>
      <c r="F26" s="19" t="s">
        <v>26</v>
      </c>
      <c r="G26" s="20" t="s">
        <v>109</v>
      </c>
      <c r="H26" s="19" t="s">
        <v>28</v>
      </c>
      <c r="I26" s="21" t="s">
        <v>61</v>
      </c>
      <c r="J26" s="21" t="s">
        <v>110</v>
      </c>
      <c r="K26" s="22">
        <v>46122.0</v>
      </c>
      <c r="L26" s="22">
        <v>46129.0</v>
      </c>
      <c r="M26" s="22">
        <v>46129.0</v>
      </c>
      <c r="N26" s="23" t="s">
        <v>42</v>
      </c>
      <c r="O26" s="19">
        <v>564.5</v>
      </c>
      <c r="P26" s="22">
        <v>46150.0</v>
      </c>
      <c r="Q26" s="22">
        <v>46149.0</v>
      </c>
      <c r="R26" s="24">
        <f t="shared" si="2"/>
        <v>46149</v>
      </c>
      <c r="S26" s="25" t="s">
        <v>43</v>
      </c>
      <c r="T26" s="26" t="s">
        <v>111</v>
      </c>
    </row>
    <row r="27" ht="58.5" hidden="1" customHeight="1">
      <c r="A27" s="16" t="s">
        <v>112</v>
      </c>
      <c r="B27" s="29">
        <v>46118.0</v>
      </c>
      <c r="C27" s="18">
        <f t="shared" si="1"/>
        <v>46118</v>
      </c>
      <c r="D27" s="19" t="s">
        <v>52</v>
      </c>
      <c r="E27" s="19"/>
      <c r="F27" s="19"/>
      <c r="G27" s="20" t="s">
        <v>113</v>
      </c>
      <c r="H27" s="19" t="s">
        <v>54</v>
      </c>
      <c r="I27" s="21" t="s">
        <v>29</v>
      </c>
      <c r="J27" s="21" t="s">
        <v>41</v>
      </c>
      <c r="K27" s="22">
        <v>46119.0</v>
      </c>
      <c r="L27" s="22"/>
      <c r="M27" s="22"/>
      <c r="N27" s="23" t="s">
        <v>64</v>
      </c>
      <c r="O27" s="19"/>
      <c r="P27" s="22"/>
      <c r="Q27" s="22"/>
      <c r="R27" s="24" t="str">
        <f t="shared" si="2"/>
        <v/>
      </c>
      <c r="S27" s="25"/>
      <c r="T27" s="26" t="s">
        <v>114</v>
      </c>
    </row>
    <row r="28" ht="58.5" hidden="1" customHeight="1">
      <c r="A28" s="16" t="s">
        <v>115</v>
      </c>
      <c r="B28" s="29">
        <v>46114.0</v>
      </c>
      <c r="C28" s="24">
        <f t="shared" si="1"/>
        <v>46114</v>
      </c>
      <c r="D28" s="19" t="s">
        <v>116</v>
      </c>
      <c r="E28" s="19" t="s">
        <v>25</v>
      </c>
      <c r="F28" s="19" t="s">
        <v>26</v>
      </c>
      <c r="G28" s="20" t="s">
        <v>117</v>
      </c>
      <c r="H28" s="19" t="s">
        <v>49</v>
      </c>
      <c r="I28" s="21" t="s">
        <v>61</v>
      </c>
      <c r="J28" s="21" t="s">
        <v>41</v>
      </c>
      <c r="K28" s="22">
        <v>46155.0</v>
      </c>
      <c r="L28" s="22"/>
      <c r="M28" s="22">
        <v>46155.0</v>
      </c>
      <c r="N28" s="23" t="s">
        <v>118</v>
      </c>
      <c r="O28" s="19"/>
      <c r="P28" s="22"/>
      <c r="Q28" s="22">
        <v>46158.0</v>
      </c>
      <c r="R28" s="24">
        <f t="shared" si="2"/>
        <v>46158</v>
      </c>
      <c r="S28" s="25" t="s">
        <v>119</v>
      </c>
      <c r="T28" s="26" t="s">
        <v>120</v>
      </c>
    </row>
    <row r="29" ht="58.5" hidden="1" customHeight="1">
      <c r="A29" s="16" t="s">
        <v>121</v>
      </c>
      <c r="B29" s="29">
        <v>46113.0</v>
      </c>
      <c r="C29" s="24">
        <f t="shared" si="1"/>
        <v>46113</v>
      </c>
      <c r="D29" s="19" t="s">
        <v>122</v>
      </c>
      <c r="E29" s="19" t="s">
        <v>25</v>
      </c>
      <c r="F29" s="19" t="s">
        <v>26</v>
      </c>
      <c r="G29" s="20" t="s">
        <v>123</v>
      </c>
      <c r="H29" s="19" t="s">
        <v>54</v>
      </c>
      <c r="I29" s="21" t="s">
        <v>61</v>
      </c>
      <c r="J29" s="21" t="s">
        <v>41</v>
      </c>
      <c r="K29" s="22">
        <v>46113.0</v>
      </c>
      <c r="L29" s="22"/>
      <c r="M29" s="22"/>
      <c r="N29" s="23" t="s">
        <v>118</v>
      </c>
      <c r="O29" s="19"/>
      <c r="P29" s="22"/>
      <c r="Q29" s="22">
        <v>46128.0</v>
      </c>
      <c r="R29" s="24">
        <f t="shared" si="2"/>
        <v>46128</v>
      </c>
      <c r="S29" s="25" t="s">
        <v>124</v>
      </c>
      <c r="T29" s="26" t="s">
        <v>125</v>
      </c>
    </row>
    <row r="30" ht="58.5" hidden="1" customHeight="1">
      <c r="A30" s="16" t="s">
        <v>126</v>
      </c>
      <c r="B30" s="29">
        <v>46112.0</v>
      </c>
      <c r="C30" s="24">
        <f t="shared" si="1"/>
        <v>46112</v>
      </c>
      <c r="D30" s="19" t="s">
        <v>32</v>
      </c>
      <c r="E30" s="19" t="s">
        <v>33</v>
      </c>
      <c r="F30" s="19" t="s">
        <v>26</v>
      </c>
      <c r="G30" s="20" t="s">
        <v>127</v>
      </c>
      <c r="H30" s="19" t="s">
        <v>28</v>
      </c>
      <c r="I30" s="21" t="s">
        <v>36</v>
      </c>
      <c r="J30" s="21" t="s">
        <v>128</v>
      </c>
      <c r="K30" s="22">
        <v>46127.0</v>
      </c>
      <c r="L30" s="22">
        <v>46127.0</v>
      </c>
      <c r="M30" s="22">
        <v>46127.0</v>
      </c>
      <c r="N30" s="23" t="s">
        <v>42</v>
      </c>
      <c r="O30" s="19">
        <v>271.0</v>
      </c>
      <c r="P30" s="22">
        <v>46128.0</v>
      </c>
      <c r="Q30" s="22">
        <v>46128.0</v>
      </c>
      <c r="R30" s="24">
        <f t="shared" si="2"/>
        <v>46128</v>
      </c>
      <c r="S30" s="25" t="s">
        <v>43</v>
      </c>
      <c r="T30" s="26" t="s">
        <v>129</v>
      </c>
    </row>
    <row r="31" ht="58.5" hidden="1" customHeight="1">
      <c r="A31" s="30" t="s">
        <v>76</v>
      </c>
      <c r="B31" s="29">
        <v>46111.0</v>
      </c>
      <c r="C31" s="18">
        <f t="shared" si="1"/>
        <v>46111</v>
      </c>
      <c r="D31" s="19" t="s">
        <v>32</v>
      </c>
      <c r="E31" s="19" t="s">
        <v>33</v>
      </c>
      <c r="F31" s="19" t="s">
        <v>26</v>
      </c>
      <c r="G31" s="20" t="s">
        <v>130</v>
      </c>
      <c r="H31" s="19" t="s">
        <v>49</v>
      </c>
      <c r="I31" s="21" t="s">
        <v>29</v>
      </c>
      <c r="J31" s="21" t="s">
        <v>41</v>
      </c>
      <c r="K31" s="22">
        <v>46111.0</v>
      </c>
      <c r="L31" s="22">
        <v>46114.0</v>
      </c>
      <c r="M31" s="22">
        <v>46114.0</v>
      </c>
      <c r="N31" s="23" t="s">
        <v>42</v>
      </c>
      <c r="O31" s="19"/>
      <c r="P31" s="22">
        <v>46126.0</v>
      </c>
      <c r="Q31" s="22">
        <v>46128.0</v>
      </c>
      <c r="R31" s="24">
        <f t="shared" si="2"/>
        <v>46128</v>
      </c>
      <c r="S31" s="25" t="s">
        <v>119</v>
      </c>
      <c r="T31" s="26" t="s">
        <v>131</v>
      </c>
    </row>
    <row r="32" ht="58.5" hidden="1" customHeight="1">
      <c r="A32" s="16" t="s">
        <v>132</v>
      </c>
      <c r="B32" s="29">
        <v>46111.0</v>
      </c>
      <c r="C32" s="18">
        <f t="shared" si="1"/>
        <v>46111</v>
      </c>
      <c r="D32" s="19" t="s">
        <v>133</v>
      </c>
      <c r="E32" s="19" t="s">
        <v>33</v>
      </c>
      <c r="F32" s="19" t="s">
        <v>26</v>
      </c>
      <c r="G32" s="20" t="s">
        <v>134</v>
      </c>
      <c r="H32" s="19" t="s">
        <v>28</v>
      </c>
      <c r="I32" s="21" t="s">
        <v>61</v>
      </c>
      <c r="J32" s="21"/>
      <c r="K32" s="22"/>
      <c r="L32" s="22"/>
      <c r="M32" s="22"/>
      <c r="N32" s="23" t="s">
        <v>30</v>
      </c>
      <c r="O32" s="19"/>
      <c r="P32" s="22"/>
      <c r="Q32" s="22"/>
      <c r="R32" s="24" t="str">
        <f t="shared" si="2"/>
        <v/>
      </c>
      <c r="S32" s="25"/>
      <c r="T32" s="26" t="s">
        <v>135</v>
      </c>
    </row>
    <row r="33" ht="58.5" customHeight="1">
      <c r="A33" s="31" t="s">
        <v>136</v>
      </c>
      <c r="B33" s="32">
        <v>46108.0</v>
      </c>
      <c r="C33" s="33">
        <f t="shared" si="1"/>
        <v>46108</v>
      </c>
      <c r="D33" s="34" t="s">
        <v>81</v>
      </c>
      <c r="E33" s="34" t="s">
        <v>25</v>
      </c>
      <c r="F33" s="34" t="s">
        <v>26</v>
      </c>
      <c r="G33" s="35" t="s">
        <v>137</v>
      </c>
      <c r="H33" s="34" t="s">
        <v>28</v>
      </c>
      <c r="I33" s="36" t="s">
        <v>29</v>
      </c>
      <c r="J33" s="36" t="s">
        <v>110</v>
      </c>
      <c r="K33" s="37">
        <v>46139.0</v>
      </c>
      <c r="L33" s="37">
        <v>46153.0</v>
      </c>
      <c r="M33" s="37">
        <v>46150.0</v>
      </c>
      <c r="N33" s="38" t="s">
        <v>118</v>
      </c>
      <c r="O33" s="34"/>
      <c r="P33" s="37"/>
      <c r="Q33" s="37">
        <v>46150.0</v>
      </c>
      <c r="R33" s="39">
        <f t="shared" si="2"/>
        <v>46150</v>
      </c>
      <c r="S33" s="40" t="s">
        <v>119</v>
      </c>
      <c r="T33" s="41" t="s">
        <v>138</v>
      </c>
    </row>
    <row r="34" ht="58.5" hidden="1" customHeight="1">
      <c r="A34" s="16" t="s">
        <v>139</v>
      </c>
      <c r="B34" s="29">
        <v>46108.0</v>
      </c>
      <c r="C34" s="18">
        <f t="shared" si="1"/>
        <v>46108</v>
      </c>
      <c r="D34" s="19" t="s">
        <v>140</v>
      </c>
      <c r="E34" s="19" t="s">
        <v>25</v>
      </c>
      <c r="F34" s="19" t="s">
        <v>26</v>
      </c>
      <c r="G34" s="20" t="s">
        <v>141</v>
      </c>
      <c r="H34" s="19" t="s">
        <v>28</v>
      </c>
      <c r="I34" s="21" t="s">
        <v>61</v>
      </c>
      <c r="J34" s="21"/>
      <c r="K34" s="22"/>
      <c r="L34" s="22"/>
      <c r="M34" s="22"/>
      <c r="N34" s="23" t="s">
        <v>30</v>
      </c>
      <c r="O34" s="19"/>
      <c r="P34" s="22"/>
      <c r="Q34" s="22"/>
      <c r="R34" s="24"/>
      <c r="S34" s="25"/>
      <c r="T34" s="26"/>
    </row>
    <row r="35" ht="58.5" hidden="1" customHeight="1">
      <c r="A35" s="16" t="s">
        <v>142</v>
      </c>
      <c r="B35" s="29">
        <v>46108.0</v>
      </c>
      <c r="C35" s="18">
        <f t="shared" si="1"/>
        <v>46108</v>
      </c>
      <c r="D35" s="19" t="s">
        <v>91</v>
      </c>
      <c r="E35" s="19" t="s">
        <v>25</v>
      </c>
      <c r="F35" s="19" t="s">
        <v>26</v>
      </c>
      <c r="G35" s="20" t="s">
        <v>143</v>
      </c>
      <c r="H35" s="19" t="s">
        <v>60</v>
      </c>
      <c r="I35" s="21" t="s">
        <v>61</v>
      </c>
      <c r="J35" s="21"/>
      <c r="K35" s="22"/>
      <c r="L35" s="22"/>
      <c r="M35" s="22"/>
      <c r="N35" s="23" t="s">
        <v>30</v>
      </c>
      <c r="O35" s="19"/>
      <c r="P35" s="22"/>
      <c r="Q35" s="22"/>
      <c r="R35" s="24"/>
      <c r="S35" s="25"/>
      <c r="T35" s="26"/>
    </row>
    <row r="36" ht="58.5" hidden="1" customHeight="1">
      <c r="A36" s="16" t="s">
        <v>144</v>
      </c>
      <c r="B36" s="29">
        <v>46108.0</v>
      </c>
      <c r="C36" s="18">
        <f t="shared" si="1"/>
        <v>46108</v>
      </c>
      <c r="D36" s="19" t="s">
        <v>91</v>
      </c>
      <c r="E36" s="19" t="s">
        <v>25</v>
      </c>
      <c r="F36" s="19" t="s">
        <v>26</v>
      </c>
      <c r="G36" s="20" t="s">
        <v>145</v>
      </c>
      <c r="H36" s="19" t="s">
        <v>60</v>
      </c>
      <c r="I36" s="21" t="s">
        <v>61</v>
      </c>
      <c r="J36" s="21"/>
      <c r="K36" s="22"/>
      <c r="L36" s="22"/>
      <c r="M36" s="22"/>
      <c r="N36" s="23" t="s">
        <v>30</v>
      </c>
      <c r="O36" s="19"/>
      <c r="P36" s="22"/>
      <c r="Q36" s="22"/>
      <c r="R36" s="24"/>
      <c r="S36" s="25"/>
      <c r="T36" s="26"/>
    </row>
    <row r="37" ht="58.5" hidden="1" customHeight="1">
      <c r="A37" s="16" t="s">
        <v>146</v>
      </c>
      <c r="B37" s="29">
        <v>46108.0</v>
      </c>
      <c r="C37" s="18">
        <f t="shared" si="1"/>
        <v>46108</v>
      </c>
      <c r="D37" s="19" t="s">
        <v>147</v>
      </c>
      <c r="E37" s="19" t="s">
        <v>25</v>
      </c>
      <c r="F37" s="19" t="s">
        <v>26</v>
      </c>
      <c r="G37" s="20" t="s">
        <v>148</v>
      </c>
      <c r="H37" s="19" t="s">
        <v>60</v>
      </c>
      <c r="I37" s="21" t="s">
        <v>61</v>
      </c>
      <c r="J37" s="21"/>
      <c r="K37" s="22"/>
      <c r="L37" s="22"/>
      <c r="M37" s="22"/>
      <c r="N37" s="23" t="s">
        <v>30</v>
      </c>
      <c r="O37" s="19"/>
      <c r="P37" s="22"/>
      <c r="Q37" s="22"/>
      <c r="R37" s="24"/>
      <c r="S37" s="25"/>
      <c r="T37" s="26"/>
    </row>
    <row r="38" ht="58.5" hidden="1" customHeight="1">
      <c r="A38" s="31" t="s">
        <v>149</v>
      </c>
      <c r="B38" s="32">
        <v>46108.0</v>
      </c>
      <c r="C38" s="33">
        <f t="shared" si="1"/>
        <v>46108</v>
      </c>
      <c r="D38" s="34" t="s">
        <v>150</v>
      </c>
      <c r="E38" s="34" t="s">
        <v>33</v>
      </c>
      <c r="F38" s="34" t="s">
        <v>26</v>
      </c>
      <c r="G38" s="35" t="s">
        <v>151</v>
      </c>
      <c r="H38" s="34" t="s">
        <v>28</v>
      </c>
      <c r="I38" s="36" t="s">
        <v>29</v>
      </c>
      <c r="J38" s="36" t="s">
        <v>152</v>
      </c>
      <c r="K38" s="37">
        <v>46153.0</v>
      </c>
      <c r="L38" s="37">
        <v>46153.0</v>
      </c>
      <c r="M38" s="37">
        <v>46153.0</v>
      </c>
      <c r="N38" s="38" t="s">
        <v>42</v>
      </c>
      <c r="O38" s="34">
        <v>366.8</v>
      </c>
      <c r="P38" s="37"/>
      <c r="Q38" s="37">
        <v>46161.0</v>
      </c>
      <c r="R38" s="39">
        <f t="shared" ref="R38:R45" si="3">Q38</f>
        <v>46161</v>
      </c>
      <c r="S38" s="40" t="s">
        <v>50</v>
      </c>
      <c r="T38" s="41" t="s">
        <v>153</v>
      </c>
    </row>
    <row r="39" ht="58.5" hidden="1" customHeight="1">
      <c r="A39" s="30" t="s">
        <v>76</v>
      </c>
      <c r="B39" s="29">
        <v>46108.0</v>
      </c>
      <c r="C39" s="18">
        <f t="shared" si="1"/>
        <v>46108</v>
      </c>
      <c r="D39" s="19" t="s">
        <v>154</v>
      </c>
      <c r="E39" s="19" t="s">
        <v>25</v>
      </c>
      <c r="F39" s="19" t="s">
        <v>26</v>
      </c>
      <c r="G39" s="20" t="s">
        <v>155</v>
      </c>
      <c r="H39" s="19" t="s">
        <v>28</v>
      </c>
      <c r="I39" s="21" t="s">
        <v>29</v>
      </c>
      <c r="J39" s="21" t="s">
        <v>75</v>
      </c>
      <c r="K39" s="22">
        <v>46108.0</v>
      </c>
      <c r="L39" s="22">
        <v>46111.0</v>
      </c>
      <c r="M39" s="22">
        <v>46111.0</v>
      </c>
      <c r="N39" s="23" t="s">
        <v>42</v>
      </c>
      <c r="O39" s="19">
        <v>408.74</v>
      </c>
      <c r="P39" s="22"/>
      <c r="Q39" s="22">
        <v>46174.0</v>
      </c>
      <c r="R39" s="24">
        <f t="shared" si="3"/>
        <v>46174</v>
      </c>
      <c r="S39" s="25" t="s">
        <v>43</v>
      </c>
      <c r="T39" s="26" t="s">
        <v>156</v>
      </c>
    </row>
    <row r="40" ht="58.5" hidden="1" customHeight="1">
      <c r="A40" s="16" t="s">
        <v>157</v>
      </c>
      <c r="B40" s="29">
        <v>46107.0</v>
      </c>
      <c r="C40" s="18">
        <f t="shared" si="1"/>
        <v>46107</v>
      </c>
      <c r="D40" s="19" t="s">
        <v>158</v>
      </c>
      <c r="E40" s="19" t="s">
        <v>25</v>
      </c>
      <c r="F40" s="19" t="s">
        <v>26</v>
      </c>
      <c r="G40" s="20" t="s">
        <v>159</v>
      </c>
      <c r="H40" s="19" t="s">
        <v>60</v>
      </c>
      <c r="I40" s="21" t="s">
        <v>61</v>
      </c>
      <c r="J40" s="21"/>
      <c r="K40" s="22"/>
      <c r="L40" s="22"/>
      <c r="M40" s="22"/>
      <c r="N40" s="23" t="s">
        <v>30</v>
      </c>
      <c r="O40" s="19">
        <v>530.0</v>
      </c>
      <c r="P40" s="22"/>
      <c r="Q40" s="22"/>
      <c r="R40" s="24" t="str">
        <f t="shared" si="3"/>
        <v/>
      </c>
      <c r="S40" s="25"/>
      <c r="T40" s="26"/>
    </row>
    <row r="41" ht="58.5" hidden="1" customHeight="1">
      <c r="A41" s="16" t="s">
        <v>160</v>
      </c>
      <c r="B41" s="29">
        <v>46106.0</v>
      </c>
      <c r="C41" s="18">
        <f t="shared" si="1"/>
        <v>46106</v>
      </c>
      <c r="D41" s="19" t="s">
        <v>161</v>
      </c>
      <c r="E41" s="19" t="s">
        <v>33</v>
      </c>
      <c r="F41" s="19" t="s">
        <v>26</v>
      </c>
      <c r="G41" s="20" t="s">
        <v>162</v>
      </c>
      <c r="H41" s="19" t="s">
        <v>28</v>
      </c>
      <c r="I41" s="21" t="s">
        <v>29</v>
      </c>
      <c r="J41" s="21" t="s">
        <v>128</v>
      </c>
      <c r="K41" s="22">
        <v>46106.0</v>
      </c>
      <c r="L41" s="22"/>
      <c r="M41" s="22"/>
      <c r="N41" s="23" t="s">
        <v>42</v>
      </c>
      <c r="O41" s="19">
        <v>234.74</v>
      </c>
      <c r="P41" s="22"/>
      <c r="Q41" s="22">
        <v>46198.0</v>
      </c>
      <c r="R41" s="24">
        <f t="shared" si="3"/>
        <v>46198</v>
      </c>
      <c r="S41" s="25" t="s">
        <v>43</v>
      </c>
      <c r="T41" s="26" t="s">
        <v>163</v>
      </c>
    </row>
    <row r="42" ht="58.5" customHeight="1">
      <c r="A42" s="31" t="s">
        <v>164</v>
      </c>
      <c r="B42" s="32">
        <v>46105.0</v>
      </c>
      <c r="C42" s="33">
        <f t="shared" si="1"/>
        <v>46105</v>
      </c>
      <c r="D42" s="34" t="s">
        <v>165</v>
      </c>
      <c r="E42" s="34" t="s">
        <v>33</v>
      </c>
      <c r="F42" s="34" t="s">
        <v>26</v>
      </c>
      <c r="G42" s="35" t="s">
        <v>166</v>
      </c>
      <c r="H42" s="34" t="s">
        <v>28</v>
      </c>
      <c r="I42" s="36" t="s">
        <v>29</v>
      </c>
      <c r="J42" s="36" t="s">
        <v>110</v>
      </c>
      <c r="K42" s="37">
        <v>46153.0</v>
      </c>
      <c r="L42" s="37">
        <v>46174.0</v>
      </c>
      <c r="M42" s="37">
        <v>46174.0</v>
      </c>
      <c r="N42" s="38" t="s">
        <v>42</v>
      </c>
      <c r="O42" s="34">
        <v>48.3</v>
      </c>
      <c r="P42" s="37">
        <v>46192.0</v>
      </c>
      <c r="Q42" s="37">
        <v>46191.0</v>
      </c>
      <c r="R42" s="39">
        <f t="shared" si="3"/>
        <v>46191</v>
      </c>
      <c r="S42" s="40" t="s">
        <v>43</v>
      </c>
      <c r="T42" s="41" t="s">
        <v>167</v>
      </c>
    </row>
    <row r="43" ht="58.5" hidden="1" customHeight="1">
      <c r="A43" s="30" t="s">
        <v>76</v>
      </c>
      <c r="B43" s="29">
        <v>46101.0</v>
      </c>
      <c r="C43" s="18">
        <f t="shared" si="1"/>
        <v>46101</v>
      </c>
      <c r="D43" s="19" t="s">
        <v>168</v>
      </c>
      <c r="E43" s="19" t="s">
        <v>33</v>
      </c>
      <c r="F43" s="19" t="s">
        <v>26</v>
      </c>
      <c r="G43" s="20" t="s">
        <v>169</v>
      </c>
      <c r="H43" s="19" t="s">
        <v>49</v>
      </c>
      <c r="I43" s="21" t="s">
        <v>29</v>
      </c>
      <c r="J43" s="21" t="s">
        <v>41</v>
      </c>
      <c r="K43" s="22">
        <v>46101.0</v>
      </c>
      <c r="L43" s="22">
        <v>46107.0</v>
      </c>
      <c r="M43" s="22">
        <v>46107.0</v>
      </c>
      <c r="N43" s="23" t="s">
        <v>42</v>
      </c>
      <c r="O43" s="19"/>
      <c r="P43" s="22">
        <v>46108.0</v>
      </c>
      <c r="Q43" s="22">
        <v>46108.0</v>
      </c>
      <c r="R43" s="24">
        <f t="shared" si="3"/>
        <v>46108</v>
      </c>
      <c r="S43" s="25" t="s">
        <v>43</v>
      </c>
      <c r="T43" s="26" t="s">
        <v>170</v>
      </c>
    </row>
    <row r="44" ht="58.5" hidden="1" customHeight="1">
      <c r="A44" s="16" t="s">
        <v>171</v>
      </c>
      <c r="B44" s="29">
        <v>46101.0</v>
      </c>
      <c r="C44" s="18">
        <f t="shared" si="1"/>
        <v>46101</v>
      </c>
      <c r="D44" s="19" t="s">
        <v>161</v>
      </c>
      <c r="E44" s="19" t="s">
        <v>25</v>
      </c>
      <c r="F44" s="19" t="s">
        <v>26</v>
      </c>
      <c r="G44" s="20" t="s">
        <v>172</v>
      </c>
      <c r="H44" s="19" t="s">
        <v>28</v>
      </c>
      <c r="I44" s="21" t="s">
        <v>36</v>
      </c>
      <c r="J44" s="21"/>
      <c r="K44" s="22"/>
      <c r="L44" s="22"/>
      <c r="M44" s="22"/>
      <c r="N44" s="23" t="s">
        <v>30</v>
      </c>
      <c r="O44" s="19"/>
      <c r="P44" s="22"/>
      <c r="Q44" s="22"/>
      <c r="R44" s="24" t="str">
        <f t="shared" si="3"/>
        <v/>
      </c>
      <c r="S44" s="25"/>
      <c r="T44" s="26"/>
    </row>
    <row r="45" ht="58.5" hidden="1" customHeight="1">
      <c r="A45" s="31" t="s">
        <v>173</v>
      </c>
      <c r="B45" s="32">
        <v>46101.0</v>
      </c>
      <c r="C45" s="33">
        <f t="shared" si="1"/>
        <v>46101</v>
      </c>
      <c r="D45" s="34" t="s">
        <v>32</v>
      </c>
      <c r="E45" s="34" t="s">
        <v>33</v>
      </c>
      <c r="F45" s="34" t="s">
        <v>26</v>
      </c>
      <c r="G45" s="35" t="s">
        <v>174</v>
      </c>
      <c r="H45" s="34" t="s">
        <v>28</v>
      </c>
      <c r="I45" s="36" t="s">
        <v>29</v>
      </c>
      <c r="J45" s="36" t="s">
        <v>128</v>
      </c>
      <c r="K45" s="37">
        <v>46153.0</v>
      </c>
      <c r="L45" s="37">
        <v>46154.0</v>
      </c>
      <c r="M45" s="37">
        <v>46154.0</v>
      </c>
      <c r="N45" s="38" t="s">
        <v>42</v>
      </c>
      <c r="O45" s="34">
        <v>155.95</v>
      </c>
      <c r="P45" s="37">
        <v>46185.0</v>
      </c>
      <c r="Q45" s="37">
        <v>46190.0</v>
      </c>
      <c r="R45" s="39">
        <f t="shared" si="3"/>
        <v>46190</v>
      </c>
      <c r="S45" s="40" t="s">
        <v>43</v>
      </c>
      <c r="T45" s="41" t="s">
        <v>175</v>
      </c>
    </row>
    <row r="46" ht="58.5" hidden="1" customHeight="1">
      <c r="A46" s="16" t="s">
        <v>176</v>
      </c>
      <c r="B46" s="29">
        <v>46101.0</v>
      </c>
      <c r="C46" s="18">
        <f t="shared" si="1"/>
        <v>46101</v>
      </c>
      <c r="D46" s="19" t="s">
        <v>24</v>
      </c>
      <c r="E46" s="19" t="s">
        <v>25</v>
      </c>
      <c r="F46" s="19" t="s">
        <v>26</v>
      </c>
      <c r="G46" s="20" t="s">
        <v>177</v>
      </c>
      <c r="H46" s="19" t="s">
        <v>28</v>
      </c>
      <c r="I46" s="21" t="s">
        <v>36</v>
      </c>
      <c r="J46" s="21"/>
      <c r="K46" s="22"/>
      <c r="L46" s="22"/>
      <c r="M46" s="22"/>
      <c r="N46" s="23" t="s">
        <v>30</v>
      </c>
      <c r="O46" s="19"/>
      <c r="P46" s="22"/>
      <c r="Q46" s="22"/>
      <c r="R46" s="24"/>
      <c r="S46" s="25"/>
      <c r="T46" s="26"/>
    </row>
    <row r="47" ht="58.5" hidden="1" customHeight="1">
      <c r="A47" s="16" t="s">
        <v>178</v>
      </c>
      <c r="B47" s="29">
        <v>46101.0</v>
      </c>
      <c r="C47" s="18">
        <f t="shared" si="1"/>
        <v>46101</v>
      </c>
      <c r="D47" s="19" t="s">
        <v>179</v>
      </c>
      <c r="E47" s="19" t="s">
        <v>33</v>
      </c>
      <c r="F47" s="19" t="s">
        <v>26</v>
      </c>
      <c r="G47" s="20" t="s">
        <v>180</v>
      </c>
      <c r="H47" s="19" t="s">
        <v>40</v>
      </c>
      <c r="I47" s="21" t="s">
        <v>36</v>
      </c>
      <c r="J47" s="21"/>
      <c r="K47" s="22"/>
      <c r="L47" s="22"/>
      <c r="M47" s="22"/>
      <c r="N47" s="23" t="s">
        <v>30</v>
      </c>
      <c r="O47" s="19"/>
      <c r="P47" s="22"/>
      <c r="Q47" s="22"/>
      <c r="R47" s="24"/>
      <c r="S47" s="25"/>
      <c r="T47" s="26"/>
    </row>
    <row r="48" ht="58.5" hidden="1" customHeight="1">
      <c r="A48" s="16" t="s">
        <v>181</v>
      </c>
      <c r="B48" s="29">
        <v>46101.0</v>
      </c>
      <c r="C48" s="18">
        <f t="shared" si="1"/>
        <v>46101</v>
      </c>
      <c r="D48" s="19" t="s">
        <v>133</v>
      </c>
      <c r="E48" s="19" t="s">
        <v>33</v>
      </c>
      <c r="F48" s="19" t="s">
        <v>26</v>
      </c>
      <c r="G48" s="20" t="s">
        <v>182</v>
      </c>
      <c r="H48" s="19" t="s">
        <v>28</v>
      </c>
      <c r="I48" s="21" t="s">
        <v>61</v>
      </c>
      <c r="J48" s="21"/>
      <c r="K48" s="22"/>
      <c r="L48" s="22"/>
      <c r="M48" s="22"/>
      <c r="N48" s="23" t="s">
        <v>30</v>
      </c>
      <c r="O48" s="19"/>
      <c r="P48" s="22"/>
      <c r="Q48" s="22"/>
      <c r="R48" s="24"/>
      <c r="S48" s="25"/>
      <c r="T48" s="26" t="s">
        <v>183</v>
      </c>
    </row>
    <row r="49" ht="58.5" hidden="1" customHeight="1">
      <c r="A49" s="16" t="s">
        <v>184</v>
      </c>
      <c r="B49" s="29">
        <v>46101.0</v>
      </c>
      <c r="C49" s="18">
        <f t="shared" si="1"/>
        <v>46101</v>
      </c>
      <c r="D49" s="19" t="s">
        <v>158</v>
      </c>
      <c r="E49" s="19" t="s">
        <v>25</v>
      </c>
      <c r="F49" s="19" t="s">
        <v>26</v>
      </c>
      <c r="G49" s="20" t="s">
        <v>185</v>
      </c>
      <c r="H49" s="19" t="s">
        <v>186</v>
      </c>
      <c r="I49" s="21" t="s">
        <v>36</v>
      </c>
      <c r="J49" s="21" t="s">
        <v>41</v>
      </c>
      <c r="K49" s="22">
        <v>46101.0</v>
      </c>
      <c r="L49" s="22">
        <v>46104.0</v>
      </c>
      <c r="M49" s="22">
        <v>46104.0</v>
      </c>
      <c r="N49" s="23" t="s">
        <v>42</v>
      </c>
      <c r="O49" s="19"/>
      <c r="P49" s="22">
        <v>46104.0</v>
      </c>
      <c r="Q49" s="22">
        <v>46104.0</v>
      </c>
      <c r="R49" s="24">
        <f t="shared" ref="R49:R50" si="4">Q49</f>
        <v>46104</v>
      </c>
      <c r="S49" s="25" t="s">
        <v>50</v>
      </c>
      <c r="T49" s="26" t="s">
        <v>187</v>
      </c>
    </row>
    <row r="50" ht="58.5" hidden="1" customHeight="1">
      <c r="A50" s="16" t="s">
        <v>188</v>
      </c>
      <c r="B50" s="29">
        <v>46101.0</v>
      </c>
      <c r="C50" s="18">
        <f t="shared" si="1"/>
        <v>46101</v>
      </c>
      <c r="D50" s="19" t="s">
        <v>165</v>
      </c>
      <c r="E50" s="19" t="s">
        <v>33</v>
      </c>
      <c r="F50" s="19" t="s">
        <v>26</v>
      </c>
      <c r="G50" s="20" t="s">
        <v>189</v>
      </c>
      <c r="H50" s="19" t="s">
        <v>28</v>
      </c>
      <c r="I50" s="21" t="s">
        <v>61</v>
      </c>
      <c r="J50" s="21"/>
      <c r="K50" s="22"/>
      <c r="L50" s="22"/>
      <c r="M50" s="22"/>
      <c r="N50" s="23" t="s">
        <v>30</v>
      </c>
      <c r="O50" s="19"/>
      <c r="P50" s="22"/>
      <c r="Q50" s="22"/>
      <c r="R50" s="24" t="str">
        <f t="shared" si="4"/>
        <v/>
      </c>
      <c r="S50" s="25"/>
      <c r="T50" s="26"/>
    </row>
    <row r="51" ht="58.5" hidden="1" customHeight="1">
      <c r="A51" s="30" t="s">
        <v>76</v>
      </c>
      <c r="B51" s="29">
        <v>46100.0</v>
      </c>
      <c r="C51" s="18">
        <f t="shared" si="1"/>
        <v>46100</v>
      </c>
      <c r="D51" s="19" t="s">
        <v>190</v>
      </c>
      <c r="E51" s="19" t="s">
        <v>47</v>
      </c>
      <c r="F51" s="19" t="s">
        <v>47</v>
      </c>
      <c r="G51" s="20" t="s">
        <v>191</v>
      </c>
      <c r="H51" s="19" t="s">
        <v>28</v>
      </c>
      <c r="I51" s="21" t="s">
        <v>29</v>
      </c>
      <c r="J51" s="21" t="s">
        <v>128</v>
      </c>
      <c r="K51" s="22">
        <v>46125.0</v>
      </c>
      <c r="L51" s="22">
        <v>46125.0</v>
      </c>
      <c r="M51" s="22">
        <v>46094.0</v>
      </c>
      <c r="N51" s="23" t="s">
        <v>55</v>
      </c>
      <c r="O51" s="19">
        <v>525.39</v>
      </c>
      <c r="P51" s="22">
        <v>46168.0</v>
      </c>
      <c r="Q51" s="22"/>
      <c r="R51" s="24"/>
      <c r="S51" s="25" t="s">
        <v>192</v>
      </c>
      <c r="T51" s="26" t="s">
        <v>193</v>
      </c>
    </row>
    <row r="52" ht="58.5" customHeight="1">
      <c r="A52" s="31" t="s">
        <v>194</v>
      </c>
      <c r="B52" s="32">
        <v>46098.0</v>
      </c>
      <c r="C52" s="33">
        <f t="shared" si="1"/>
        <v>46098</v>
      </c>
      <c r="D52" s="34" t="s">
        <v>195</v>
      </c>
      <c r="E52" s="34" t="s">
        <v>33</v>
      </c>
      <c r="F52" s="34" t="s">
        <v>26</v>
      </c>
      <c r="G52" s="35" t="s">
        <v>196</v>
      </c>
      <c r="H52" s="34" t="s">
        <v>28</v>
      </c>
      <c r="I52" s="36" t="s">
        <v>29</v>
      </c>
      <c r="J52" s="36" t="s">
        <v>110</v>
      </c>
      <c r="K52" s="37">
        <v>46153.0</v>
      </c>
      <c r="L52" s="37">
        <v>46156.0</v>
      </c>
      <c r="M52" s="37">
        <v>46157.0</v>
      </c>
      <c r="N52" s="38" t="s">
        <v>42</v>
      </c>
      <c r="O52" s="34">
        <v>36.31</v>
      </c>
      <c r="P52" s="37">
        <v>46171.0</v>
      </c>
      <c r="Q52" s="37">
        <v>46181.0</v>
      </c>
      <c r="R52" s="39">
        <f t="shared" ref="R52:R63" si="5">Q52</f>
        <v>46181</v>
      </c>
      <c r="S52" s="40" t="s">
        <v>43</v>
      </c>
      <c r="T52" s="41" t="s">
        <v>197</v>
      </c>
    </row>
    <row r="53" ht="58.5" hidden="1" customHeight="1">
      <c r="A53" s="16" t="s">
        <v>198</v>
      </c>
      <c r="B53" s="29">
        <v>46088.0</v>
      </c>
      <c r="C53" s="18">
        <f t="shared" si="1"/>
        <v>46088</v>
      </c>
      <c r="D53" s="19" t="s">
        <v>57</v>
      </c>
      <c r="E53" s="19" t="s">
        <v>58</v>
      </c>
      <c r="F53" s="19" t="s">
        <v>58</v>
      </c>
      <c r="G53" s="20" t="s">
        <v>199</v>
      </c>
      <c r="H53" s="19" t="s">
        <v>49</v>
      </c>
      <c r="I53" s="21" t="s">
        <v>36</v>
      </c>
      <c r="J53" s="21" t="s">
        <v>41</v>
      </c>
      <c r="K53" s="22">
        <v>46090.0</v>
      </c>
      <c r="L53" s="22">
        <v>46090.0</v>
      </c>
      <c r="M53" s="22">
        <v>46090.0</v>
      </c>
      <c r="N53" s="23" t="s">
        <v>42</v>
      </c>
      <c r="O53" s="19"/>
      <c r="P53" s="22">
        <v>46091.0</v>
      </c>
      <c r="Q53" s="22">
        <v>46090.0</v>
      </c>
      <c r="R53" s="24">
        <f t="shared" si="5"/>
        <v>46090</v>
      </c>
      <c r="S53" s="25" t="s">
        <v>200</v>
      </c>
      <c r="T53" s="26"/>
    </row>
    <row r="54" ht="58.5" hidden="1" customHeight="1">
      <c r="A54" s="30" t="s">
        <v>76</v>
      </c>
      <c r="B54" s="29">
        <v>46084.0</v>
      </c>
      <c r="C54" s="18">
        <f t="shared" si="1"/>
        <v>46084</v>
      </c>
      <c r="D54" s="19" t="s">
        <v>116</v>
      </c>
      <c r="E54" s="19" t="s">
        <v>25</v>
      </c>
      <c r="F54" s="19" t="s">
        <v>26</v>
      </c>
      <c r="G54" s="20" t="s">
        <v>201</v>
      </c>
      <c r="H54" s="19" t="s">
        <v>60</v>
      </c>
      <c r="I54" s="21" t="s">
        <v>29</v>
      </c>
      <c r="J54" s="21" t="s">
        <v>41</v>
      </c>
      <c r="K54" s="22">
        <v>46084.0</v>
      </c>
      <c r="L54" s="22">
        <v>46084.0</v>
      </c>
      <c r="M54" s="17">
        <v>46084.0</v>
      </c>
      <c r="N54" s="23" t="s">
        <v>42</v>
      </c>
      <c r="O54" s="42">
        <v>1253.05</v>
      </c>
      <c r="P54" s="22">
        <v>46091.0</v>
      </c>
      <c r="Q54" s="22">
        <v>46092.0</v>
      </c>
      <c r="R54" s="24">
        <f t="shared" si="5"/>
        <v>46092</v>
      </c>
      <c r="S54" s="25" t="s">
        <v>119</v>
      </c>
      <c r="T54" s="26" t="s">
        <v>202</v>
      </c>
    </row>
    <row r="55" ht="58.5" hidden="1" customHeight="1">
      <c r="A55" s="16" t="s">
        <v>203</v>
      </c>
      <c r="B55" s="29">
        <v>46084.0</v>
      </c>
      <c r="C55" s="18">
        <f t="shared" si="1"/>
        <v>46084</v>
      </c>
      <c r="D55" s="19" t="s">
        <v>140</v>
      </c>
      <c r="E55" s="19" t="s">
        <v>25</v>
      </c>
      <c r="F55" s="19" t="s">
        <v>26</v>
      </c>
      <c r="G55" s="20" t="s">
        <v>204</v>
      </c>
      <c r="H55" s="19" t="s">
        <v>28</v>
      </c>
      <c r="I55" s="21" t="s">
        <v>61</v>
      </c>
      <c r="J55" s="21"/>
      <c r="K55" s="22"/>
      <c r="L55" s="22"/>
      <c r="M55" s="22"/>
      <c r="N55" s="23" t="s">
        <v>30</v>
      </c>
      <c r="O55" s="19"/>
      <c r="P55" s="22"/>
      <c r="Q55" s="22"/>
      <c r="R55" s="24" t="str">
        <f t="shared" si="5"/>
        <v/>
      </c>
      <c r="S55" s="25"/>
      <c r="T55" s="26"/>
    </row>
    <row r="56" ht="58.5" customHeight="1">
      <c r="A56" s="16" t="s">
        <v>205</v>
      </c>
      <c r="B56" s="29">
        <v>46080.0</v>
      </c>
      <c r="C56" s="18">
        <f t="shared" si="1"/>
        <v>46080</v>
      </c>
      <c r="D56" s="19" t="s">
        <v>165</v>
      </c>
      <c r="E56" s="19" t="s">
        <v>33</v>
      </c>
      <c r="F56" s="19" t="s">
        <v>26</v>
      </c>
      <c r="G56" s="20" t="s">
        <v>206</v>
      </c>
      <c r="H56" s="19" t="s">
        <v>28</v>
      </c>
      <c r="I56" s="21" t="s">
        <v>36</v>
      </c>
      <c r="J56" s="21" t="s">
        <v>110</v>
      </c>
      <c r="K56" s="22">
        <v>46098.0</v>
      </c>
      <c r="L56" s="22">
        <v>46100.0</v>
      </c>
      <c r="M56" s="22">
        <v>46100.0</v>
      </c>
      <c r="N56" s="23" t="s">
        <v>42</v>
      </c>
      <c r="O56" s="19">
        <v>24.9</v>
      </c>
      <c r="P56" s="22">
        <v>46121.0</v>
      </c>
      <c r="Q56" s="22">
        <v>46120.0</v>
      </c>
      <c r="R56" s="24">
        <f t="shared" si="5"/>
        <v>46120</v>
      </c>
      <c r="S56" s="25" t="s">
        <v>43</v>
      </c>
      <c r="T56" s="26" t="s">
        <v>207</v>
      </c>
    </row>
    <row r="57" ht="58.5" hidden="1" customHeight="1">
      <c r="A57" s="16" t="s">
        <v>208</v>
      </c>
      <c r="B57" s="29">
        <v>46076.0</v>
      </c>
      <c r="C57" s="18">
        <f t="shared" si="1"/>
        <v>46076</v>
      </c>
      <c r="D57" s="19" t="s">
        <v>32</v>
      </c>
      <c r="E57" s="19" t="s">
        <v>33</v>
      </c>
      <c r="F57" s="19" t="s">
        <v>26</v>
      </c>
      <c r="G57" s="20" t="s">
        <v>209</v>
      </c>
      <c r="H57" s="19" t="s">
        <v>28</v>
      </c>
      <c r="I57" s="21" t="s">
        <v>29</v>
      </c>
      <c r="J57" s="21" t="s">
        <v>128</v>
      </c>
      <c r="K57" s="22">
        <v>46094.0</v>
      </c>
      <c r="L57" s="22"/>
      <c r="M57" s="22"/>
      <c r="N57" s="23" t="s">
        <v>210</v>
      </c>
      <c r="O57" s="19"/>
      <c r="P57" s="22"/>
      <c r="Q57" s="22"/>
      <c r="R57" s="24" t="str">
        <f t="shared" si="5"/>
        <v/>
      </c>
      <c r="S57" s="25"/>
      <c r="T57" s="26" t="s">
        <v>211</v>
      </c>
    </row>
    <row r="58" ht="58.5" hidden="1" customHeight="1">
      <c r="A58" s="16" t="s">
        <v>212</v>
      </c>
      <c r="B58" s="29">
        <v>46066.0</v>
      </c>
      <c r="C58" s="18">
        <f t="shared" si="1"/>
        <v>46066</v>
      </c>
      <c r="D58" s="19" t="s">
        <v>213</v>
      </c>
      <c r="E58" s="19" t="s">
        <v>25</v>
      </c>
      <c r="F58" s="19" t="s">
        <v>26</v>
      </c>
      <c r="G58" s="20" t="s">
        <v>214</v>
      </c>
      <c r="H58" s="19" t="s">
        <v>49</v>
      </c>
      <c r="I58" s="21" t="s">
        <v>61</v>
      </c>
      <c r="J58" s="21"/>
      <c r="K58" s="22"/>
      <c r="L58" s="22"/>
      <c r="M58" s="22"/>
      <c r="N58" s="23" t="s">
        <v>30</v>
      </c>
      <c r="O58" s="19"/>
      <c r="P58" s="22"/>
      <c r="Q58" s="22"/>
      <c r="R58" s="24" t="str">
        <f t="shared" si="5"/>
        <v/>
      </c>
      <c r="S58" s="25"/>
      <c r="T58" s="26"/>
    </row>
    <row r="59" ht="58.5" customHeight="1">
      <c r="A59" s="16" t="s">
        <v>215</v>
      </c>
      <c r="B59" s="29">
        <v>46065.0</v>
      </c>
      <c r="C59" s="18">
        <f t="shared" si="1"/>
        <v>46065</v>
      </c>
      <c r="D59" s="19" t="s">
        <v>81</v>
      </c>
      <c r="E59" s="19" t="s">
        <v>25</v>
      </c>
      <c r="F59" s="19" t="s">
        <v>26</v>
      </c>
      <c r="G59" s="20" t="s">
        <v>216</v>
      </c>
      <c r="H59" s="19" t="s">
        <v>28</v>
      </c>
      <c r="I59" s="21" t="s">
        <v>29</v>
      </c>
      <c r="J59" s="21" t="s">
        <v>110</v>
      </c>
      <c r="K59" s="22">
        <v>46065.0</v>
      </c>
      <c r="L59" s="22">
        <v>46065.0</v>
      </c>
      <c r="M59" s="22">
        <v>46065.0</v>
      </c>
      <c r="N59" s="23" t="s">
        <v>42</v>
      </c>
      <c r="O59" s="19">
        <v>65.7</v>
      </c>
      <c r="P59" s="22">
        <v>46086.0</v>
      </c>
      <c r="Q59" s="22">
        <v>46083.0</v>
      </c>
      <c r="R59" s="24">
        <f t="shared" si="5"/>
        <v>46083</v>
      </c>
      <c r="S59" s="25" t="s">
        <v>43</v>
      </c>
      <c r="T59" s="26" t="s">
        <v>217</v>
      </c>
    </row>
    <row r="60" ht="58.5" hidden="1" customHeight="1">
      <c r="A60" s="16" t="s">
        <v>218</v>
      </c>
      <c r="B60" s="29">
        <v>46063.0</v>
      </c>
      <c r="C60" s="18">
        <f t="shared" si="1"/>
        <v>46063</v>
      </c>
      <c r="D60" s="19" t="s">
        <v>52</v>
      </c>
      <c r="E60" s="19" t="s">
        <v>33</v>
      </c>
      <c r="F60" s="19" t="s">
        <v>26</v>
      </c>
      <c r="G60" s="20" t="s">
        <v>219</v>
      </c>
      <c r="H60" s="19" t="s">
        <v>35</v>
      </c>
      <c r="I60" s="21" t="s">
        <v>36</v>
      </c>
      <c r="J60" s="21" t="s">
        <v>41</v>
      </c>
      <c r="K60" s="22">
        <v>46063.0</v>
      </c>
      <c r="L60" s="22"/>
      <c r="M60" s="22">
        <v>46063.0</v>
      </c>
      <c r="N60" s="23" t="s">
        <v>42</v>
      </c>
      <c r="O60" s="19">
        <v>1334.61</v>
      </c>
      <c r="P60" s="22"/>
      <c r="Q60" s="22">
        <v>46063.0</v>
      </c>
      <c r="R60" s="24">
        <f t="shared" si="5"/>
        <v>46063</v>
      </c>
      <c r="S60" s="25" t="s">
        <v>43</v>
      </c>
      <c r="T60" s="26" t="s">
        <v>220</v>
      </c>
    </row>
    <row r="61" ht="58.5" hidden="1" customHeight="1">
      <c r="A61" s="16" t="s">
        <v>221</v>
      </c>
      <c r="B61" s="29">
        <v>46051.0</v>
      </c>
      <c r="C61" s="18">
        <f t="shared" si="1"/>
        <v>46051</v>
      </c>
      <c r="D61" s="19" t="s">
        <v>147</v>
      </c>
      <c r="E61" s="19" t="s">
        <v>25</v>
      </c>
      <c r="F61" s="19" t="s">
        <v>26</v>
      </c>
      <c r="G61" s="20" t="s">
        <v>222</v>
      </c>
      <c r="H61" s="19" t="s">
        <v>28</v>
      </c>
      <c r="I61" s="21" t="s">
        <v>29</v>
      </c>
      <c r="J61" s="21" t="s">
        <v>128</v>
      </c>
      <c r="K61" s="22">
        <v>46055.0</v>
      </c>
      <c r="L61" s="22">
        <v>46065.0</v>
      </c>
      <c r="M61" s="22">
        <v>46065.0</v>
      </c>
      <c r="N61" s="23" t="s">
        <v>42</v>
      </c>
      <c r="O61" s="19">
        <v>99.29</v>
      </c>
      <c r="P61" s="22">
        <v>46073.0</v>
      </c>
      <c r="Q61" s="22">
        <v>46076.0</v>
      </c>
      <c r="R61" s="24">
        <f t="shared" si="5"/>
        <v>46076</v>
      </c>
      <c r="S61" s="25" t="s">
        <v>43</v>
      </c>
      <c r="T61" s="26" t="s">
        <v>223</v>
      </c>
    </row>
    <row r="62" ht="58.5" hidden="1" customHeight="1">
      <c r="A62" s="16" t="s">
        <v>224</v>
      </c>
      <c r="B62" s="29">
        <v>46049.0</v>
      </c>
      <c r="C62" s="18">
        <f t="shared" si="1"/>
        <v>46049</v>
      </c>
      <c r="D62" s="19" t="s">
        <v>225</v>
      </c>
      <c r="E62" s="19" t="s">
        <v>47</v>
      </c>
      <c r="F62" s="19" t="s">
        <v>47</v>
      </c>
      <c r="G62" s="20" t="s">
        <v>226</v>
      </c>
      <c r="H62" s="19" t="s">
        <v>28</v>
      </c>
      <c r="I62" s="21" t="s">
        <v>29</v>
      </c>
      <c r="J62" s="21" t="s">
        <v>128</v>
      </c>
      <c r="K62" s="22">
        <v>46055.0</v>
      </c>
      <c r="L62" s="22"/>
      <c r="M62" s="22">
        <v>46142.0</v>
      </c>
      <c r="N62" s="23" t="s">
        <v>42</v>
      </c>
      <c r="O62" s="19">
        <v>340.87</v>
      </c>
      <c r="P62" s="22"/>
      <c r="Q62" s="22">
        <v>46190.0</v>
      </c>
      <c r="R62" s="24">
        <f t="shared" si="5"/>
        <v>46190</v>
      </c>
      <c r="S62" s="25" t="s">
        <v>227</v>
      </c>
      <c r="T62" s="43" t="s">
        <v>228</v>
      </c>
    </row>
    <row r="63" ht="58.5" hidden="1" customHeight="1">
      <c r="A63" s="16" t="s">
        <v>229</v>
      </c>
      <c r="B63" s="29">
        <v>46048.0</v>
      </c>
      <c r="C63" s="18">
        <f t="shared" si="1"/>
        <v>46048</v>
      </c>
      <c r="D63" s="19" t="s">
        <v>32</v>
      </c>
      <c r="E63" s="19" t="s">
        <v>33</v>
      </c>
      <c r="F63" s="19" t="s">
        <v>26</v>
      </c>
      <c r="G63" s="20" t="s">
        <v>230</v>
      </c>
      <c r="H63" s="19" t="s">
        <v>49</v>
      </c>
      <c r="I63" s="21" t="s">
        <v>61</v>
      </c>
      <c r="J63" s="21" t="s">
        <v>41</v>
      </c>
      <c r="K63" s="22">
        <v>46048.0</v>
      </c>
      <c r="L63" s="22"/>
      <c r="M63" s="22">
        <v>46155.0</v>
      </c>
      <c r="N63" s="23" t="s">
        <v>42</v>
      </c>
      <c r="O63" s="19"/>
      <c r="P63" s="22"/>
      <c r="Q63" s="22">
        <v>46155.0</v>
      </c>
      <c r="R63" s="24">
        <f t="shared" si="5"/>
        <v>46155</v>
      </c>
      <c r="S63" s="25" t="s">
        <v>119</v>
      </c>
      <c r="T63" s="44"/>
    </row>
    <row r="64" ht="58.5" hidden="1" customHeight="1">
      <c r="A64" s="16" t="s">
        <v>231</v>
      </c>
      <c r="B64" s="29">
        <v>46041.0</v>
      </c>
      <c r="C64" s="18">
        <f t="shared" si="1"/>
        <v>46041</v>
      </c>
      <c r="D64" s="19" t="s">
        <v>77</v>
      </c>
      <c r="E64" s="19" t="s">
        <v>25</v>
      </c>
      <c r="F64" s="19" t="s">
        <v>26</v>
      </c>
      <c r="G64" s="20" t="s">
        <v>232</v>
      </c>
      <c r="H64" s="19" t="s">
        <v>28</v>
      </c>
      <c r="I64" s="21" t="s">
        <v>29</v>
      </c>
      <c r="J64" s="21" t="s">
        <v>75</v>
      </c>
      <c r="K64" s="22">
        <v>46083.0</v>
      </c>
      <c r="L64" s="22">
        <v>46085.0</v>
      </c>
      <c r="M64" s="22"/>
      <c r="N64" s="23" t="s">
        <v>55</v>
      </c>
      <c r="O64" s="19"/>
      <c r="P64" s="22"/>
      <c r="Q64" s="22"/>
      <c r="R64" s="24"/>
      <c r="S64" s="25"/>
      <c r="T64" s="26" t="s">
        <v>233</v>
      </c>
    </row>
    <row r="65" ht="58.5" hidden="1" customHeight="1">
      <c r="A65" s="30" t="s">
        <v>76</v>
      </c>
      <c r="B65" s="29">
        <v>46038.0</v>
      </c>
      <c r="C65" s="18">
        <f t="shared" si="1"/>
        <v>46038</v>
      </c>
      <c r="D65" s="19" t="s">
        <v>101</v>
      </c>
      <c r="E65" s="19" t="s">
        <v>25</v>
      </c>
      <c r="F65" s="19" t="s">
        <v>26</v>
      </c>
      <c r="G65" s="20" t="s">
        <v>234</v>
      </c>
      <c r="H65" s="19" t="s">
        <v>28</v>
      </c>
      <c r="I65" s="21" t="s">
        <v>29</v>
      </c>
      <c r="J65" s="21" t="s">
        <v>41</v>
      </c>
      <c r="K65" s="22">
        <v>46038.0</v>
      </c>
      <c r="L65" s="22">
        <v>46041.0</v>
      </c>
      <c r="M65" s="22">
        <v>46041.0</v>
      </c>
      <c r="N65" s="23" t="s">
        <v>42</v>
      </c>
      <c r="O65" s="19">
        <v>44.76</v>
      </c>
      <c r="P65" s="22">
        <v>46045.0</v>
      </c>
      <c r="Q65" s="22">
        <v>46048.0</v>
      </c>
      <c r="R65" s="24">
        <f t="shared" ref="R65:R80" si="6">Q65</f>
        <v>46048</v>
      </c>
      <c r="S65" s="25" t="s">
        <v>119</v>
      </c>
      <c r="T65" s="26" t="s">
        <v>235</v>
      </c>
    </row>
    <row r="66" ht="58.5" hidden="1" customHeight="1">
      <c r="A66" s="16" t="s">
        <v>236</v>
      </c>
      <c r="B66" s="29">
        <v>46034.0</v>
      </c>
      <c r="C66" s="18">
        <f t="shared" si="1"/>
        <v>46034</v>
      </c>
      <c r="D66" s="19" t="s">
        <v>237</v>
      </c>
      <c r="E66" s="19" t="s">
        <v>33</v>
      </c>
      <c r="F66" s="19" t="s">
        <v>26</v>
      </c>
      <c r="G66" s="20" t="s">
        <v>238</v>
      </c>
      <c r="H66" s="19" t="s">
        <v>28</v>
      </c>
      <c r="I66" s="21" t="s">
        <v>61</v>
      </c>
      <c r="J66" s="21"/>
      <c r="K66" s="22"/>
      <c r="L66" s="22"/>
      <c r="M66" s="22"/>
      <c r="N66" s="23" t="s">
        <v>30</v>
      </c>
      <c r="O66" s="19"/>
      <c r="P66" s="22"/>
      <c r="Q66" s="22"/>
      <c r="R66" s="24" t="str">
        <f t="shared" si="6"/>
        <v/>
      </c>
      <c r="S66" s="25"/>
      <c r="T66" s="44"/>
    </row>
    <row r="67" ht="58.5" hidden="1" customHeight="1">
      <c r="A67" s="45" t="s">
        <v>239</v>
      </c>
      <c r="B67" s="46">
        <v>46017.0</v>
      </c>
      <c r="C67" s="47">
        <f t="shared" si="1"/>
        <v>46017</v>
      </c>
      <c r="D67" s="48" t="s">
        <v>213</v>
      </c>
      <c r="E67" s="48" t="s">
        <v>25</v>
      </c>
      <c r="F67" s="48" t="s">
        <v>26</v>
      </c>
      <c r="G67" s="49" t="s">
        <v>240</v>
      </c>
      <c r="H67" s="48" t="s">
        <v>28</v>
      </c>
      <c r="I67" s="50" t="s">
        <v>36</v>
      </c>
      <c r="J67" s="50"/>
      <c r="K67" s="51"/>
      <c r="L67" s="51"/>
      <c r="M67" s="51"/>
      <c r="N67" s="52" t="s">
        <v>30</v>
      </c>
      <c r="O67" s="48"/>
      <c r="P67" s="51"/>
      <c r="Q67" s="51"/>
      <c r="R67" s="53" t="str">
        <f t="shared" si="6"/>
        <v/>
      </c>
      <c r="S67" s="54"/>
      <c r="T67" s="55" t="s">
        <v>241</v>
      </c>
    </row>
    <row r="68" ht="58.5" hidden="1" customHeight="1">
      <c r="A68" s="16" t="s">
        <v>242</v>
      </c>
      <c r="B68" s="29">
        <v>46002.0</v>
      </c>
      <c r="C68" s="18">
        <f t="shared" si="1"/>
        <v>46002</v>
      </c>
      <c r="D68" s="19" t="s">
        <v>158</v>
      </c>
      <c r="E68" s="19" t="s">
        <v>25</v>
      </c>
      <c r="F68" s="19" t="s">
        <v>26</v>
      </c>
      <c r="G68" s="20" t="s">
        <v>243</v>
      </c>
      <c r="H68" s="19" t="s">
        <v>186</v>
      </c>
      <c r="I68" s="21" t="s">
        <v>36</v>
      </c>
      <c r="J68" s="21" t="s">
        <v>41</v>
      </c>
      <c r="K68" s="22">
        <v>46002.0</v>
      </c>
      <c r="L68" s="22">
        <v>46104.0</v>
      </c>
      <c r="M68" s="22">
        <v>46104.0</v>
      </c>
      <c r="N68" s="23" t="s">
        <v>118</v>
      </c>
      <c r="O68" s="19"/>
      <c r="P68" s="22">
        <v>46104.0</v>
      </c>
      <c r="Q68" s="22">
        <v>46104.0</v>
      </c>
      <c r="R68" s="24">
        <f t="shared" si="6"/>
        <v>46104</v>
      </c>
      <c r="S68" s="25" t="s">
        <v>119</v>
      </c>
      <c r="T68" s="43" t="s">
        <v>244</v>
      </c>
    </row>
    <row r="69" ht="58.5" hidden="1" customHeight="1">
      <c r="A69" s="16" t="s">
        <v>245</v>
      </c>
      <c r="B69" s="29">
        <v>46002.0</v>
      </c>
      <c r="C69" s="18">
        <f t="shared" si="1"/>
        <v>46002</v>
      </c>
      <c r="D69" s="19" t="s">
        <v>246</v>
      </c>
      <c r="E69" s="19" t="s">
        <v>25</v>
      </c>
      <c r="F69" s="19" t="s">
        <v>26</v>
      </c>
      <c r="G69" s="20" t="s">
        <v>247</v>
      </c>
      <c r="H69" s="19" t="s">
        <v>186</v>
      </c>
      <c r="I69" s="21" t="s">
        <v>36</v>
      </c>
      <c r="J69" s="21" t="s">
        <v>75</v>
      </c>
      <c r="K69" s="22">
        <v>46006.0</v>
      </c>
      <c r="L69" s="22"/>
      <c r="M69" s="22"/>
      <c r="N69" s="23" t="s">
        <v>210</v>
      </c>
      <c r="O69" s="19"/>
      <c r="P69" s="22"/>
      <c r="Q69" s="22"/>
      <c r="R69" s="24" t="str">
        <f t="shared" si="6"/>
        <v/>
      </c>
      <c r="S69" s="25"/>
      <c r="T69" s="44"/>
    </row>
    <row r="70" ht="58.5" hidden="1" customHeight="1">
      <c r="A70" s="16" t="s">
        <v>248</v>
      </c>
      <c r="B70" s="29">
        <v>46002.0</v>
      </c>
      <c r="C70" s="18">
        <f t="shared" si="1"/>
        <v>46002</v>
      </c>
      <c r="D70" s="19" t="s">
        <v>237</v>
      </c>
      <c r="E70" s="19" t="s">
        <v>33</v>
      </c>
      <c r="F70" s="19" t="s">
        <v>26</v>
      </c>
      <c r="G70" s="20" t="s">
        <v>249</v>
      </c>
      <c r="H70" s="19" t="s">
        <v>40</v>
      </c>
      <c r="I70" s="21" t="s">
        <v>61</v>
      </c>
      <c r="J70" s="21"/>
      <c r="K70" s="22"/>
      <c r="L70" s="22"/>
      <c r="M70" s="22"/>
      <c r="N70" s="23" t="s">
        <v>30</v>
      </c>
      <c r="O70" s="19"/>
      <c r="P70" s="22"/>
      <c r="Q70" s="22"/>
      <c r="R70" s="24" t="str">
        <f t="shared" si="6"/>
        <v/>
      </c>
      <c r="S70" s="25"/>
      <c r="T70" s="44"/>
    </row>
    <row r="71" ht="58.5" hidden="1" customHeight="1">
      <c r="A71" s="16" t="s">
        <v>250</v>
      </c>
      <c r="B71" s="29">
        <v>46002.0</v>
      </c>
      <c r="C71" s="18">
        <f t="shared" si="1"/>
        <v>46002</v>
      </c>
      <c r="D71" s="19" t="s">
        <v>165</v>
      </c>
      <c r="E71" s="19" t="s">
        <v>33</v>
      </c>
      <c r="F71" s="19" t="s">
        <v>26</v>
      </c>
      <c r="G71" s="20" t="s">
        <v>251</v>
      </c>
      <c r="H71" s="19" t="s">
        <v>28</v>
      </c>
      <c r="I71" s="21" t="s">
        <v>36</v>
      </c>
      <c r="J71" s="21" t="s">
        <v>128</v>
      </c>
      <c r="K71" s="22">
        <v>46038.0</v>
      </c>
      <c r="L71" s="22"/>
      <c r="M71" s="22"/>
      <c r="N71" s="23" t="s">
        <v>42</v>
      </c>
      <c r="O71" s="19">
        <v>73.0</v>
      </c>
      <c r="P71" s="22"/>
      <c r="Q71" s="22">
        <v>46052.0</v>
      </c>
      <c r="R71" s="24">
        <f t="shared" si="6"/>
        <v>46052</v>
      </c>
      <c r="S71" s="25"/>
      <c r="T71" s="26" t="s">
        <v>252</v>
      </c>
    </row>
    <row r="72" ht="58.5" hidden="1" customHeight="1">
      <c r="A72" s="16" t="s">
        <v>253</v>
      </c>
      <c r="B72" s="29">
        <v>46002.0</v>
      </c>
      <c r="C72" s="18">
        <f t="shared" si="1"/>
        <v>46002</v>
      </c>
      <c r="D72" s="19" t="s">
        <v>161</v>
      </c>
      <c r="E72" s="19" t="s">
        <v>25</v>
      </c>
      <c r="F72" s="19" t="s">
        <v>26</v>
      </c>
      <c r="G72" s="20" t="s">
        <v>254</v>
      </c>
      <c r="H72" s="19" t="s">
        <v>40</v>
      </c>
      <c r="I72" s="21" t="s">
        <v>36</v>
      </c>
      <c r="J72" s="21" t="s">
        <v>255</v>
      </c>
      <c r="K72" s="22">
        <v>46055.0</v>
      </c>
      <c r="L72" s="22"/>
      <c r="M72" s="22">
        <v>46056.0</v>
      </c>
      <c r="N72" s="23" t="s">
        <v>55</v>
      </c>
      <c r="O72" s="19"/>
      <c r="P72" s="22"/>
      <c r="Q72" s="22"/>
      <c r="R72" s="24" t="str">
        <f t="shared" si="6"/>
        <v/>
      </c>
      <c r="S72" s="25"/>
      <c r="T72" s="44"/>
    </row>
    <row r="73" ht="58.5" hidden="1" customHeight="1">
      <c r="A73" s="16" t="s">
        <v>256</v>
      </c>
      <c r="B73" s="29">
        <v>46002.0</v>
      </c>
      <c r="C73" s="18">
        <f t="shared" si="1"/>
        <v>46002</v>
      </c>
      <c r="D73" s="19" t="s">
        <v>257</v>
      </c>
      <c r="E73" s="19" t="s">
        <v>25</v>
      </c>
      <c r="F73" s="19" t="s">
        <v>26</v>
      </c>
      <c r="G73" s="20" t="s">
        <v>258</v>
      </c>
      <c r="H73" s="19" t="s">
        <v>49</v>
      </c>
      <c r="I73" s="21" t="s">
        <v>36</v>
      </c>
      <c r="J73" s="21"/>
      <c r="K73" s="22"/>
      <c r="L73" s="22"/>
      <c r="M73" s="22"/>
      <c r="N73" s="23" t="s">
        <v>30</v>
      </c>
      <c r="O73" s="19"/>
      <c r="P73" s="22"/>
      <c r="Q73" s="22"/>
      <c r="R73" s="24" t="str">
        <f t="shared" si="6"/>
        <v/>
      </c>
      <c r="S73" s="25"/>
      <c r="T73" s="44"/>
    </row>
    <row r="74" ht="58.5" customHeight="1">
      <c r="A74" s="16" t="s">
        <v>259</v>
      </c>
      <c r="B74" s="29">
        <v>46002.0</v>
      </c>
      <c r="C74" s="18">
        <f t="shared" si="1"/>
        <v>46002</v>
      </c>
      <c r="D74" s="19" t="s">
        <v>246</v>
      </c>
      <c r="E74" s="19" t="s">
        <v>33</v>
      </c>
      <c r="F74" s="19" t="s">
        <v>26</v>
      </c>
      <c r="G74" s="20" t="s">
        <v>260</v>
      </c>
      <c r="H74" s="19" t="s">
        <v>186</v>
      </c>
      <c r="I74" s="21" t="s">
        <v>36</v>
      </c>
      <c r="J74" s="21" t="s">
        <v>110</v>
      </c>
      <c r="K74" s="22">
        <v>46055.0</v>
      </c>
      <c r="L74" s="22"/>
      <c r="M74" s="22"/>
      <c r="N74" s="23" t="s">
        <v>64</v>
      </c>
      <c r="O74" s="19"/>
      <c r="P74" s="22"/>
      <c r="Q74" s="22"/>
      <c r="R74" s="24" t="str">
        <f t="shared" si="6"/>
        <v/>
      </c>
      <c r="S74" s="25"/>
      <c r="T74" s="44"/>
    </row>
    <row r="75" ht="58.5" hidden="1" customHeight="1">
      <c r="A75" s="31" t="s">
        <v>261</v>
      </c>
      <c r="B75" s="32">
        <v>46002.0</v>
      </c>
      <c r="C75" s="33">
        <f t="shared" si="1"/>
        <v>46002</v>
      </c>
      <c r="D75" s="34" t="s">
        <v>133</v>
      </c>
      <c r="E75" s="34" t="s">
        <v>33</v>
      </c>
      <c r="F75" s="34" t="s">
        <v>26</v>
      </c>
      <c r="G75" s="35" t="s">
        <v>262</v>
      </c>
      <c r="H75" s="34" t="s">
        <v>28</v>
      </c>
      <c r="I75" s="36" t="s">
        <v>29</v>
      </c>
      <c r="J75" s="36" t="s">
        <v>128</v>
      </c>
      <c r="K75" s="37">
        <v>46006.0</v>
      </c>
      <c r="L75" s="37"/>
      <c r="M75" s="37"/>
      <c r="N75" s="38" t="s">
        <v>42</v>
      </c>
      <c r="O75" s="34">
        <v>105.8</v>
      </c>
      <c r="P75" s="37"/>
      <c r="Q75" s="37">
        <v>46050.0</v>
      </c>
      <c r="R75" s="39">
        <f t="shared" si="6"/>
        <v>46050</v>
      </c>
      <c r="S75" s="40" t="s">
        <v>43</v>
      </c>
      <c r="T75" s="56" t="s">
        <v>263</v>
      </c>
    </row>
    <row r="76" ht="58.5" hidden="1" customHeight="1">
      <c r="A76" s="16" t="s">
        <v>264</v>
      </c>
      <c r="B76" s="29">
        <v>46001.0</v>
      </c>
      <c r="C76" s="18">
        <f t="shared" si="1"/>
        <v>46001</v>
      </c>
      <c r="D76" s="19" t="s">
        <v>147</v>
      </c>
      <c r="E76" s="19" t="s">
        <v>25</v>
      </c>
      <c r="F76" s="19" t="s">
        <v>26</v>
      </c>
      <c r="G76" s="20" t="s">
        <v>265</v>
      </c>
      <c r="H76" s="19" t="s">
        <v>49</v>
      </c>
      <c r="I76" s="21" t="s">
        <v>61</v>
      </c>
      <c r="J76" s="21" t="s">
        <v>41</v>
      </c>
      <c r="K76" s="22">
        <v>46001.0</v>
      </c>
      <c r="L76" s="22">
        <v>46002.0</v>
      </c>
      <c r="M76" s="22">
        <v>46003.0</v>
      </c>
      <c r="N76" s="23" t="s">
        <v>42</v>
      </c>
      <c r="O76" s="19"/>
      <c r="P76" s="22">
        <v>46003.0</v>
      </c>
      <c r="Q76" s="22">
        <v>46003.0</v>
      </c>
      <c r="R76" s="24">
        <f t="shared" si="6"/>
        <v>46003</v>
      </c>
      <c r="S76" s="25" t="s">
        <v>119</v>
      </c>
      <c r="T76" s="43"/>
    </row>
    <row r="77" ht="58.5" hidden="1" customHeight="1">
      <c r="A77" s="16" t="s">
        <v>266</v>
      </c>
      <c r="B77" s="29">
        <v>46001.0</v>
      </c>
      <c r="C77" s="18">
        <f t="shared" si="1"/>
        <v>46001</v>
      </c>
      <c r="D77" s="19" t="s">
        <v>116</v>
      </c>
      <c r="E77" s="19" t="s">
        <v>25</v>
      </c>
      <c r="F77" s="19" t="s">
        <v>26</v>
      </c>
      <c r="G77" s="20" t="s">
        <v>267</v>
      </c>
      <c r="H77" s="19" t="s">
        <v>49</v>
      </c>
      <c r="I77" s="21" t="s">
        <v>61</v>
      </c>
      <c r="J77" s="21" t="s">
        <v>41</v>
      </c>
      <c r="K77" s="22">
        <v>46001.0</v>
      </c>
      <c r="L77" s="22">
        <v>46002.0</v>
      </c>
      <c r="M77" s="22">
        <v>46002.0</v>
      </c>
      <c r="N77" s="23" t="s">
        <v>42</v>
      </c>
      <c r="O77" s="19"/>
      <c r="P77" s="22">
        <v>46003.0</v>
      </c>
      <c r="Q77" s="22">
        <v>46002.0</v>
      </c>
      <c r="R77" s="24">
        <f t="shared" si="6"/>
        <v>46002</v>
      </c>
      <c r="S77" s="25" t="s">
        <v>119</v>
      </c>
      <c r="T77" s="43" t="s">
        <v>268</v>
      </c>
    </row>
    <row r="78" ht="58.5" hidden="1" customHeight="1">
      <c r="A78" s="30" t="s">
        <v>76</v>
      </c>
      <c r="B78" s="29">
        <v>45999.0</v>
      </c>
      <c r="C78" s="18">
        <f t="shared" si="1"/>
        <v>45999</v>
      </c>
      <c r="D78" s="19" t="s">
        <v>52</v>
      </c>
      <c r="E78" s="19" t="s">
        <v>33</v>
      </c>
      <c r="F78" s="19" t="s">
        <v>26</v>
      </c>
      <c r="G78" s="20" t="s">
        <v>269</v>
      </c>
      <c r="H78" s="19" t="s">
        <v>49</v>
      </c>
      <c r="I78" s="21" t="s">
        <v>61</v>
      </c>
      <c r="J78" s="21" t="s">
        <v>41</v>
      </c>
      <c r="K78" s="22">
        <v>45999.0</v>
      </c>
      <c r="L78" s="22">
        <v>45999.0</v>
      </c>
      <c r="M78" s="22">
        <v>45999.0</v>
      </c>
      <c r="N78" s="23" t="s">
        <v>42</v>
      </c>
      <c r="O78" s="19"/>
      <c r="P78" s="22">
        <v>46003.0</v>
      </c>
      <c r="Q78" s="22">
        <v>45999.0</v>
      </c>
      <c r="R78" s="24">
        <f t="shared" si="6"/>
        <v>45999</v>
      </c>
      <c r="S78" s="25" t="s">
        <v>119</v>
      </c>
      <c r="T78" s="43" t="s">
        <v>270</v>
      </c>
    </row>
    <row r="79" ht="58.5" hidden="1" customHeight="1">
      <c r="A79" s="30" t="s">
        <v>76</v>
      </c>
      <c r="B79" s="29">
        <v>45988.0</v>
      </c>
      <c r="C79" s="18">
        <f t="shared" si="1"/>
        <v>45988</v>
      </c>
      <c r="D79" s="19" t="s">
        <v>52</v>
      </c>
      <c r="E79" s="19" t="s">
        <v>271</v>
      </c>
      <c r="F79" s="19" t="s">
        <v>26</v>
      </c>
      <c r="G79" s="20" t="s">
        <v>272</v>
      </c>
      <c r="H79" s="19" t="s">
        <v>87</v>
      </c>
      <c r="I79" s="21" t="s">
        <v>29</v>
      </c>
      <c r="J79" s="21" t="s">
        <v>41</v>
      </c>
      <c r="K79" s="22">
        <v>45988.0</v>
      </c>
      <c r="L79" s="22">
        <v>45989.0</v>
      </c>
      <c r="M79" s="22">
        <v>45989.0</v>
      </c>
      <c r="N79" s="23" t="s">
        <v>42</v>
      </c>
      <c r="O79" s="19"/>
      <c r="P79" s="22">
        <v>45994.0</v>
      </c>
      <c r="Q79" s="22">
        <v>45995.0</v>
      </c>
      <c r="R79" s="24">
        <f t="shared" si="6"/>
        <v>45995</v>
      </c>
      <c r="S79" s="25" t="s">
        <v>119</v>
      </c>
      <c r="T79" s="43" t="s">
        <v>273</v>
      </c>
    </row>
    <row r="80" ht="58.5" hidden="1" customHeight="1">
      <c r="A80" s="16" t="s">
        <v>274</v>
      </c>
      <c r="B80" s="29">
        <v>45959.0</v>
      </c>
      <c r="C80" s="18">
        <f t="shared" si="1"/>
        <v>45959</v>
      </c>
      <c r="D80" s="19" t="s">
        <v>275</v>
      </c>
      <c r="E80" s="19" t="s">
        <v>33</v>
      </c>
      <c r="F80" s="19" t="s">
        <v>26</v>
      </c>
      <c r="G80" s="20" t="s">
        <v>276</v>
      </c>
      <c r="H80" s="19" t="s">
        <v>186</v>
      </c>
      <c r="I80" s="21" t="s">
        <v>36</v>
      </c>
      <c r="J80" s="21" t="s">
        <v>41</v>
      </c>
      <c r="K80" s="22">
        <v>45959.0</v>
      </c>
      <c r="L80" s="22">
        <v>45968.0</v>
      </c>
      <c r="M80" s="22">
        <v>45985.0</v>
      </c>
      <c r="N80" s="23" t="s">
        <v>42</v>
      </c>
      <c r="O80" s="19"/>
      <c r="P80" s="22">
        <v>45968.0</v>
      </c>
      <c r="Q80" s="22">
        <v>45985.0</v>
      </c>
      <c r="R80" s="24">
        <f t="shared" si="6"/>
        <v>45985</v>
      </c>
      <c r="S80" s="25" t="s">
        <v>119</v>
      </c>
      <c r="T80" s="43" t="s">
        <v>277</v>
      </c>
    </row>
    <row r="81" ht="58.5" hidden="1" customHeight="1">
      <c r="A81" s="16" t="s">
        <v>278</v>
      </c>
      <c r="B81" s="29">
        <v>45958.0</v>
      </c>
      <c r="C81" s="18">
        <f t="shared" si="1"/>
        <v>45958</v>
      </c>
      <c r="D81" s="19" t="s">
        <v>279</v>
      </c>
      <c r="E81" s="19" t="s">
        <v>25</v>
      </c>
      <c r="F81" s="19" t="s">
        <v>26</v>
      </c>
      <c r="G81" s="20" t="s">
        <v>280</v>
      </c>
      <c r="H81" s="19" t="s">
        <v>49</v>
      </c>
      <c r="I81" s="21" t="s">
        <v>36</v>
      </c>
      <c r="J81" s="21"/>
      <c r="K81" s="22"/>
      <c r="L81" s="22"/>
      <c r="M81" s="22"/>
      <c r="N81" s="23" t="s">
        <v>30</v>
      </c>
      <c r="O81" s="19"/>
      <c r="P81" s="22"/>
      <c r="Q81" s="22"/>
      <c r="R81" s="24"/>
      <c r="S81" s="25"/>
      <c r="T81" s="44"/>
    </row>
    <row r="82" ht="58.5" hidden="1" customHeight="1">
      <c r="A82" s="57" t="s">
        <v>281</v>
      </c>
      <c r="B82" s="58">
        <v>45952.0</v>
      </c>
      <c r="C82" s="59">
        <f t="shared" si="1"/>
        <v>45952</v>
      </c>
      <c r="D82" s="60" t="s">
        <v>195</v>
      </c>
      <c r="E82" s="61" t="s">
        <v>33</v>
      </c>
      <c r="F82" s="61" t="s">
        <v>26</v>
      </c>
      <c r="G82" s="62" t="s">
        <v>282</v>
      </c>
      <c r="H82" s="61" t="s">
        <v>40</v>
      </c>
      <c r="I82" s="60" t="s">
        <v>29</v>
      </c>
      <c r="J82" s="60" t="s">
        <v>41</v>
      </c>
      <c r="K82" s="58">
        <v>45958.0</v>
      </c>
      <c r="L82" s="58">
        <v>46085.0</v>
      </c>
      <c r="M82" s="58">
        <v>46085.0</v>
      </c>
      <c r="N82" s="61" t="s">
        <v>42</v>
      </c>
      <c r="O82" s="60"/>
      <c r="P82" s="58"/>
      <c r="Q82" s="58">
        <v>46100.0</v>
      </c>
      <c r="R82" s="63">
        <f t="shared" ref="R82:R126" si="7">Q82</f>
        <v>46100</v>
      </c>
      <c r="S82" s="64" t="s">
        <v>119</v>
      </c>
      <c r="T82" s="65" t="s">
        <v>283</v>
      </c>
    </row>
    <row r="83" ht="58.5" customHeight="1">
      <c r="A83" s="57" t="s">
        <v>284</v>
      </c>
      <c r="B83" s="66">
        <v>45952.0</v>
      </c>
      <c r="C83" s="67">
        <f t="shared" si="1"/>
        <v>45952</v>
      </c>
      <c r="D83" s="68" t="s">
        <v>285</v>
      </c>
      <c r="E83" s="68" t="s">
        <v>25</v>
      </c>
      <c r="F83" s="68" t="s">
        <v>26</v>
      </c>
      <c r="G83" s="69" t="s">
        <v>286</v>
      </c>
      <c r="H83" s="68" t="s">
        <v>28</v>
      </c>
      <c r="I83" s="70" t="s">
        <v>61</v>
      </c>
      <c r="J83" s="70" t="s">
        <v>110</v>
      </c>
      <c r="K83" s="71">
        <v>46055.0</v>
      </c>
      <c r="L83" s="72">
        <v>46059.0</v>
      </c>
      <c r="M83" s="71">
        <v>46059.0</v>
      </c>
      <c r="N83" s="73" t="s">
        <v>42</v>
      </c>
      <c r="O83" s="68">
        <v>43.3</v>
      </c>
      <c r="P83" s="71">
        <v>46070.0</v>
      </c>
      <c r="Q83" s="71">
        <v>46253.0</v>
      </c>
      <c r="R83" s="74">
        <f t="shared" si="7"/>
        <v>46253</v>
      </c>
      <c r="S83" s="75" t="s">
        <v>43</v>
      </c>
      <c r="T83" s="65" t="s">
        <v>287</v>
      </c>
    </row>
    <row r="84" ht="58.5" hidden="1" customHeight="1">
      <c r="A84" s="16" t="s">
        <v>288</v>
      </c>
      <c r="B84" s="29">
        <v>45938.0</v>
      </c>
      <c r="C84" s="18">
        <f t="shared" si="1"/>
        <v>45938</v>
      </c>
      <c r="D84" s="19" t="s">
        <v>246</v>
      </c>
      <c r="E84" s="19" t="s">
        <v>25</v>
      </c>
      <c r="F84" s="19" t="s">
        <v>26</v>
      </c>
      <c r="G84" s="20" t="s">
        <v>289</v>
      </c>
      <c r="H84" s="19" t="s">
        <v>28</v>
      </c>
      <c r="I84" s="21" t="s">
        <v>36</v>
      </c>
      <c r="J84" s="21" t="s">
        <v>75</v>
      </c>
      <c r="K84" s="22">
        <v>45958.0</v>
      </c>
      <c r="L84" s="22"/>
      <c r="M84" s="22"/>
      <c r="N84" s="23" t="s">
        <v>210</v>
      </c>
      <c r="O84" s="19"/>
      <c r="P84" s="22"/>
      <c r="Q84" s="22"/>
      <c r="R84" s="24" t="str">
        <f t="shared" si="7"/>
        <v/>
      </c>
      <c r="S84" s="25"/>
      <c r="T84" s="44"/>
    </row>
    <row r="85" ht="58.5" hidden="1" customHeight="1">
      <c r="A85" s="16" t="s">
        <v>290</v>
      </c>
      <c r="B85" s="29">
        <v>45945.0</v>
      </c>
      <c r="C85" s="18">
        <f t="shared" si="1"/>
        <v>45945</v>
      </c>
      <c r="D85" s="19" t="s">
        <v>291</v>
      </c>
      <c r="E85" s="19" t="s">
        <v>33</v>
      </c>
      <c r="F85" s="19" t="s">
        <v>26</v>
      </c>
      <c r="G85" s="20" t="s">
        <v>292</v>
      </c>
      <c r="H85" s="19" t="s">
        <v>49</v>
      </c>
      <c r="I85" s="21" t="s">
        <v>36</v>
      </c>
      <c r="J85" s="21" t="s">
        <v>255</v>
      </c>
      <c r="K85" s="22">
        <v>45958.0</v>
      </c>
      <c r="L85" s="22"/>
      <c r="M85" s="22"/>
      <c r="N85" s="23" t="s">
        <v>42</v>
      </c>
      <c r="O85" s="19"/>
      <c r="P85" s="22"/>
      <c r="Q85" s="22">
        <v>45966.0</v>
      </c>
      <c r="R85" s="24">
        <f t="shared" si="7"/>
        <v>45966</v>
      </c>
      <c r="S85" s="25" t="s">
        <v>119</v>
      </c>
      <c r="T85" s="43" t="s">
        <v>293</v>
      </c>
    </row>
    <row r="86" ht="58.5" hidden="1" customHeight="1">
      <c r="A86" s="76" t="s">
        <v>76</v>
      </c>
      <c r="B86" s="29">
        <v>45944.0</v>
      </c>
      <c r="C86" s="18">
        <f t="shared" si="1"/>
        <v>45944</v>
      </c>
      <c r="D86" s="19" t="s">
        <v>52</v>
      </c>
      <c r="E86" s="19" t="s">
        <v>33</v>
      </c>
      <c r="F86" s="19" t="s">
        <v>26</v>
      </c>
      <c r="G86" s="20" t="s">
        <v>294</v>
      </c>
      <c r="H86" s="19" t="s">
        <v>87</v>
      </c>
      <c r="I86" s="21" t="s">
        <v>29</v>
      </c>
      <c r="J86" s="21" t="s">
        <v>41</v>
      </c>
      <c r="K86" s="22">
        <v>45945.0</v>
      </c>
      <c r="L86" s="22">
        <v>45945.0</v>
      </c>
      <c r="M86" s="22">
        <v>45945.0</v>
      </c>
      <c r="N86" s="23" t="s">
        <v>42</v>
      </c>
      <c r="O86" s="19">
        <v>50.0</v>
      </c>
      <c r="P86" s="22">
        <v>45954.0</v>
      </c>
      <c r="Q86" s="22">
        <v>45961.0</v>
      </c>
      <c r="R86" s="24">
        <f t="shared" si="7"/>
        <v>45961</v>
      </c>
      <c r="S86" s="25" t="s">
        <v>43</v>
      </c>
      <c r="T86" s="43" t="s">
        <v>295</v>
      </c>
    </row>
    <row r="87" ht="58.5" customHeight="1">
      <c r="A87" s="77" t="s">
        <v>296</v>
      </c>
      <c r="B87" s="78">
        <v>45944.0</v>
      </c>
      <c r="C87" s="79">
        <f t="shared" si="1"/>
        <v>45944</v>
      </c>
      <c r="D87" s="80" t="s">
        <v>168</v>
      </c>
      <c r="E87" s="80" t="s">
        <v>33</v>
      </c>
      <c r="F87" s="80" t="s">
        <v>26</v>
      </c>
      <c r="G87" s="81" t="s">
        <v>297</v>
      </c>
      <c r="H87" s="80" t="s">
        <v>28</v>
      </c>
      <c r="I87" s="82" t="s">
        <v>29</v>
      </c>
      <c r="J87" s="82" t="s">
        <v>110</v>
      </c>
      <c r="K87" s="83">
        <v>45945.0</v>
      </c>
      <c r="L87" s="83">
        <v>45951.0</v>
      </c>
      <c r="M87" s="83">
        <v>45951.0</v>
      </c>
      <c r="N87" s="84" t="s">
        <v>210</v>
      </c>
      <c r="O87" s="80">
        <v>398.35</v>
      </c>
      <c r="P87" s="83"/>
      <c r="Q87" s="83">
        <v>45788.0</v>
      </c>
      <c r="R87" s="85">
        <f t="shared" si="7"/>
        <v>45788</v>
      </c>
      <c r="S87" s="86" t="s">
        <v>119</v>
      </c>
      <c r="T87" s="87" t="s">
        <v>298</v>
      </c>
    </row>
    <row r="88" ht="58.5" hidden="1" customHeight="1">
      <c r="A88" s="88" t="s">
        <v>299</v>
      </c>
      <c r="B88" s="89">
        <v>45937.0</v>
      </c>
      <c r="C88" s="18">
        <f t="shared" si="1"/>
        <v>45937</v>
      </c>
      <c r="D88" s="90" t="s">
        <v>38</v>
      </c>
      <c r="E88" s="90" t="s">
        <v>33</v>
      </c>
      <c r="F88" s="90" t="s">
        <v>26</v>
      </c>
      <c r="G88" s="91" t="s">
        <v>300</v>
      </c>
      <c r="H88" s="90" t="s">
        <v>28</v>
      </c>
      <c r="I88" s="92" t="s">
        <v>36</v>
      </c>
      <c r="J88" s="92" t="s">
        <v>41</v>
      </c>
      <c r="K88" s="93"/>
      <c r="L88" s="93"/>
      <c r="M88" s="93"/>
      <c r="N88" s="94" t="s">
        <v>118</v>
      </c>
      <c r="O88" s="90"/>
      <c r="P88" s="93"/>
      <c r="Q88" s="93"/>
      <c r="R88" s="24" t="str">
        <f t="shared" si="7"/>
        <v/>
      </c>
      <c r="S88" s="95" t="s">
        <v>119</v>
      </c>
      <c r="T88" s="96" t="s">
        <v>301</v>
      </c>
    </row>
    <row r="89" ht="58.5" hidden="1" customHeight="1">
      <c r="A89" s="77" t="s">
        <v>302</v>
      </c>
      <c r="B89" s="78">
        <v>45926.0</v>
      </c>
      <c r="C89" s="79">
        <f t="shared" si="1"/>
        <v>45926</v>
      </c>
      <c r="D89" s="80" t="s">
        <v>52</v>
      </c>
      <c r="E89" s="80"/>
      <c r="F89" s="80"/>
      <c r="G89" s="81" t="s">
        <v>303</v>
      </c>
      <c r="H89" s="80" t="s">
        <v>54</v>
      </c>
      <c r="I89" s="82" t="s">
        <v>29</v>
      </c>
      <c r="J89" s="82" t="s">
        <v>41</v>
      </c>
      <c r="K89" s="83">
        <v>45926.0</v>
      </c>
      <c r="L89" s="83">
        <v>45936.0</v>
      </c>
      <c r="M89" s="83">
        <v>46038.0</v>
      </c>
      <c r="N89" s="84" t="s">
        <v>42</v>
      </c>
      <c r="O89" s="80"/>
      <c r="P89" s="83"/>
      <c r="Q89" s="83">
        <v>46059.0</v>
      </c>
      <c r="R89" s="85">
        <f t="shared" si="7"/>
        <v>46059</v>
      </c>
      <c r="S89" s="86" t="s">
        <v>124</v>
      </c>
      <c r="T89" s="97" t="s">
        <v>304</v>
      </c>
    </row>
    <row r="90" ht="58.5" hidden="1" customHeight="1">
      <c r="A90" s="88" t="s">
        <v>305</v>
      </c>
      <c r="B90" s="89">
        <v>45925.0</v>
      </c>
      <c r="C90" s="18">
        <f t="shared" si="1"/>
        <v>45925</v>
      </c>
      <c r="D90" s="90" t="s">
        <v>213</v>
      </c>
      <c r="E90" s="90" t="s">
        <v>25</v>
      </c>
      <c r="F90" s="90" t="s">
        <v>26</v>
      </c>
      <c r="G90" s="91" t="s">
        <v>306</v>
      </c>
      <c r="H90" s="90" t="s">
        <v>49</v>
      </c>
      <c r="I90" s="92" t="s">
        <v>36</v>
      </c>
      <c r="J90" s="92" t="s">
        <v>255</v>
      </c>
      <c r="K90" s="93">
        <v>45926.0</v>
      </c>
      <c r="L90" s="93">
        <v>45929.0</v>
      </c>
      <c r="M90" s="93">
        <v>45929.0</v>
      </c>
      <c r="N90" s="94" t="s">
        <v>42</v>
      </c>
      <c r="O90" s="90"/>
      <c r="P90" s="93"/>
      <c r="Q90" s="93">
        <v>45929.0</v>
      </c>
      <c r="R90" s="24">
        <f t="shared" si="7"/>
        <v>45929</v>
      </c>
      <c r="S90" s="95" t="s">
        <v>119</v>
      </c>
      <c r="T90" s="98" t="s">
        <v>307</v>
      </c>
    </row>
    <row r="91" ht="58.5" hidden="1" customHeight="1">
      <c r="A91" s="88" t="s">
        <v>308</v>
      </c>
      <c r="B91" s="89">
        <v>45925.0</v>
      </c>
      <c r="C91" s="18">
        <f t="shared" si="1"/>
        <v>45925</v>
      </c>
      <c r="D91" s="90" t="s">
        <v>309</v>
      </c>
      <c r="E91" s="90" t="s">
        <v>310</v>
      </c>
      <c r="F91" s="90" t="s">
        <v>26</v>
      </c>
      <c r="G91" s="91" t="s">
        <v>311</v>
      </c>
      <c r="H91" s="90" t="s">
        <v>49</v>
      </c>
      <c r="I91" s="92" t="s">
        <v>61</v>
      </c>
      <c r="J91" s="92" t="s">
        <v>41</v>
      </c>
      <c r="K91" s="93">
        <v>46290.0</v>
      </c>
      <c r="L91" s="93">
        <v>45929.0</v>
      </c>
      <c r="M91" s="93">
        <v>45929.0</v>
      </c>
      <c r="N91" s="94" t="s">
        <v>42</v>
      </c>
      <c r="O91" s="90"/>
      <c r="P91" s="93"/>
      <c r="Q91" s="93">
        <v>45929.0</v>
      </c>
      <c r="R91" s="24">
        <f t="shared" si="7"/>
        <v>45929</v>
      </c>
      <c r="S91" s="95" t="s">
        <v>119</v>
      </c>
      <c r="T91" s="98" t="s">
        <v>312</v>
      </c>
    </row>
    <row r="92" ht="58.5" hidden="1" customHeight="1">
      <c r="A92" s="99" t="s">
        <v>313</v>
      </c>
      <c r="B92" s="100">
        <v>45925.0</v>
      </c>
      <c r="C92" s="101">
        <f t="shared" si="1"/>
        <v>45925</v>
      </c>
      <c r="D92" s="102" t="s">
        <v>57</v>
      </c>
      <c r="E92" s="102" t="s">
        <v>58</v>
      </c>
      <c r="F92" s="102" t="s">
        <v>58</v>
      </c>
      <c r="G92" s="103" t="s">
        <v>314</v>
      </c>
      <c r="H92" s="102" t="s">
        <v>35</v>
      </c>
      <c r="I92" s="104" t="s">
        <v>61</v>
      </c>
      <c r="J92" s="104" t="s">
        <v>152</v>
      </c>
      <c r="K92" s="105">
        <v>46063.0</v>
      </c>
      <c r="L92" s="105"/>
      <c r="M92" s="105"/>
      <c r="N92" s="106" t="s">
        <v>64</v>
      </c>
      <c r="O92" s="102"/>
      <c r="P92" s="105"/>
      <c r="Q92" s="105"/>
      <c r="R92" s="107" t="str">
        <f t="shared" si="7"/>
        <v/>
      </c>
      <c r="S92" s="108"/>
      <c r="T92" s="109" t="s">
        <v>315</v>
      </c>
    </row>
    <row r="93" ht="58.5" hidden="1" customHeight="1">
      <c r="A93" s="88" t="s">
        <v>316</v>
      </c>
      <c r="B93" s="89">
        <v>45918.0</v>
      </c>
      <c r="C93" s="18">
        <f t="shared" si="1"/>
        <v>45918</v>
      </c>
      <c r="D93" s="90" t="s">
        <v>317</v>
      </c>
      <c r="E93" s="90" t="s">
        <v>25</v>
      </c>
      <c r="F93" s="90" t="s">
        <v>26</v>
      </c>
      <c r="G93" s="91" t="s">
        <v>318</v>
      </c>
      <c r="H93" s="90" t="s">
        <v>28</v>
      </c>
      <c r="I93" s="92" t="s">
        <v>36</v>
      </c>
      <c r="J93" s="92"/>
      <c r="K93" s="93"/>
      <c r="L93" s="93"/>
      <c r="M93" s="93"/>
      <c r="N93" s="94" t="s">
        <v>30</v>
      </c>
      <c r="O93" s="90"/>
      <c r="P93" s="93"/>
      <c r="Q93" s="93"/>
      <c r="R93" s="24" t="str">
        <f t="shared" si="7"/>
        <v/>
      </c>
      <c r="S93" s="95"/>
      <c r="T93" s="98"/>
    </row>
    <row r="94" ht="58.5" hidden="1" customHeight="1">
      <c r="A94" s="88" t="s">
        <v>319</v>
      </c>
      <c r="B94" s="89">
        <v>45915.0</v>
      </c>
      <c r="C94" s="18">
        <f t="shared" si="1"/>
        <v>45915</v>
      </c>
      <c r="D94" s="90" t="s">
        <v>309</v>
      </c>
      <c r="E94" s="90" t="s">
        <v>310</v>
      </c>
      <c r="F94" s="90" t="s">
        <v>26</v>
      </c>
      <c r="G94" s="91" t="s">
        <v>320</v>
      </c>
      <c r="H94" s="90" t="s">
        <v>60</v>
      </c>
      <c r="I94" s="92" t="s">
        <v>36</v>
      </c>
      <c r="J94" s="92" t="s">
        <v>41</v>
      </c>
      <c r="K94" s="93">
        <v>45915.0</v>
      </c>
      <c r="L94" s="93">
        <v>45915.0</v>
      </c>
      <c r="M94" s="93">
        <v>45915.0</v>
      </c>
      <c r="N94" s="94" t="s">
        <v>118</v>
      </c>
      <c r="O94" s="90"/>
      <c r="P94" s="93"/>
      <c r="Q94" s="93">
        <v>45915.0</v>
      </c>
      <c r="R94" s="24">
        <f t="shared" si="7"/>
        <v>45915</v>
      </c>
      <c r="S94" s="95" t="s">
        <v>119</v>
      </c>
      <c r="T94" s="98" t="s">
        <v>321</v>
      </c>
    </row>
    <row r="95" ht="58.5" hidden="1" customHeight="1">
      <c r="A95" s="77" t="s">
        <v>322</v>
      </c>
      <c r="B95" s="78">
        <v>45911.0</v>
      </c>
      <c r="C95" s="79">
        <f t="shared" si="1"/>
        <v>45911</v>
      </c>
      <c r="D95" s="80" t="s">
        <v>323</v>
      </c>
      <c r="E95" s="80" t="s">
        <v>25</v>
      </c>
      <c r="F95" s="80" t="s">
        <v>26</v>
      </c>
      <c r="G95" s="81" t="s">
        <v>324</v>
      </c>
      <c r="H95" s="80" t="s">
        <v>28</v>
      </c>
      <c r="I95" s="82" t="s">
        <v>29</v>
      </c>
      <c r="J95" s="82" t="s">
        <v>128</v>
      </c>
      <c r="K95" s="83">
        <v>45944.0</v>
      </c>
      <c r="L95" s="83"/>
      <c r="M95" s="83"/>
      <c r="N95" s="84" t="s">
        <v>42</v>
      </c>
      <c r="O95" s="80">
        <v>12.4</v>
      </c>
      <c r="P95" s="83"/>
      <c r="Q95" s="83">
        <v>45988.0</v>
      </c>
      <c r="R95" s="85">
        <f t="shared" si="7"/>
        <v>45988</v>
      </c>
      <c r="S95" s="86" t="s">
        <v>119</v>
      </c>
      <c r="T95" s="97" t="s">
        <v>325</v>
      </c>
    </row>
    <row r="96" ht="58.5" hidden="1" customHeight="1">
      <c r="A96" s="88" t="s">
        <v>326</v>
      </c>
      <c r="B96" s="89">
        <v>45904.0</v>
      </c>
      <c r="C96" s="18">
        <f t="shared" si="1"/>
        <v>45904</v>
      </c>
      <c r="D96" s="90" t="s">
        <v>327</v>
      </c>
      <c r="E96" s="90" t="s">
        <v>25</v>
      </c>
      <c r="F96" s="90" t="s">
        <v>26</v>
      </c>
      <c r="G96" s="91" t="s">
        <v>328</v>
      </c>
      <c r="H96" s="90" t="s">
        <v>28</v>
      </c>
      <c r="I96" s="92" t="s">
        <v>61</v>
      </c>
      <c r="J96" s="92" t="s">
        <v>152</v>
      </c>
      <c r="K96" s="93"/>
      <c r="L96" s="93"/>
      <c r="M96" s="93"/>
      <c r="N96" s="94" t="s">
        <v>42</v>
      </c>
      <c r="O96" s="90">
        <v>77.8</v>
      </c>
      <c r="P96" s="93"/>
      <c r="Q96" s="93">
        <v>45918.0</v>
      </c>
      <c r="R96" s="24">
        <f t="shared" si="7"/>
        <v>45918</v>
      </c>
      <c r="S96" s="95"/>
      <c r="T96" s="98" t="s">
        <v>329</v>
      </c>
    </row>
    <row r="97" ht="58.5" hidden="1" customHeight="1">
      <c r="A97" s="88" t="s">
        <v>330</v>
      </c>
      <c r="B97" s="93">
        <v>45897.0</v>
      </c>
      <c r="C97" s="18">
        <f t="shared" si="1"/>
        <v>45897</v>
      </c>
      <c r="D97" s="90" t="s">
        <v>246</v>
      </c>
      <c r="E97" s="90" t="s">
        <v>25</v>
      </c>
      <c r="F97" s="90" t="s">
        <v>26</v>
      </c>
      <c r="G97" s="91" t="s">
        <v>331</v>
      </c>
      <c r="H97" s="90" t="s">
        <v>186</v>
      </c>
      <c r="I97" s="92" t="s">
        <v>36</v>
      </c>
      <c r="J97" s="92" t="s">
        <v>41</v>
      </c>
      <c r="K97" s="93">
        <v>45898.0</v>
      </c>
      <c r="L97" s="93"/>
      <c r="M97" s="93"/>
      <c r="N97" s="94" t="s">
        <v>42</v>
      </c>
      <c r="O97" s="90"/>
      <c r="P97" s="93"/>
      <c r="Q97" s="93">
        <v>45992.0</v>
      </c>
      <c r="R97" s="24">
        <f t="shared" si="7"/>
        <v>45992</v>
      </c>
      <c r="S97" s="95" t="s">
        <v>119</v>
      </c>
      <c r="T97" s="98" t="s">
        <v>332</v>
      </c>
    </row>
    <row r="98" ht="58.5" hidden="1" customHeight="1">
      <c r="A98" s="16" t="s">
        <v>333</v>
      </c>
      <c r="B98" s="22">
        <v>45891.0</v>
      </c>
      <c r="C98" s="110">
        <f t="shared" si="1"/>
        <v>45891</v>
      </c>
      <c r="D98" s="19" t="s">
        <v>52</v>
      </c>
      <c r="E98" s="19" t="s">
        <v>25</v>
      </c>
      <c r="F98" s="19" t="s">
        <v>26</v>
      </c>
      <c r="G98" s="20" t="s">
        <v>334</v>
      </c>
      <c r="H98" s="19" t="s">
        <v>28</v>
      </c>
      <c r="I98" s="21" t="s">
        <v>36</v>
      </c>
      <c r="J98" s="21"/>
      <c r="K98" s="22"/>
      <c r="L98" s="22"/>
      <c r="M98" s="22"/>
      <c r="N98" s="23" t="s">
        <v>30</v>
      </c>
      <c r="O98" s="19"/>
      <c r="P98" s="22"/>
      <c r="Q98" s="22"/>
      <c r="R98" s="24" t="str">
        <f t="shared" si="7"/>
        <v/>
      </c>
      <c r="S98" s="25"/>
      <c r="T98" s="43"/>
    </row>
    <row r="99" ht="58.5" hidden="1" customHeight="1">
      <c r="A99" s="88" t="s">
        <v>335</v>
      </c>
      <c r="B99" s="93">
        <v>45891.0</v>
      </c>
      <c r="C99" s="18">
        <f t="shared" si="1"/>
        <v>45891</v>
      </c>
      <c r="D99" s="90" t="s">
        <v>179</v>
      </c>
      <c r="E99" s="90" t="s">
        <v>25</v>
      </c>
      <c r="F99" s="90" t="s">
        <v>26</v>
      </c>
      <c r="G99" s="91" t="s">
        <v>336</v>
      </c>
      <c r="H99" s="90" t="s">
        <v>40</v>
      </c>
      <c r="I99" s="92" t="s">
        <v>36</v>
      </c>
      <c r="J99" s="92" t="s">
        <v>255</v>
      </c>
      <c r="K99" s="93">
        <v>45926.0</v>
      </c>
      <c r="L99" s="93"/>
      <c r="M99" s="93">
        <v>45929.0</v>
      </c>
      <c r="N99" s="94" t="s">
        <v>42</v>
      </c>
      <c r="O99" s="90"/>
      <c r="P99" s="93"/>
      <c r="Q99" s="93">
        <v>45931.0</v>
      </c>
      <c r="R99" s="24">
        <f t="shared" si="7"/>
        <v>45931</v>
      </c>
      <c r="S99" s="95" t="s">
        <v>119</v>
      </c>
      <c r="T99" s="98" t="s">
        <v>337</v>
      </c>
    </row>
    <row r="100" ht="58.5" hidden="1" customHeight="1">
      <c r="A100" s="88" t="s">
        <v>338</v>
      </c>
      <c r="B100" s="93">
        <v>45891.0</v>
      </c>
      <c r="C100" s="18">
        <f t="shared" si="1"/>
        <v>45891</v>
      </c>
      <c r="D100" s="90" t="s">
        <v>66</v>
      </c>
      <c r="E100" s="90" t="s">
        <v>25</v>
      </c>
      <c r="F100" s="90" t="s">
        <v>26</v>
      </c>
      <c r="G100" s="91" t="s">
        <v>339</v>
      </c>
      <c r="H100" s="90" t="s">
        <v>40</v>
      </c>
      <c r="I100" s="92" t="s">
        <v>36</v>
      </c>
      <c r="J100" s="92" t="s">
        <v>255</v>
      </c>
      <c r="K100" s="93">
        <v>45926.0</v>
      </c>
      <c r="L100" s="93"/>
      <c r="M100" s="93">
        <v>45929.0</v>
      </c>
      <c r="N100" s="94" t="s">
        <v>42</v>
      </c>
      <c r="O100" s="90"/>
      <c r="P100" s="93"/>
      <c r="Q100" s="93">
        <v>45932.0</v>
      </c>
      <c r="R100" s="24">
        <f t="shared" si="7"/>
        <v>45932</v>
      </c>
      <c r="S100" s="95" t="s">
        <v>119</v>
      </c>
      <c r="T100" s="98" t="s">
        <v>340</v>
      </c>
    </row>
    <row r="101" ht="58.5" hidden="1" customHeight="1">
      <c r="A101" s="77" t="s">
        <v>341</v>
      </c>
      <c r="B101" s="83">
        <v>45887.0</v>
      </c>
      <c r="C101" s="79">
        <f t="shared" si="1"/>
        <v>45887</v>
      </c>
      <c r="D101" s="80" t="s">
        <v>309</v>
      </c>
      <c r="E101" s="80" t="s">
        <v>310</v>
      </c>
      <c r="F101" s="80" t="s">
        <v>26</v>
      </c>
      <c r="G101" s="81" t="s">
        <v>342</v>
      </c>
      <c r="H101" s="80" t="s">
        <v>35</v>
      </c>
      <c r="I101" s="82" t="s">
        <v>29</v>
      </c>
      <c r="J101" s="82" t="s">
        <v>41</v>
      </c>
      <c r="K101" s="83">
        <v>45887.0</v>
      </c>
      <c r="L101" s="83">
        <v>45903.0</v>
      </c>
      <c r="M101" s="83">
        <v>45903.0</v>
      </c>
      <c r="N101" s="84" t="s">
        <v>343</v>
      </c>
      <c r="O101" s="80"/>
      <c r="P101" s="83">
        <v>45911.0</v>
      </c>
      <c r="Q101" s="83"/>
      <c r="R101" s="85" t="str">
        <f t="shared" si="7"/>
        <v/>
      </c>
      <c r="S101" s="86"/>
      <c r="T101" s="97" t="s">
        <v>344</v>
      </c>
    </row>
    <row r="102" ht="58.5" hidden="1" customHeight="1">
      <c r="A102" s="77" t="s">
        <v>345</v>
      </c>
      <c r="B102" s="83">
        <v>45887.0</v>
      </c>
      <c r="C102" s="79">
        <f t="shared" si="1"/>
        <v>45887</v>
      </c>
      <c r="D102" s="80" t="s">
        <v>246</v>
      </c>
      <c r="E102" s="80" t="s">
        <v>25</v>
      </c>
      <c r="F102" s="80" t="s">
        <v>26</v>
      </c>
      <c r="G102" s="81" t="s">
        <v>346</v>
      </c>
      <c r="H102" s="80" t="s">
        <v>28</v>
      </c>
      <c r="I102" s="82" t="s">
        <v>29</v>
      </c>
      <c r="J102" s="82" t="s">
        <v>75</v>
      </c>
      <c r="K102" s="83">
        <v>45909.0</v>
      </c>
      <c r="L102" s="83">
        <v>45923.0</v>
      </c>
      <c r="M102" s="83">
        <v>45924.0</v>
      </c>
      <c r="N102" s="84" t="s">
        <v>210</v>
      </c>
      <c r="O102" s="80"/>
      <c r="P102" s="83">
        <v>45931.0</v>
      </c>
      <c r="Q102" s="83"/>
      <c r="R102" s="85" t="str">
        <f t="shared" si="7"/>
        <v/>
      </c>
      <c r="S102" s="86"/>
      <c r="T102" s="97" t="s">
        <v>347</v>
      </c>
    </row>
    <row r="103" ht="58.5" hidden="1" customHeight="1">
      <c r="A103" s="88" t="s">
        <v>348</v>
      </c>
      <c r="B103" s="93">
        <v>45883.0</v>
      </c>
      <c r="C103" s="18">
        <f t="shared" si="1"/>
        <v>45883</v>
      </c>
      <c r="D103" s="90" t="s">
        <v>349</v>
      </c>
      <c r="E103" s="90" t="s">
        <v>25</v>
      </c>
      <c r="F103" s="90" t="s">
        <v>26</v>
      </c>
      <c r="G103" s="91" t="s">
        <v>350</v>
      </c>
      <c r="H103" s="90" t="s">
        <v>40</v>
      </c>
      <c r="I103" s="92" t="s">
        <v>36</v>
      </c>
      <c r="J103" s="92" t="s">
        <v>255</v>
      </c>
      <c r="K103" s="93">
        <v>45926.0</v>
      </c>
      <c r="L103" s="93"/>
      <c r="M103" s="93">
        <v>45929.0</v>
      </c>
      <c r="N103" s="94" t="s">
        <v>42</v>
      </c>
      <c r="O103" s="90"/>
      <c r="P103" s="93">
        <v>45933.0</v>
      </c>
      <c r="Q103" s="93">
        <v>45933.0</v>
      </c>
      <c r="R103" s="24">
        <f t="shared" si="7"/>
        <v>45933</v>
      </c>
      <c r="S103" s="95" t="s">
        <v>43</v>
      </c>
      <c r="T103" s="98" t="s">
        <v>351</v>
      </c>
    </row>
    <row r="104" ht="58.5" hidden="1" customHeight="1">
      <c r="A104" s="77" t="s">
        <v>352</v>
      </c>
      <c r="B104" s="83">
        <v>45875.0</v>
      </c>
      <c r="C104" s="79">
        <f t="shared" si="1"/>
        <v>45875</v>
      </c>
      <c r="D104" s="80" t="s">
        <v>195</v>
      </c>
      <c r="E104" s="80" t="s">
        <v>33</v>
      </c>
      <c r="F104" s="80" t="s">
        <v>26</v>
      </c>
      <c r="G104" s="81" t="s">
        <v>353</v>
      </c>
      <c r="H104" s="80" t="s">
        <v>40</v>
      </c>
      <c r="I104" s="82" t="s">
        <v>29</v>
      </c>
      <c r="J104" s="82" t="s">
        <v>255</v>
      </c>
      <c r="K104" s="83">
        <v>45875.0</v>
      </c>
      <c r="L104" s="83">
        <v>45880.0</v>
      </c>
      <c r="M104" s="83"/>
      <c r="N104" s="84" t="s">
        <v>55</v>
      </c>
      <c r="O104" s="80"/>
      <c r="P104" s="83"/>
      <c r="Q104" s="83"/>
      <c r="R104" s="85" t="str">
        <f t="shared" si="7"/>
        <v/>
      </c>
      <c r="S104" s="86"/>
      <c r="T104" s="97"/>
    </row>
    <row r="105" ht="58.5" hidden="1" customHeight="1">
      <c r="A105" s="88" t="s">
        <v>354</v>
      </c>
      <c r="B105" s="93">
        <v>45874.0</v>
      </c>
      <c r="C105" s="18">
        <f t="shared" si="1"/>
        <v>45874</v>
      </c>
      <c r="D105" s="90" t="s">
        <v>279</v>
      </c>
      <c r="E105" s="90" t="s">
        <v>25</v>
      </c>
      <c r="F105" s="90" t="s">
        <v>26</v>
      </c>
      <c r="G105" s="91" t="s">
        <v>355</v>
      </c>
      <c r="H105" s="90" t="s">
        <v>186</v>
      </c>
      <c r="I105" s="92" t="s">
        <v>61</v>
      </c>
      <c r="J105" s="92" t="s">
        <v>255</v>
      </c>
      <c r="K105" s="93">
        <v>45875.0</v>
      </c>
      <c r="L105" s="93">
        <v>45876.0</v>
      </c>
      <c r="M105" s="93">
        <v>45876.0</v>
      </c>
      <c r="N105" s="94" t="s">
        <v>42</v>
      </c>
      <c r="O105" s="90"/>
      <c r="P105" s="93">
        <v>45877.0</v>
      </c>
      <c r="Q105" s="93">
        <v>45877.0</v>
      </c>
      <c r="R105" s="24">
        <f t="shared" si="7"/>
        <v>45877</v>
      </c>
      <c r="S105" s="95" t="s">
        <v>119</v>
      </c>
      <c r="T105" s="98"/>
    </row>
    <row r="106" ht="58.5" customHeight="1">
      <c r="A106" s="111" t="s">
        <v>76</v>
      </c>
      <c r="B106" s="93">
        <v>45869.0</v>
      </c>
      <c r="C106" s="18">
        <f t="shared" si="1"/>
        <v>45869</v>
      </c>
      <c r="D106" s="90" t="s">
        <v>46</v>
      </c>
      <c r="E106" s="90" t="s">
        <v>33</v>
      </c>
      <c r="F106" s="90" t="s">
        <v>26</v>
      </c>
      <c r="G106" s="91" t="s">
        <v>356</v>
      </c>
      <c r="H106" s="90" t="s">
        <v>28</v>
      </c>
      <c r="I106" s="92" t="s">
        <v>29</v>
      </c>
      <c r="J106" s="92" t="s">
        <v>110</v>
      </c>
      <c r="K106" s="93">
        <v>45874.0</v>
      </c>
      <c r="L106" s="93">
        <v>45875.0</v>
      </c>
      <c r="M106" s="93">
        <v>45875.0</v>
      </c>
      <c r="N106" s="94" t="s">
        <v>42</v>
      </c>
      <c r="O106" s="90"/>
      <c r="P106" s="93">
        <v>45876.0</v>
      </c>
      <c r="Q106" s="93">
        <v>45877.0</v>
      </c>
      <c r="R106" s="24">
        <f t="shared" si="7"/>
        <v>45877</v>
      </c>
      <c r="S106" s="95"/>
      <c r="T106" s="98"/>
    </row>
    <row r="107" ht="58.5" hidden="1" customHeight="1">
      <c r="A107" s="88" t="s">
        <v>357</v>
      </c>
      <c r="B107" s="93">
        <v>45866.0</v>
      </c>
      <c r="C107" s="18">
        <f t="shared" si="1"/>
        <v>45866</v>
      </c>
      <c r="D107" s="90" t="s">
        <v>116</v>
      </c>
      <c r="E107" s="90" t="s">
        <v>25</v>
      </c>
      <c r="F107" s="90" t="s">
        <v>26</v>
      </c>
      <c r="G107" s="91" t="s">
        <v>358</v>
      </c>
      <c r="H107" s="90" t="s">
        <v>186</v>
      </c>
      <c r="I107" s="92" t="s">
        <v>36</v>
      </c>
      <c r="J107" s="92" t="s">
        <v>41</v>
      </c>
      <c r="K107" s="93">
        <v>45866.0</v>
      </c>
      <c r="L107" s="93">
        <v>46963.0</v>
      </c>
      <c r="M107" s="93">
        <v>46963.0</v>
      </c>
      <c r="N107" s="94" t="s">
        <v>42</v>
      </c>
      <c r="O107" s="90"/>
      <c r="P107" s="93">
        <v>45868.0</v>
      </c>
      <c r="Q107" s="93">
        <v>45868.0</v>
      </c>
      <c r="R107" s="24">
        <f t="shared" si="7"/>
        <v>45868</v>
      </c>
      <c r="S107" s="95" t="s">
        <v>119</v>
      </c>
      <c r="T107" s="98"/>
    </row>
    <row r="108" ht="58.5" hidden="1" customHeight="1">
      <c r="A108" s="111" t="s">
        <v>76</v>
      </c>
      <c r="B108" s="93">
        <v>45865.0</v>
      </c>
      <c r="C108" s="18">
        <f t="shared" si="1"/>
        <v>45865</v>
      </c>
      <c r="D108" s="90" t="s">
        <v>359</v>
      </c>
      <c r="E108" s="90" t="s">
        <v>33</v>
      </c>
      <c r="F108" s="90" t="s">
        <v>26</v>
      </c>
      <c r="G108" s="91" t="s">
        <v>360</v>
      </c>
      <c r="H108" s="90" t="s">
        <v>28</v>
      </c>
      <c r="I108" s="92" t="s">
        <v>36</v>
      </c>
      <c r="J108" s="92" t="s">
        <v>128</v>
      </c>
      <c r="K108" s="93">
        <v>45866.0</v>
      </c>
      <c r="L108" s="93">
        <v>45867.0</v>
      </c>
      <c r="M108" s="93">
        <v>45867.0</v>
      </c>
      <c r="N108" s="94" t="s">
        <v>42</v>
      </c>
      <c r="O108" s="90">
        <v>120.0</v>
      </c>
      <c r="P108" s="93">
        <v>45869.0</v>
      </c>
      <c r="Q108" s="93">
        <v>45869.0</v>
      </c>
      <c r="R108" s="24">
        <f t="shared" si="7"/>
        <v>45869</v>
      </c>
      <c r="S108" s="95" t="s">
        <v>43</v>
      </c>
      <c r="T108" s="98"/>
    </row>
    <row r="109" ht="58.5" hidden="1" customHeight="1">
      <c r="A109" s="88" t="s">
        <v>361</v>
      </c>
      <c r="B109" s="93">
        <v>45852.0</v>
      </c>
      <c r="C109" s="18">
        <f t="shared" si="1"/>
        <v>45852</v>
      </c>
      <c r="D109" s="112" t="s">
        <v>179</v>
      </c>
      <c r="E109" s="90" t="s">
        <v>33</v>
      </c>
      <c r="F109" s="90" t="s">
        <v>26</v>
      </c>
      <c r="G109" s="91" t="s">
        <v>362</v>
      </c>
      <c r="H109" s="90" t="s">
        <v>49</v>
      </c>
      <c r="I109" s="92" t="s">
        <v>61</v>
      </c>
      <c r="J109" s="92" t="s">
        <v>255</v>
      </c>
      <c r="K109" s="93">
        <v>45852.0</v>
      </c>
      <c r="L109" s="93">
        <v>45853.0</v>
      </c>
      <c r="M109" s="93">
        <v>45876.0</v>
      </c>
      <c r="N109" s="94" t="s">
        <v>42</v>
      </c>
      <c r="O109" s="90"/>
      <c r="P109" s="93"/>
      <c r="Q109" s="93">
        <v>45877.0</v>
      </c>
      <c r="R109" s="24">
        <f t="shared" si="7"/>
        <v>45877</v>
      </c>
      <c r="S109" s="95" t="s">
        <v>119</v>
      </c>
      <c r="T109" s="98"/>
    </row>
    <row r="110" ht="58.5" hidden="1" customHeight="1">
      <c r="A110" s="77" t="s">
        <v>363</v>
      </c>
      <c r="B110" s="83">
        <v>45848.0</v>
      </c>
      <c r="C110" s="79">
        <f t="shared" si="1"/>
        <v>45848</v>
      </c>
      <c r="D110" s="113" t="s">
        <v>364</v>
      </c>
      <c r="E110" s="80" t="s">
        <v>25</v>
      </c>
      <c r="F110" s="80" t="s">
        <v>26</v>
      </c>
      <c r="G110" s="81" t="s">
        <v>365</v>
      </c>
      <c r="H110" s="80" t="s">
        <v>60</v>
      </c>
      <c r="I110" s="82" t="s">
        <v>29</v>
      </c>
      <c r="J110" s="82" t="s">
        <v>41</v>
      </c>
      <c r="K110" s="83">
        <v>45848.0</v>
      </c>
      <c r="L110" s="83"/>
      <c r="M110" s="83"/>
      <c r="N110" s="84" t="s">
        <v>42</v>
      </c>
      <c r="O110" s="80">
        <v>735.65</v>
      </c>
      <c r="P110" s="113"/>
      <c r="Q110" s="83">
        <v>46111.0</v>
      </c>
      <c r="R110" s="85">
        <f t="shared" si="7"/>
        <v>46111</v>
      </c>
      <c r="S110" s="86" t="s">
        <v>119</v>
      </c>
      <c r="T110" s="97" t="s">
        <v>366</v>
      </c>
    </row>
    <row r="111" ht="58.5" hidden="1" customHeight="1">
      <c r="A111" s="16" t="s">
        <v>367</v>
      </c>
      <c r="B111" s="22">
        <v>45848.0</v>
      </c>
      <c r="C111" s="110">
        <f t="shared" si="1"/>
        <v>45848</v>
      </c>
      <c r="D111" s="27" t="s">
        <v>368</v>
      </c>
      <c r="E111" s="19" t="s">
        <v>25</v>
      </c>
      <c r="F111" s="19" t="s">
        <v>26</v>
      </c>
      <c r="G111" s="20" t="s">
        <v>369</v>
      </c>
      <c r="H111" s="19" t="s">
        <v>35</v>
      </c>
      <c r="I111" s="21" t="s">
        <v>61</v>
      </c>
      <c r="J111" s="21" t="s">
        <v>128</v>
      </c>
      <c r="K111" s="22">
        <v>46064.0</v>
      </c>
      <c r="L111" s="22">
        <v>46099.0</v>
      </c>
      <c r="M111" s="22">
        <v>46099.0</v>
      </c>
      <c r="N111" s="23" t="s">
        <v>42</v>
      </c>
      <c r="O111" s="19"/>
      <c r="P111" s="22"/>
      <c r="Q111" s="22">
        <v>46100.0</v>
      </c>
      <c r="R111" s="74">
        <f t="shared" si="7"/>
        <v>46100</v>
      </c>
      <c r="S111" s="25" t="s">
        <v>43</v>
      </c>
      <c r="T111" s="43" t="s">
        <v>370</v>
      </c>
    </row>
    <row r="112" ht="58.5" hidden="1" customHeight="1">
      <c r="A112" s="16" t="s">
        <v>371</v>
      </c>
      <c r="B112" s="22">
        <v>45838.0</v>
      </c>
      <c r="C112" s="110">
        <f t="shared" si="1"/>
        <v>45838</v>
      </c>
      <c r="D112" s="27" t="s">
        <v>24</v>
      </c>
      <c r="E112" s="19" t="s">
        <v>25</v>
      </c>
      <c r="F112" s="19" t="s">
        <v>26</v>
      </c>
      <c r="G112" s="20" t="s">
        <v>372</v>
      </c>
      <c r="H112" s="19" t="s">
        <v>60</v>
      </c>
      <c r="I112" s="21" t="s">
        <v>36</v>
      </c>
      <c r="J112" s="21"/>
      <c r="K112" s="22"/>
      <c r="L112" s="22"/>
      <c r="M112" s="22"/>
      <c r="N112" s="23" t="s">
        <v>30</v>
      </c>
      <c r="O112" s="19"/>
      <c r="P112" s="22"/>
      <c r="Q112" s="22"/>
      <c r="R112" s="74" t="str">
        <f t="shared" si="7"/>
        <v/>
      </c>
      <c r="S112" s="25"/>
      <c r="T112" s="43" t="s">
        <v>373</v>
      </c>
    </row>
    <row r="113" ht="58.5" hidden="1" customHeight="1">
      <c r="A113" s="16" t="s">
        <v>374</v>
      </c>
      <c r="B113" s="22">
        <v>45818.0</v>
      </c>
      <c r="C113" s="110">
        <f t="shared" si="1"/>
        <v>45818</v>
      </c>
      <c r="D113" s="27" t="s">
        <v>375</v>
      </c>
      <c r="E113" s="19" t="s">
        <v>25</v>
      </c>
      <c r="F113" s="19" t="s">
        <v>26</v>
      </c>
      <c r="G113" s="20" t="s">
        <v>376</v>
      </c>
      <c r="H113" s="19" t="s">
        <v>60</v>
      </c>
      <c r="I113" s="21" t="s">
        <v>36</v>
      </c>
      <c r="J113" s="21" t="s">
        <v>41</v>
      </c>
      <c r="K113" s="22">
        <v>45818.0</v>
      </c>
      <c r="L113" s="22"/>
      <c r="M113" s="22"/>
      <c r="N113" s="23" t="s">
        <v>55</v>
      </c>
      <c r="O113" s="19"/>
      <c r="P113" s="22"/>
      <c r="Q113" s="22"/>
      <c r="R113" s="74" t="str">
        <f t="shared" si="7"/>
        <v/>
      </c>
      <c r="S113" s="25"/>
      <c r="T113" s="43"/>
    </row>
    <row r="114" ht="58.5" hidden="1" customHeight="1">
      <c r="A114" s="77" t="s">
        <v>377</v>
      </c>
      <c r="B114" s="83">
        <v>45813.0</v>
      </c>
      <c r="C114" s="79">
        <f t="shared" si="1"/>
        <v>45813</v>
      </c>
      <c r="D114" s="113" t="s">
        <v>190</v>
      </c>
      <c r="E114" s="80" t="s">
        <v>47</v>
      </c>
      <c r="F114" s="80" t="s">
        <v>47</v>
      </c>
      <c r="G114" s="81" t="s">
        <v>378</v>
      </c>
      <c r="H114" s="80" t="s">
        <v>87</v>
      </c>
      <c r="I114" s="82" t="s">
        <v>29</v>
      </c>
      <c r="J114" s="82" t="s">
        <v>41</v>
      </c>
      <c r="K114" s="83">
        <v>45813.0</v>
      </c>
      <c r="L114" s="83">
        <v>46063.0</v>
      </c>
      <c r="M114" s="83">
        <v>46063.0</v>
      </c>
      <c r="N114" s="84" t="s">
        <v>42</v>
      </c>
      <c r="O114" s="80"/>
      <c r="P114" s="83">
        <v>46066.0</v>
      </c>
      <c r="Q114" s="83">
        <v>46065.0</v>
      </c>
      <c r="R114" s="85">
        <f t="shared" si="7"/>
        <v>46065</v>
      </c>
      <c r="S114" s="86" t="s">
        <v>43</v>
      </c>
      <c r="T114" s="97" t="s">
        <v>379</v>
      </c>
    </row>
    <row r="115" ht="58.5" hidden="1" customHeight="1">
      <c r="A115" s="77" t="s">
        <v>380</v>
      </c>
      <c r="B115" s="83">
        <v>45813.0</v>
      </c>
      <c r="C115" s="79">
        <f t="shared" si="1"/>
        <v>45813</v>
      </c>
      <c r="D115" s="113" t="s">
        <v>133</v>
      </c>
      <c r="E115" s="80" t="s">
        <v>33</v>
      </c>
      <c r="F115" s="80" t="s">
        <v>26</v>
      </c>
      <c r="G115" s="81" t="s">
        <v>381</v>
      </c>
      <c r="H115" s="80" t="s">
        <v>28</v>
      </c>
      <c r="I115" s="82" t="s">
        <v>29</v>
      </c>
      <c r="J115" s="82" t="s">
        <v>128</v>
      </c>
      <c r="K115" s="83">
        <v>46169.0</v>
      </c>
      <c r="L115" s="83"/>
      <c r="M115" s="83">
        <v>46232.0</v>
      </c>
      <c r="N115" s="84" t="s">
        <v>55</v>
      </c>
      <c r="O115" s="80"/>
      <c r="P115" s="83"/>
      <c r="Q115" s="83"/>
      <c r="R115" s="85" t="str">
        <f t="shared" si="7"/>
        <v/>
      </c>
      <c r="S115" s="86"/>
      <c r="T115" s="97" t="s">
        <v>382</v>
      </c>
    </row>
    <row r="116" ht="58.5" hidden="1" customHeight="1">
      <c r="A116" s="16" t="s">
        <v>383</v>
      </c>
      <c r="B116" s="22">
        <v>45811.0</v>
      </c>
      <c r="C116" s="110">
        <f t="shared" si="1"/>
        <v>45811</v>
      </c>
      <c r="D116" s="27" t="s">
        <v>246</v>
      </c>
      <c r="E116" s="19" t="s">
        <v>25</v>
      </c>
      <c r="F116" s="19" t="s">
        <v>26</v>
      </c>
      <c r="G116" s="20" t="s">
        <v>384</v>
      </c>
      <c r="H116" s="19" t="s">
        <v>49</v>
      </c>
      <c r="I116" s="21" t="s">
        <v>36</v>
      </c>
      <c r="J116" s="21" t="s">
        <v>255</v>
      </c>
      <c r="K116" s="22">
        <v>45813.0</v>
      </c>
      <c r="L116" s="22"/>
      <c r="M116" s="22"/>
      <c r="N116" s="23" t="s">
        <v>42</v>
      </c>
      <c r="O116" s="19"/>
      <c r="P116" s="22"/>
      <c r="Q116" s="22">
        <v>45832.0</v>
      </c>
      <c r="R116" s="74">
        <f t="shared" si="7"/>
        <v>45832</v>
      </c>
      <c r="S116" s="25" t="s">
        <v>119</v>
      </c>
      <c r="T116" s="43"/>
    </row>
    <row r="117" ht="58.5" hidden="1" customHeight="1">
      <c r="A117" s="16" t="s">
        <v>385</v>
      </c>
      <c r="B117" s="22">
        <v>45810.0</v>
      </c>
      <c r="C117" s="110">
        <f t="shared" si="1"/>
        <v>45810</v>
      </c>
      <c r="D117" s="27" t="s">
        <v>91</v>
      </c>
      <c r="E117" s="19" t="s">
        <v>25</v>
      </c>
      <c r="F117" s="19" t="s">
        <v>26</v>
      </c>
      <c r="G117" s="20" t="s">
        <v>386</v>
      </c>
      <c r="H117" s="19" t="s">
        <v>49</v>
      </c>
      <c r="I117" s="21" t="s">
        <v>36</v>
      </c>
      <c r="J117" s="21" t="s">
        <v>255</v>
      </c>
      <c r="K117" s="22">
        <v>45813.0</v>
      </c>
      <c r="L117" s="22"/>
      <c r="M117" s="22"/>
      <c r="N117" s="23" t="s">
        <v>42</v>
      </c>
      <c r="O117" s="19"/>
      <c r="P117" s="22"/>
      <c r="Q117" s="22">
        <v>45832.0</v>
      </c>
      <c r="R117" s="74">
        <f t="shared" si="7"/>
        <v>45832</v>
      </c>
      <c r="S117" s="25" t="s">
        <v>119</v>
      </c>
      <c r="T117" s="43"/>
    </row>
    <row r="118" ht="58.5" hidden="1" customHeight="1">
      <c r="A118" s="16" t="s">
        <v>387</v>
      </c>
      <c r="B118" s="22">
        <v>45805.0</v>
      </c>
      <c r="C118" s="110">
        <f t="shared" si="1"/>
        <v>45805</v>
      </c>
      <c r="D118" s="27" t="s">
        <v>158</v>
      </c>
      <c r="E118" s="19" t="s">
        <v>25</v>
      </c>
      <c r="F118" s="19" t="s">
        <v>26</v>
      </c>
      <c r="G118" s="20" t="s">
        <v>388</v>
      </c>
      <c r="H118" s="19" t="s">
        <v>49</v>
      </c>
      <c r="I118" s="21" t="s">
        <v>61</v>
      </c>
      <c r="J118" s="21" t="s">
        <v>41</v>
      </c>
      <c r="K118" s="22">
        <v>45805.0</v>
      </c>
      <c r="L118" s="22">
        <v>45807.0</v>
      </c>
      <c r="M118" s="22">
        <v>45807.0</v>
      </c>
      <c r="N118" s="23" t="s">
        <v>42</v>
      </c>
      <c r="O118" s="19"/>
      <c r="P118" s="22">
        <v>45807.0</v>
      </c>
      <c r="Q118" s="22">
        <v>45807.0</v>
      </c>
      <c r="R118" s="74">
        <f t="shared" si="7"/>
        <v>45807</v>
      </c>
      <c r="S118" s="25" t="s">
        <v>119</v>
      </c>
      <c r="T118" s="43" t="s">
        <v>389</v>
      </c>
    </row>
    <row r="119" ht="58.5" hidden="1" customHeight="1">
      <c r="A119" s="16" t="s">
        <v>390</v>
      </c>
      <c r="B119" s="22">
        <v>45797.0</v>
      </c>
      <c r="C119" s="110">
        <f t="shared" si="1"/>
        <v>45797</v>
      </c>
      <c r="D119" s="27" t="s">
        <v>116</v>
      </c>
      <c r="E119" s="19" t="s">
        <v>25</v>
      </c>
      <c r="F119" s="19" t="s">
        <v>26</v>
      </c>
      <c r="G119" s="20" t="s">
        <v>391</v>
      </c>
      <c r="H119" s="19" t="s">
        <v>49</v>
      </c>
      <c r="I119" s="21" t="s">
        <v>36</v>
      </c>
      <c r="J119" s="21" t="s">
        <v>255</v>
      </c>
      <c r="K119" s="22">
        <v>45797.0</v>
      </c>
      <c r="L119" s="22">
        <v>45798.0</v>
      </c>
      <c r="M119" s="22">
        <v>45798.0</v>
      </c>
      <c r="N119" s="23" t="s">
        <v>42</v>
      </c>
      <c r="O119" s="19">
        <v>5450.0</v>
      </c>
      <c r="P119" s="22">
        <v>45807.0</v>
      </c>
      <c r="Q119" s="22">
        <v>45807.0</v>
      </c>
      <c r="R119" s="74">
        <f t="shared" si="7"/>
        <v>45807</v>
      </c>
      <c r="S119" s="25" t="s">
        <v>119</v>
      </c>
      <c r="T119" s="43" t="s">
        <v>392</v>
      </c>
    </row>
    <row r="120" ht="58.5" hidden="1" customHeight="1">
      <c r="A120" s="16" t="s">
        <v>393</v>
      </c>
      <c r="B120" s="22">
        <v>45783.0</v>
      </c>
      <c r="C120" s="110">
        <f t="shared" si="1"/>
        <v>45783</v>
      </c>
      <c r="D120" s="27" t="s">
        <v>81</v>
      </c>
      <c r="E120" s="19" t="s">
        <v>25</v>
      </c>
      <c r="F120" s="19" t="s">
        <v>26</v>
      </c>
      <c r="G120" s="20" t="s">
        <v>394</v>
      </c>
      <c r="H120" s="19" t="s">
        <v>49</v>
      </c>
      <c r="I120" s="21" t="s">
        <v>29</v>
      </c>
      <c r="J120" s="21" t="s">
        <v>41</v>
      </c>
      <c r="K120" s="22"/>
      <c r="L120" s="22"/>
      <c r="M120" s="22"/>
      <c r="N120" s="23" t="s">
        <v>343</v>
      </c>
      <c r="O120" s="19"/>
      <c r="P120" s="22"/>
      <c r="Q120" s="22"/>
      <c r="R120" s="74" t="str">
        <f t="shared" si="7"/>
        <v/>
      </c>
      <c r="S120" s="25"/>
      <c r="T120" s="43"/>
    </row>
    <row r="121" ht="58.5" hidden="1" customHeight="1">
      <c r="A121" s="16" t="s">
        <v>395</v>
      </c>
      <c r="B121" s="22">
        <v>45764.0</v>
      </c>
      <c r="C121" s="110">
        <f t="shared" si="1"/>
        <v>45764</v>
      </c>
      <c r="D121" s="27" t="s">
        <v>38</v>
      </c>
      <c r="E121" s="19" t="s">
        <v>33</v>
      </c>
      <c r="F121" s="19" t="s">
        <v>26</v>
      </c>
      <c r="G121" s="20" t="s">
        <v>396</v>
      </c>
      <c r="H121" s="19" t="s">
        <v>28</v>
      </c>
      <c r="I121" s="21" t="s">
        <v>29</v>
      </c>
      <c r="J121" s="21" t="s">
        <v>128</v>
      </c>
      <c r="K121" s="22">
        <v>45784.0</v>
      </c>
      <c r="L121" s="22">
        <v>45799.0</v>
      </c>
      <c r="M121" s="22">
        <v>45799.0</v>
      </c>
      <c r="N121" s="23" t="s">
        <v>42</v>
      </c>
      <c r="O121" s="19">
        <v>293.91</v>
      </c>
      <c r="P121" s="22">
        <v>45789.0</v>
      </c>
      <c r="Q121" s="22">
        <v>45819.0</v>
      </c>
      <c r="R121" s="74">
        <f t="shared" si="7"/>
        <v>45819</v>
      </c>
      <c r="S121" s="25"/>
      <c r="T121" s="43" t="s">
        <v>397</v>
      </c>
    </row>
    <row r="122" ht="58.5" hidden="1" customHeight="1">
      <c r="A122" s="16" t="s">
        <v>398</v>
      </c>
      <c r="B122" s="22">
        <v>45741.0</v>
      </c>
      <c r="C122" s="110">
        <f t="shared" si="1"/>
        <v>45741</v>
      </c>
      <c r="D122" s="27" t="s">
        <v>213</v>
      </c>
      <c r="E122" s="19" t="s">
        <v>25</v>
      </c>
      <c r="F122" s="19" t="s">
        <v>26</v>
      </c>
      <c r="G122" s="20" t="s">
        <v>399</v>
      </c>
      <c r="H122" s="19" t="s">
        <v>28</v>
      </c>
      <c r="I122" s="21" t="s">
        <v>61</v>
      </c>
      <c r="J122" s="21"/>
      <c r="K122" s="22"/>
      <c r="L122" s="22"/>
      <c r="M122" s="22"/>
      <c r="N122" s="23" t="s">
        <v>118</v>
      </c>
      <c r="O122" s="19"/>
      <c r="P122" s="22"/>
      <c r="Q122" s="22">
        <v>45686.0</v>
      </c>
      <c r="R122" s="74">
        <f t="shared" si="7"/>
        <v>45686</v>
      </c>
      <c r="S122" s="25" t="s">
        <v>119</v>
      </c>
      <c r="T122" s="43" t="s">
        <v>400</v>
      </c>
    </row>
    <row r="123" ht="58.5" hidden="1" customHeight="1">
      <c r="A123" s="16" t="s">
        <v>401</v>
      </c>
      <c r="B123" s="22">
        <v>45735.0</v>
      </c>
      <c r="C123" s="110">
        <f t="shared" si="1"/>
        <v>45735</v>
      </c>
      <c r="D123" s="27" t="s">
        <v>402</v>
      </c>
      <c r="E123" s="19" t="s">
        <v>25</v>
      </c>
      <c r="F123" s="19" t="s">
        <v>26</v>
      </c>
      <c r="G123" s="20" t="s">
        <v>403</v>
      </c>
      <c r="H123" s="19" t="s">
        <v>35</v>
      </c>
      <c r="I123" s="21" t="s">
        <v>29</v>
      </c>
      <c r="J123" s="21" t="s">
        <v>128</v>
      </c>
      <c r="K123" s="22">
        <v>45840.0</v>
      </c>
      <c r="L123" s="22">
        <v>45847.0</v>
      </c>
      <c r="M123" s="17">
        <v>45845.0</v>
      </c>
      <c r="N123" s="23" t="s">
        <v>42</v>
      </c>
      <c r="O123" s="19"/>
      <c r="P123" s="22">
        <v>45859.0</v>
      </c>
      <c r="Q123" s="22">
        <v>45864.0</v>
      </c>
      <c r="R123" s="74">
        <f t="shared" si="7"/>
        <v>45864</v>
      </c>
      <c r="S123" s="25" t="s">
        <v>43</v>
      </c>
      <c r="T123" s="43" t="s">
        <v>404</v>
      </c>
    </row>
    <row r="124" ht="58.5" hidden="1" customHeight="1">
      <c r="A124" s="16" t="s">
        <v>405</v>
      </c>
      <c r="B124" s="22">
        <v>45735.0</v>
      </c>
      <c r="C124" s="110">
        <f t="shared" si="1"/>
        <v>45735</v>
      </c>
      <c r="D124" s="27" t="s">
        <v>246</v>
      </c>
      <c r="E124" s="19" t="s">
        <v>25</v>
      </c>
      <c r="F124" s="19" t="s">
        <v>26</v>
      </c>
      <c r="G124" s="20" t="s">
        <v>406</v>
      </c>
      <c r="H124" s="19" t="s">
        <v>28</v>
      </c>
      <c r="I124" s="21" t="s">
        <v>36</v>
      </c>
      <c r="J124" s="21"/>
      <c r="K124" s="22"/>
      <c r="L124" s="22"/>
      <c r="M124" s="22"/>
      <c r="N124" s="23" t="s">
        <v>30</v>
      </c>
      <c r="O124" s="19"/>
      <c r="P124" s="22"/>
      <c r="Q124" s="22"/>
      <c r="R124" s="74" t="str">
        <f t="shared" si="7"/>
        <v/>
      </c>
      <c r="S124" s="25"/>
      <c r="T124" s="43" t="s">
        <v>407</v>
      </c>
    </row>
    <row r="125" ht="58.5" hidden="1" customHeight="1">
      <c r="A125" s="30" t="s">
        <v>76</v>
      </c>
      <c r="B125" s="22">
        <v>45730.0</v>
      </c>
      <c r="C125" s="110">
        <f t="shared" si="1"/>
        <v>45730</v>
      </c>
      <c r="D125" s="27" t="s">
        <v>52</v>
      </c>
      <c r="E125" s="19" t="s">
        <v>58</v>
      </c>
      <c r="F125" s="19" t="s">
        <v>58</v>
      </c>
      <c r="G125" s="20" t="s">
        <v>408</v>
      </c>
      <c r="H125" s="19" t="s">
        <v>28</v>
      </c>
      <c r="I125" s="21" t="s">
        <v>29</v>
      </c>
      <c r="J125" s="21" t="s">
        <v>41</v>
      </c>
      <c r="K125" s="22">
        <v>45730.0</v>
      </c>
      <c r="L125" s="22">
        <v>45762.0</v>
      </c>
      <c r="M125" s="22">
        <v>45763.0</v>
      </c>
      <c r="N125" s="23" t="s">
        <v>42</v>
      </c>
      <c r="O125" s="19">
        <v>634.46</v>
      </c>
      <c r="P125" s="22">
        <v>45772.0</v>
      </c>
      <c r="Q125" s="22">
        <v>45777.0</v>
      </c>
      <c r="R125" s="74">
        <f t="shared" si="7"/>
        <v>45777</v>
      </c>
      <c r="S125" s="25" t="s">
        <v>43</v>
      </c>
      <c r="T125" s="43" t="s">
        <v>409</v>
      </c>
    </row>
    <row r="126" ht="58.5" hidden="1" customHeight="1">
      <c r="A126" s="30" t="s">
        <v>76</v>
      </c>
      <c r="B126" s="22">
        <v>45730.0</v>
      </c>
      <c r="C126" s="110">
        <f t="shared" si="1"/>
        <v>45730</v>
      </c>
      <c r="D126" s="27" t="s">
        <v>410</v>
      </c>
      <c r="E126" s="19" t="s">
        <v>33</v>
      </c>
      <c r="F126" s="19" t="s">
        <v>26</v>
      </c>
      <c r="G126" s="20" t="s">
        <v>411</v>
      </c>
      <c r="H126" s="19" t="s">
        <v>28</v>
      </c>
      <c r="I126" s="21" t="s">
        <v>29</v>
      </c>
      <c r="J126" s="21" t="s">
        <v>41</v>
      </c>
      <c r="K126" s="22">
        <v>45730.0</v>
      </c>
      <c r="L126" s="22">
        <v>45735.0</v>
      </c>
      <c r="M126" s="22">
        <v>45736.0</v>
      </c>
      <c r="N126" s="23" t="s">
        <v>42</v>
      </c>
      <c r="O126" s="19">
        <v>494.38</v>
      </c>
      <c r="P126" s="22">
        <v>45753.0</v>
      </c>
      <c r="Q126" s="22">
        <v>45753.0</v>
      </c>
      <c r="R126" s="74">
        <f t="shared" si="7"/>
        <v>45753</v>
      </c>
      <c r="S126" s="25" t="s">
        <v>119</v>
      </c>
      <c r="T126" s="43" t="s">
        <v>412</v>
      </c>
    </row>
    <row r="127" ht="58.5" hidden="1" customHeight="1">
      <c r="A127" s="77" t="s">
        <v>413</v>
      </c>
      <c r="B127" s="83">
        <v>45723.0</v>
      </c>
      <c r="C127" s="79">
        <f t="shared" si="1"/>
        <v>45723</v>
      </c>
      <c r="D127" s="113" t="s">
        <v>246</v>
      </c>
      <c r="E127" s="80" t="s">
        <v>25</v>
      </c>
      <c r="F127" s="80" t="s">
        <v>26</v>
      </c>
      <c r="G127" s="81" t="s">
        <v>414</v>
      </c>
      <c r="H127" s="80" t="s">
        <v>60</v>
      </c>
      <c r="I127" s="82" t="s">
        <v>61</v>
      </c>
      <c r="J127" s="82" t="s">
        <v>75</v>
      </c>
      <c r="K127" s="83">
        <v>45909.0</v>
      </c>
      <c r="L127" s="83">
        <v>45931.0</v>
      </c>
      <c r="M127" s="83"/>
      <c r="N127" s="84" t="s">
        <v>210</v>
      </c>
      <c r="O127" s="80"/>
      <c r="P127" s="83"/>
      <c r="Q127" s="83"/>
      <c r="R127" s="85"/>
      <c r="S127" s="86"/>
      <c r="T127" s="97" t="s">
        <v>347</v>
      </c>
    </row>
    <row r="128" ht="58.5" hidden="1" customHeight="1">
      <c r="A128" s="30" t="s">
        <v>76</v>
      </c>
      <c r="B128" s="22">
        <v>45715.0</v>
      </c>
      <c r="C128" s="110">
        <f t="shared" si="1"/>
        <v>45715</v>
      </c>
      <c r="D128" s="27" t="s">
        <v>415</v>
      </c>
      <c r="E128" s="19" t="s">
        <v>47</v>
      </c>
      <c r="F128" s="19" t="s">
        <v>47</v>
      </c>
      <c r="G128" s="20" t="s">
        <v>416</v>
      </c>
      <c r="H128" s="19" t="s">
        <v>28</v>
      </c>
      <c r="I128" s="21" t="s">
        <v>36</v>
      </c>
      <c r="J128" s="21" t="s">
        <v>128</v>
      </c>
      <c r="K128" s="22">
        <v>45716.0</v>
      </c>
      <c r="L128" s="17">
        <v>45719.0</v>
      </c>
      <c r="M128" s="17">
        <v>45719.0</v>
      </c>
      <c r="N128" s="23" t="s">
        <v>42</v>
      </c>
      <c r="O128" s="19">
        <v>805.0</v>
      </c>
      <c r="P128" s="22">
        <v>45722.0</v>
      </c>
      <c r="Q128" s="22">
        <v>45747.0</v>
      </c>
      <c r="R128" s="74">
        <f t="shared" ref="R128:R130" si="8">Q128</f>
        <v>45747</v>
      </c>
      <c r="S128" s="25" t="s">
        <v>43</v>
      </c>
      <c r="T128" s="43" t="s">
        <v>417</v>
      </c>
    </row>
    <row r="129" ht="58.5" hidden="1" customHeight="1">
      <c r="A129" s="114" t="s">
        <v>418</v>
      </c>
      <c r="B129" s="115">
        <v>45694.0</v>
      </c>
      <c r="C129" s="116">
        <f t="shared" si="1"/>
        <v>45694</v>
      </c>
      <c r="D129" s="117" t="s">
        <v>419</v>
      </c>
      <c r="E129" s="118" t="s">
        <v>33</v>
      </c>
      <c r="F129" s="118" t="s">
        <v>26</v>
      </c>
      <c r="G129" s="119" t="s">
        <v>420</v>
      </c>
      <c r="H129" s="118" t="s">
        <v>186</v>
      </c>
      <c r="I129" s="120" t="s">
        <v>29</v>
      </c>
      <c r="J129" s="120" t="s">
        <v>128</v>
      </c>
      <c r="K129" s="115">
        <v>45695.0</v>
      </c>
      <c r="L129" s="115">
        <v>45699.0</v>
      </c>
      <c r="M129" s="115">
        <v>45699.0</v>
      </c>
      <c r="N129" s="121" t="s">
        <v>42</v>
      </c>
      <c r="O129" s="118">
        <v>72.0</v>
      </c>
      <c r="P129" s="115">
        <v>45706.0</v>
      </c>
      <c r="Q129" s="115">
        <v>45701.0</v>
      </c>
      <c r="R129" s="122">
        <f t="shared" si="8"/>
        <v>45701</v>
      </c>
      <c r="S129" s="123" t="s">
        <v>227</v>
      </c>
      <c r="T129" s="124" t="s">
        <v>421</v>
      </c>
    </row>
    <row r="130" ht="58.5" hidden="1" customHeight="1">
      <c r="A130" s="77" t="s">
        <v>281</v>
      </c>
      <c r="B130" s="83">
        <v>45709.0</v>
      </c>
      <c r="C130" s="79">
        <f t="shared" si="1"/>
        <v>45709</v>
      </c>
      <c r="D130" s="113" t="s">
        <v>195</v>
      </c>
      <c r="E130" s="80" t="s">
        <v>33</v>
      </c>
      <c r="F130" s="80" t="s">
        <v>26</v>
      </c>
      <c r="G130" s="81" t="s">
        <v>422</v>
      </c>
      <c r="H130" s="80" t="s">
        <v>40</v>
      </c>
      <c r="I130" s="82" t="s">
        <v>29</v>
      </c>
      <c r="J130" s="82" t="s">
        <v>41</v>
      </c>
      <c r="K130" s="83">
        <v>45709.0</v>
      </c>
      <c r="L130" s="83"/>
      <c r="M130" s="83"/>
      <c r="N130" s="84" t="s">
        <v>42</v>
      </c>
      <c r="O130" s="80"/>
      <c r="P130" s="83"/>
      <c r="Q130" s="83">
        <v>45932.0</v>
      </c>
      <c r="R130" s="85">
        <f t="shared" si="8"/>
        <v>45932</v>
      </c>
      <c r="S130" s="86" t="s">
        <v>119</v>
      </c>
      <c r="T130" s="97" t="s">
        <v>283</v>
      </c>
    </row>
    <row r="131" ht="58.5" hidden="1" customHeight="1">
      <c r="A131" s="16" t="s">
        <v>423</v>
      </c>
      <c r="B131" s="22">
        <v>45708.0</v>
      </c>
      <c r="C131" s="110">
        <f t="shared" si="1"/>
        <v>45708</v>
      </c>
      <c r="D131" s="27" t="s">
        <v>424</v>
      </c>
      <c r="E131" s="19" t="s">
        <v>33</v>
      </c>
      <c r="F131" s="19" t="s">
        <v>26</v>
      </c>
      <c r="G131" s="20" t="s">
        <v>425</v>
      </c>
      <c r="H131" s="19" t="s">
        <v>40</v>
      </c>
      <c r="I131" s="21" t="s">
        <v>36</v>
      </c>
      <c r="J131" s="21"/>
      <c r="K131" s="22"/>
      <c r="L131" s="22"/>
      <c r="M131" s="22"/>
      <c r="N131" s="23" t="s">
        <v>30</v>
      </c>
      <c r="O131" s="19"/>
      <c r="P131" s="22"/>
      <c r="Q131" s="22"/>
      <c r="R131" s="125"/>
      <c r="S131" s="25"/>
      <c r="T131" s="43"/>
    </row>
    <row r="132" ht="58.5" hidden="1" customHeight="1">
      <c r="A132" s="114" t="s">
        <v>426</v>
      </c>
      <c r="B132" s="115">
        <v>45699.0</v>
      </c>
      <c r="C132" s="116">
        <f t="shared" si="1"/>
        <v>45699</v>
      </c>
      <c r="D132" s="117" t="s">
        <v>427</v>
      </c>
      <c r="E132" s="118" t="s">
        <v>25</v>
      </c>
      <c r="F132" s="118" t="s">
        <v>26</v>
      </c>
      <c r="G132" s="119" t="s">
        <v>428</v>
      </c>
      <c r="H132" s="118" t="s">
        <v>60</v>
      </c>
      <c r="I132" s="120" t="s">
        <v>29</v>
      </c>
      <c r="J132" s="120"/>
      <c r="K132" s="117"/>
      <c r="L132" s="115"/>
      <c r="M132" s="115"/>
      <c r="N132" s="121" t="s">
        <v>30</v>
      </c>
      <c r="O132" s="118"/>
      <c r="P132" s="115"/>
      <c r="Q132" s="115"/>
      <c r="R132" s="122"/>
      <c r="S132" s="123"/>
      <c r="T132" s="124"/>
    </row>
    <row r="133" ht="58.5" customHeight="1">
      <c r="A133" s="16" t="s">
        <v>429</v>
      </c>
      <c r="B133" s="22">
        <v>45694.0</v>
      </c>
      <c r="C133" s="110">
        <f t="shared" si="1"/>
        <v>45694</v>
      </c>
      <c r="D133" s="27" t="s">
        <v>91</v>
      </c>
      <c r="E133" s="19" t="s">
        <v>25</v>
      </c>
      <c r="F133" s="19" t="s">
        <v>26</v>
      </c>
      <c r="G133" s="20" t="s">
        <v>430</v>
      </c>
      <c r="H133" s="19" t="s">
        <v>28</v>
      </c>
      <c r="I133" s="21" t="s">
        <v>61</v>
      </c>
      <c r="J133" s="21" t="s">
        <v>110</v>
      </c>
      <c r="K133" s="22">
        <v>45694.0</v>
      </c>
      <c r="L133" s="22">
        <v>45695.0</v>
      </c>
      <c r="M133" s="22">
        <v>45695.0</v>
      </c>
      <c r="N133" s="23" t="s">
        <v>42</v>
      </c>
      <c r="O133" s="19">
        <v>81.5</v>
      </c>
      <c r="P133" s="17">
        <v>45824.0</v>
      </c>
      <c r="Q133" s="22">
        <v>45866.0</v>
      </c>
      <c r="R133" s="125">
        <f t="shared" ref="R133:R365" si="9">Q133</f>
        <v>45866</v>
      </c>
      <c r="S133" s="25" t="s">
        <v>119</v>
      </c>
      <c r="T133" s="43" t="s">
        <v>431</v>
      </c>
    </row>
    <row r="134" ht="58.5" hidden="1" customHeight="1">
      <c r="A134" s="16" t="s">
        <v>432</v>
      </c>
      <c r="B134" s="22">
        <v>45694.0</v>
      </c>
      <c r="C134" s="110">
        <f t="shared" si="1"/>
        <v>45694</v>
      </c>
      <c r="D134" s="27" t="s">
        <v>427</v>
      </c>
      <c r="E134" s="19" t="s">
        <v>25</v>
      </c>
      <c r="F134" s="19" t="s">
        <v>26</v>
      </c>
      <c r="G134" s="20" t="s">
        <v>433</v>
      </c>
      <c r="H134" s="19" t="s">
        <v>87</v>
      </c>
      <c r="I134" s="21" t="s">
        <v>36</v>
      </c>
      <c r="J134" s="21" t="s">
        <v>128</v>
      </c>
      <c r="K134" s="22">
        <v>45695.0</v>
      </c>
      <c r="L134" s="22">
        <v>45747.0</v>
      </c>
      <c r="M134" s="22">
        <v>45747.0</v>
      </c>
      <c r="N134" s="23" t="s">
        <v>42</v>
      </c>
      <c r="O134" s="19"/>
      <c r="P134" s="22">
        <v>45751.0</v>
      </c>
      <c r="Q134" s="22">
        <v>45749.0</v>
      </c>
      <c r="R134" s="125">
        <f t="shared" si="9"/>
        <v>45749</v>
      </c>
      <c r="S134" s="25" t="s">
        <v>124</v>
      </c>
      <c r="T134" s="43" t="s">
        <v>434</v>
      </c>
    </row>
    <row r="135" ht="58.5" hidden="1" customHeight="1">
      <c r="A135" s="126" t="s">
        <v>435</v>
      </c>
      <c r="B135" s="127">
        <v>45692.0</v>
      </c>
      <c r="C135" s="128">
        <f t="shared" si="1"/>
        <v>45692</v>
      </c>
      <c r="D135" s="129" t="s">
        <v>165</v>
      </c>
      <c r="E135" s="130" t="s">
        <v>33</v>
      </c>
      <c r="F135" s="130" t="s">
        <v>26</v>
      </c>
      <c r="G135" s="131" t="s">
        <v>436</v>
      </c>
      <c r="H135" s="130" t="s">
        <v>28</v>
      </c>
      <c r="I135" s="132" t="s">
        <v>29</v>
      </c>
      <c r="J135" s="132" t="s">
        <v>128</v>
      </c>
      <c r="K135" s="127">
        <v>45709.0</v>
      </c>
      <c r="L135" s="127">
        <v>45714.0</v>
      </c>
      <c r="M135" s="127">
        <v>45714.0</v>
      </c>
      <c r="N135" s="133" t="s">
        <v>42</v>
      </c>
      <c r="O135" s="130">
        <v>250.0</v>
      </c>
      <c r="P135" s="127"/>
      <c r="Q135" s="127">
        <v>45769.0</v>
      </c>
      <c r="R135" s="134">
        <f t="shared" si="9"/>
        <v>45769</v>
      </c>
      <c r="S135" s="135" t="s">
        <v>227</v>
      </c>
      <c r="T135" s="136" t="s">
        <v>437</v>
      </c>
    </row>
    <row r="136" ht="58.5" hidden="1" customHeight="1">
      <c r="A136" s="16" t="s">
        <v>438</v>
      </c>
      <c r="B136" s="22">
        <v>45679.0</v>
      </c>
      <c r="C136" s="110">
        <f t="shared" si="1"/>
        <v>45679</v>
      </c>
      <c r="D136" s="27" t="s">
        <v>52</v>
      </c>
      <c r="E136" s="19"/>
      <c r="F136" s="19"/>
      <c r="G136" s="20" t="s">
        <v>439</v>
      </c>
      <c r="H136" s="19" t="s">
        <v>49</v>
      </c>
      <c r="I136" s="21" t="s">
        <v>29</v>
      </c>
      <c r="J136" s="21" t="s">
        <v>41</v>
      </c>
      <c r="K136" s="22">
        <v>45679.0</v>
      </c>
      <c r="L136" s="22"/>
      <c r="M136" s="22">
        <v>45680.0</v>
      </c>
      <c r="N136" s="23" t="s">
        <v>42</v>
      </c>
      <c r="O136" s="19"/>
      <c r="P136" s="22">
        <v>45695.0</v>
      </c>
      <c r="Q136" s="22">
        <v>45702.0</v>
      </c>
      <c r="R136" s="125">
        <f t="shared" si="9"/>
        <v>45702</v>
      </c>
      <c r="S136" s="25" t="s">
        <v>119</v>
      </c>
      <c r="T136" s="43"/>
    </row>
    <row r="137" ht="58.5" hidden="1" customHeight="1">
      <c r="A137" s="77" t="s">
        <v>440</v>
      </c>
      <c r="B137" s="83">
        <v>45677.0</v>
      </c>
      <c r="C137" s="79">
        <f t="shared" si="1"/>
        <v>45677</v>
      </c>
      <c r="D137" s="113" t="s">
        <v>161</v>
      </c>
      <c r="E137" s="80" t="s">
        <v>33</v>
      </c>
      <c r="F137" s="80" t="s">
        <v>26</v>
      </c>
      <c r="G137" s="81" t="s">
        <v>441</v>
      </c>
      <c r="H137" s="80" t="s">
        <v>40</v>
      </c>
      <c r="I137" s="82" t="s">
        <v>29</v>
      </c>
      <c r="J137" s="82" t="s">
        <v>128</v>
      </c>
      <c r="K137" s="83">
        <v>45819.0</v>
      </c>
      <c r="L137" s="83">
        <v>45825.0</v>
      </c>
      <c r="M137" s="83">
        <v>45831.0</v>
      </c>
      <c r="N137" s="84" t="s">
        <v>42</v>
      </c>
      <c r="O137" s="80">
        <v>234.74</v>
      </c>
      <c r="P137" s="83">
        <v>45840.0</v>
      </c>
      <c r="Q137" s="83">
        <v>46161.0</v>
      </c>
      <c r="R137" s="85">
        <f t="shared" si="9"/>
        <v>46161</v>
      </c>
      <c r="S137" s="86" t="s">
        <v>119</v>
      </c>
      <c r="T137" s="97" t="s">
        <v>442</v>
      </c>
    </row>
    <row r="138" ht="58.5" hidden="1" customHeight="1">
      <c r="A138" s="16" t="s">
        <v>112</v>
      </c>
      <c r="B138" s="22">
        <v>45653.0</v>
      </c>
      <c r="C138" s="110">
        <f t="shared" si="1"/>
        <v>45653</v>
      </c>
      <c r="D138" s="27" t="s">
        <v>52</v>
      </c>
      <c r="E138" s="19"/>
      <c r="F138" s="19"/>
      <c r="G138" s="20" t="s">
        <v>113</v>
      </c>
      <c r="H138" s="19" t="s">
        <v>54</v>
      </c>
      <c r="I138" s="21" t="s">
        <v>29</v>
      </c>
      <c r="J138" s="21" t="s">
        <v>41</v>
      </c>
      <c r="K138" s="22">
        <v>45653.0</v>
      </c>
      <c r="L138" s="22">
        <v>45687.0</v>
      </c>
      <c r="M138" s="22">
        <v>45687.0</v>
      </c>
      <c r="N138" s="23" t="s">
        <v>42</v>
      </c>
      <c r="O138" s="19"/>
      <c r="P138" s="22">
        <v>45688.0</v>
      </c>
      <c r="Q138" s="22">
        <v>45688.0</v>
      </c>
      <c r="R138" s="125">
        <f t="shared" si="9"/>
        <v>45688</v>
      </c>
      <c r="S138" s="25" t="s">
        <v>119</v>
      </c>
      <c r="T138" s="43" t="s">
        <v>443</v>
      </c>
    </row>
    <row r="139" ht="58.5" hidden="1" customHeight="1">
      <c r="A139" s="16" t="s">
        <v>444</v>
      </c>
      <c r="B139" s="22">
        <v>45645.0</v>
      </c>
      <c r="C139" s="110">
        <f t="shared" si="1"/>
        <v>45645</v>
      </c>
      <c r="D139" s="27" t="s">
        <v>116</v>
      </c>
      <c r="E139" s="19" t="s">
        <v>25</v>
      </c>
      <c r="F139" s="19" t="s">
        <v>26</v>
      </c>
      <c r="G139" s="20" t="s">
        <v>445</v>
      </c>
      <c r="H139" s="19" t="s">
        <v>40</v>
      </c>
      <c r="I139" s="21" t="s">
        <v>29</v>
      </c>
      <c r="J139" s="21" t="s">
        <v>255</v>
      </c>
      <c r="K139" s="22">
        <v>45723.0</v>
      </c>
      <c r="L139" s="22"/>
      <c r="M139" s="22"/>
      <c r="N139" s="23" t="s">
        <v>343</v>
      </c>
      <c r="O139" s="19"/>
      <c r="P139" s="22"/>
      <c r="Q139" s="22"/>
      <c r="R139" s="125" t="str">
        <f t="shared" si="9"/>
        <v/>
      </c>
      <c r="S139" s="137"/>
      <c r="T139" s="43" t="s">
        <v>446</v>
      </c>
    </row>
    <row r="140" ht="58.5" hidden="1" customHeight="1">
      <c r="A140" s="16" t="s">
        <v>447</v>
      </c>
      <c r="B140" s="22">
        <v>45638.0</v>
      </c>
      <c r="C140" s="110">
        <f t="shared" si="1"/>
        <v>45638</v>
      </c>
      <c r="D140" s="27" t="s">
        <v>168</v>
      </c>
      <c r="E140" s="19" t="s">
        <v>33</v>
      </c>
      <c r="F140" s="19" t="s">
        <v>26</v>
      </c>
      <c r="G140" s="20" t="s">
        <v>448</v>
      </c>
      <c r="H140" s="19" t="s">
        <v>28</v>
      </c>
      <c r="I140" s="21" t="s">
        <v>29</v>
      </c>
      <c r="J140" s="21" t="s">
        <v>75</v>
      </c>
      <c r="K140" s="22">
        <v>45643.0</v>
      </c>
      <c r="L140" s="22">
        <v>45643.0</v>
      </c>
      <c r="M140" s="22">
        <v>45643.0</v>
      </c>
      <c r="N140" s="23" t="s">
        <v>42</v>
      </c>
      <c r="O140" s="19">
        <v>54.73</v>
      </c>
      <c r="P140" s="22"/>
      <c r="Q140" s="22">
        <v>45679.0</v>
      </c>
      <c r="R140" s="125">
        <f t="shared" si="9"/>
        <v>45679</v>
      </c>
      <c r="S140" s="25" t="s">
        <v>227</v>
      </c>
      <c r="T140" s="43" t="s">
        <v>449</v>
      </c>
    </row>
    <row r="141" ht="58.5" hidden="1" customHeight="1">
      <c r="A141" s="77" t="s">
        <v>450</v>
      </c>
      <c r="B141" s="83">
        <v>45636.0</v>
      </c>
      <c r="C141" s="79">
        <f t="shared" si="1"/>
        <v>45636</v>
      </c>
      <c r="D141" s="113" t="s">
        <v>133</v>
      </c>
      <c r="E141" s="80" t="s">
        <v>33</v>
      </c>
      <c r="F141" s="80" t="s">
        <v>26</v>
      </c>
      <c r="G141" s="81" t="s">
        <v>451</v>
      </c>
      <c r="H141" s="80" t="s">
        <v>40</v>
      </c>
      <c r="I141" s="82" t="s">
        <v>29</v>
      </c>
      <c r="J141" s="82" t="s">
        <v>75</v>
      </c>
      <c r="K141" s="83">
        <v>45642.0</v>
      </c>
      <c r="L141" s="83"/>
      <c r="M141" s="113"/>
      <c r="N141" s="84" t="s">
        <v>343</v>
      </c>
      <c r="O141" s="80"/>
      <c r="P141" s="83"/>
      <c r="Q141" s="83"/>
      <c r="R141" s="85" t="str">
        <f t="shared" si="9"/>
        <v/>
      </c>
      <c r="S141" s="138"/>
      <c r="T141" s="97"/>
    </row>
    <row r="142" ht="58.5" hidden="1" customHeight="1">
      <c r="A142" s="126" t="s">
        <v>452</v>
      </c>
      <c r="B142" s="127">
        <v>45630.0</v>
      </c>
      <c r="C142" s="128">
        <f t="shared" si="1"/>
        <v>45630</v>
      </c>
      <c r="D142" s="129" t="s">
        <v>81</v>
      </c>
      <c r="E142" s="130" t="s">
        <v>25</v>
      </c>
      <c r="F142" s="130" t="s">
        <v>26</v>
      </c>
      <c r="G142" s="131" t="s">
        <v>453</v>
      </c>
      <c r="H142" s="130" t="s">
        <v>35</v>
      </c>
      <c r="I142" s="132" t="s">
        <v>29</v>
      </c>
      <c r="J142" s="132" t="s">
        <v>128</v>
      </c>
      <c r="K142" s="127">
        <v>45709.0</v>
      </c>
      <c r="L142" s="127">
        <v>45847.0</v>
      </c>
      <c r="M142" s="129"/>
      <c r="N142" s="133" t="s">
        <v>118</v>
      </c>
      <c r="O142" s="130"/>
      <c r="P142" s="127"/>
      <c r="Q142" s="139">
        <v>45866.0</v>
      </c>
      <c r="R142" s="134">
        <f t="shared" si="9"/>
        <v>45866</v>
      </c>
      <c r="S142" s="135" t="s">
        <v>124</v>
      </c>
      <c r="T142" s="136" t="s">
        <v>454</v>
      </c>
    </row>
    <row r="143" ht="58.5" hidden="1" customHeight="1">
      <c r="A143" s="16" t="s">
        <v>455</v>
      </c>
      <c r="B143" s="22">
        <v>45629.0</v>
      </c>
      <c r="C143" s="110">
        <f t="shared" si="1"/>
        <v>45629</v>
      </c>
      <c r="D143" s="27" t="s">
        <v>52</v>
      </c>
      <c r="E143" s="19"/>
      <c r="F143" s="19"/>
      <c r="G143" s="20" t="s">
        <v>456</v>
      </c>
      <c r="H143" s="19" t="s">
        <v>54</v>
      </c>
      <c r="I143" s="21" t="s">
        <v>36</v>
      </c>
      <c r="J143" s="21" t="s">
        <v>41</v>
      </c>
      <c r="K143" s="22">
        <v>45629.0</v>
      </c>
      <c r="L143" s="22">
        <v>45629.0</v>
      </c>
      <c r="M143" s="22">
        <v>45629.0</v>
      </c>
      <c r="N143" s="23" t="s">
        <v>42</v>
      </c>
      <c r="O143" s="19"/>
      <c r="P143" s="22"/>
      <c r="Q143" s="22">
        <v>46043.0</v>
      </c>
      <c r="R143" s="125">
        <f t="shared" si="9"/>
        <v>46043</v>
      </c>
      <c r="S143" s="25" t="s">
        <v>124</v>
      </c>
      <c r="T143" s="43" t="s">
        <v>457</v>
      </c>
    </row>
    <row r="144" ht="58.5" hidden="1" customHeight="1">
      <c r="A144" s="16" t="s">
        <v>458</v>
      </c>
      <c r="B144" s="22">
        <v>45625.0</v>
      </c>
      <c r="C144" s="110">
        <f t="shared" si="1"/>
        <v>45625</v>
      </c>
      <c r="D144" s="27" t="s">
        <v>459</v>
      </c>
      <c r="E144" s="19" t="s">
        <v>25</v>
      </c>
      <c r="F144" s="19" t="s">
        <v>26</v>
      </c>
      <c r="G144" s="20" t="s">
        <v>460</v>
      </c>
      <c r="H144" s="19" t="s">
        <v>49</v>
      </c>
      <c r="I144" s="21" t="s">
        <v>36</v>
      </c>
      <c r="J144" s="21" t="s">
        <v>128</v>
      </c>
      <c r="K144" s="22">
        <v>45679.0</v>
      </c>
      <c r="L144" s="22">
        <v>45679.0</v>
      </c>
      <c r="M144" s="17">
        <v>45679.0</v>
      </c>
      <c r="N144" s="23" t="s">
        <v>42</v>
      </c>
      <c r="O144" s="19"/>
      <c r="P144" s="22">
        <v>45817.0</v>
      </c>
      <c r="Q144" s="22">
        <v>45847.0</v>
      </c>
      <c r="R144" s="125">
        <f t="shared" si="9"/>
        <v>45847</v>
      </c>
      <c r="S144" s="25" t="s">
        <v>119</v>
      </c>
      <c r="T144" s="43" t="s">
        <v>461</v>
      </c>
    </row>
    <row r="145" ht="58.5" hidden="1" customHeight="1">
      <c r="A145" s="16" t="s">
        <v>462</v>
      </c>
      <c r="B145" s="22">
        <v>45625.0</v>
      </c>
      <c r="C145" s="110">
        <f t="shared" si="1"/>
        <v>45625</v>
      </c>
      <c r="D145" s="27" t="s">
        <v>81</v>
      </c>
      <c r="E145" s="19" t="s">
        <v>25</v>
      </c>
      <c r="F145" s="19" t="s">
        <v>26</v>
      </c>
      <c r="G145" s="20" t="s">
        <v>463</v>
      </c>
      <c r="H145" s="19" t="s">
        <v>49</v>
      </c>
      <c r="I145" s="21" t="s">
        <v>36</v>
      </c>
      <c r="J145" s="21"/>
      <c r="K145" s="22"/>
      <c r="L145" s="22"/>
      <c r="M145" s="27"/>
      <c r="N145" s="23" t="s">
        <v>30</v>
      </c>
      <c r="O145" s="19"/>
      <c r="P145" s="22"/>
      <c r="Q145" s="22"/>
      <c r="R145" s="125" t="str">
        <f t="shared" si="9"/>
        <v/>
      </c>
      <c r="S145" s="137"/>
      <c r="T145" s="43"/>
    </row>
    <row r="146" ht="58.5" hidden="1" customHeight="1">
      <c r="A146" s="30" t="s">
        <v>76</v>
      </c>
      <c r="B146" s="22">
        <v>45621.0</v>
      </c>
      <c r="C146" s="110">
        <f t="shared" si="1"/>
        <v>45621</v>
      </c>
      <c r="D146" s="27" t="s">
        <v>81</v>
      </c>
      <c r="E146" s="19" t="s">
        <v>25</v>
      </c>
      <c r="F146" s="19" t="s">
        <v>26</v>
      </c>
      <c r="G146" s="20" t="s">
        <v>464</v>
      </c>
      <c r="H146" s="19" t="s">
        <v>28</v>
      </c>
      <c r="I146" s="21" t="s">
        <v>29</v>
      </c>
      <c r="J146" s="21" t="s">
        <v>41</v>
      </c>
      <c r="K146" s="22">
        <v>45621.0</v>
      </c>
      <c r="L146" s="22">
        <v>45624.0</v>
      </c>
      <c r="M146" s="22">
        <v>45624.0</v>
      </c>
      <c r="N146" s="23" t="s">
        <v>42</v>
      </c>
      <c r="O146" s="19">
        <v>133.15</v>
      </c>
      <c r="P146" s="22">
        <v>45632.0</v>
      </c>
      <c r="Q146" s="22">
        <v>45632.0</v>
      </c>
      <c r="R146" s="125">
        <f t="shared" si="9"/>
        <v>45632</v>
      </c>
      <c r="S146" s="25" t="s">
        <v>119</v>
      </c>
      <c r="T146" s="43" t="s">
        <v>465</v>
      </c>
    </row>
    <row r="147" ht="58.5" hidden="1" customHeight="1">
      <c r="A147" s="16" t="s">
        <v>466</v>
      </c>
      <c r="B147" s="22">
        <v>45621.0</v>
      </c>
      <c r="C147" s="110">
        <f t="shared" si="1"/>
        <v>45621</v>
      </c>
      <c r="D147" s="27" t="s">
        <v>38</v>
      </c>
      <c r="E147" s="19" t="s">
        <v>33</v>
      </c>
      <c r="F147" s="19" t="s">
        <v>26</v>
      </c>
      <c r="G147" s="20" t="s">
        <v>467</v>
      </c>
      <c r="H147" s="19" t="s">
        <v>28</v>
      </c>
      <c r="I147" s="21" t="s">
        <v>29</v>
      </c>
      <c r="J147" s="21" t="s">
        <v>75</v>
      </c>
      <c r="K147" s="22">
        <v>45621.0</v>
      </c>
      <c r="L147" s="22">
        <v>45621.0</v>
      </c>
      <c r="M147" s="22">
        <v>45621.0</v>
      </c>
      <c r="N147" s="23" t="s">
        <v>42</v>
      </c>
      <c r="O147" s="19">
        <v>198.31</v>
      </c>
      <c r="P147" s="22"/>
      <c r="Q147" s="22">
        <v>45679.0</v>
      </c>
      <c r="R147" s="125">
        <f t="shared" si="9"/>
        <v>45679</v>
      </c>
      <c r="S147" s="25" t="s">
        <v>468</v>
      </c>
      <c r="T147" s="43" t="s">
        <v>469</v>
      </c>
    </row>
    <row r="148" ht="58.5" hidden="1" customHeight="1">
      <c r="A148" s="16" t="s">
        <v>470</v>
      </c>
      <c r="B148" s="22">
        <v>45617.0</v>
      </c>
      <c r="C148" s="110">
        <f t="shared" si="1"/>
        <v>45617</v>
      </c>
      <c r="D148" s="27" t="s">
        <v>24</v>
      </c>
      <c r="E148" s="19"/>
      <c r="F148" s="19"/>
      <c r="G148" s="20" t="s">
        <v>471</v>
      </c>
      <c r="H148" s="19" t="s">
        <v>472</v>
      </c>
      <c r="I148" s="21" t="s">
        <v>61</v>
      </c>
      <c r="J148" s="21" t="s">
        <v>41</v>
      </c>
      <c r="K148" s="22">
        <v>45617.0</v>
      </c>
      <c r="L148" s="22">
        <v>45623.0</v>
      </c>
      <c r="M148" s="29">
        <v>45623.0</v>
      </c>
      <c r="N148" s="23" t="s">
        <v>42</v>
      </c>
      <c r="O148" s="19"/>
      <c r="P148" s="22">
        <v>45632.0</v>
      </c>
      <c r="Q148" s="22">
        <v>45642.0</v>
      </c>
      <c r="R148" s="125">
        <f t="shared" si="9"/>
        <v>45642</v>
      </c>
      <c r="S148" s="25" t="s">
        <v>227</v>
      </c>
      <c r="T148" s="43"/>
    </row>
    <row r="149" ht="58.5" hidden="1" customHeight="1">
      <c r="A149" s="30" t="s">
        <v>76</v>
      </c>
      <c r="B149" s="22">
        <v>45615.0</v>
      </c>
      <c r="C149" s="110">
        <f t="shared" si="1"/>
        <v>45615</v>
      </c>
      <c r="D149" s="27" t="s">
        <v>52</v>
      </c>
      <c r="E149" s="19" t="s">
        <v>33</v>
      </c>
      <c r="F149" s="19" t="s">
        <v>26</v>
      </c>
      <c r="G149" s="20" t="s">
        <v>473</v>
      </c>
      <c r="H149" s="19" t="s">
        <v>28</v>
      </c>
      <c r="I149" s="21" t="s">
        <v>29</v>
      </c>
      <c r="J149" s="21" t="s">
        <v>75</v>
      </c>
      <c r="K149" s="22">
        <v>45615.0</v>
      </c>
      <c r="L149" s="22">
        <v>45615.0</v>
      </c>
      <c r="M149" s="22">
        <v>45615.0</v>
      </c>
      <c r="N149" s="23" t="s">
        <v>42</v>
      </c>
      <c r="O149" s="19"/>
      <c r="P149" s="22"/>
      <c r="Q149" s="22">
        <v>45625.0</v>
      </c>
      <c r="R149" s="125">
        <f t="shared" si="9"/>
        <v>45625</v>
      </c>
      <c r="S149" s="25" t="s">
        <v>43</v>
      </c>
      <c r="T149" s="43" t="s">
        <v>474</v>
      </c>
    </row>
    <row r="150" ht="58.5" hidden="1" customHeight="1">
      <c r="A150" s="16" t="s">
        <v>475</v>
      </c>
      <c r="B150" s="22">
        <v>45610.0</v>
      </c>
      <c r="C150" s="110">
        <f t="shared" si="1"/>
        <v>45610</v>
      </c>
      <c r="D150" s="27" t="s">
        <v>213</v>
      </c>
      <c r="E150" s="19" t="s">
        <v>25</v>
      </c>
      <c r="F150" s="19" t="s">
        <v>26</v>
      </c>
      <c r="G150" s="20" t="s">
        <v>476</v>
      </c>
      <c r="H150" s="19" t="s">
        <v>186</v>
      </c>
      <c r="I150" s="21" t="s">
        <v>36</v>
      </c>
      <c r="J150" s="21" t="s">
        <v>41</v>
      </c>
      <c r="K150" s="22"/>
      <c r="L150" s="22"/>
      <c r="M150" s="22"/>
      <c r="N150" s="23" t="s">
        <v>42</v>
      </c>
      <c r="O150" s="19"/>
      <c r="P150" s="22"/>
      <c r="Q150" s="22">
        <v>46055.0</v>
      </c>
      <c r="R150" s="125">
        <f t="shared" si="9"/>
        <v>46055</v>
      </c>
      <c r="S150" s="25" t="s">
        <v>119</v>
      </c>
      <c r="T150" s="43" t="s">
        <v>477</v>
      </c>
    </row>
    <row r="151" ht="58.5" customHeight="1">
      <c r="A151" s="16" t="s">
        <v>478</v>
      </c>
      <c r="B151" s="22">
        <v>45610.0</v>
      </c>
      <c r="C151" s="110">
        <f t="shared" si="1"/>
        <v>45610</v>
      </c>
      <c r="D151" s="27" t="s">
        <v>165</v>
      </c>
      <c r="E151" s="19" t="s">
        <v>33</v>
      </c>
      <c r="F151" s="19" t="s">
        <v>26</v>
      </c>
      <c r="G151" s="20" t="s">
        <v>479</v>
      </c>
      <c r="H151" s="19" t="s">
        <v>186</v>
      </c>
      <c r="I151" s="21" t="s">
        <v>36</v>
      </c>
      <c r="J151" s="21" t="s">
        <v>110</v>
      </c>
      <c r="K151" s="22">
        <v>45642.0</v>
      </c>
      <c r="L151" s="22">
        <v>45643.0</v>
      </c>
      <c r="M151" s="22"/>
      <c r="N151" s="23" t="s">
        <v>42</v>
      </c>
      <c r="O151" s="19"/>
      <c r="P151" s="22"/>
      <c r="Q151" s="22">
        <v>45687.0</v>
      </c>
      <c r="R151" s="125">
        <f t="shared" si="9"/>
        <v>45687</v>
      </c>
      <c r="S151" s="25" t="s">
        <v>480</v>
      </c>
      <c r="T151" s="43" t="s">
        <v>481</v>
      </c>
    </row>
    <row r="152" ht="58.5" hidden="1" customHeight="1">
      <c r="A152" s="99" t="s">
        <v>482</v>
      </c>
      <c r="B152" s="105">
        <v>45610.0</v>
      </c>
      <c r="C152" s="101">
        <f t="shared" si="1"/>
        <v>45610</v>
      </c>
      <c r="D152" s="140" t="s">
        <v>66</v>
      </c>
      <c r="E152" s="102" t="s">
        <v>25</v>
      </c>
      <c r="F152" s="102" t="s">
        <v>26</v>
      </c>
      <c r="G152" s="103" t="s">
        <v>483</v>
      </c>
      <c r="H152" s="102" t="s">
        <v>28</v>
      </c>
      <c r="I152" s="104" t="s">
        <v>29</v>
      </c>
      <c r="J152" s="104" t="s">
        <v>152</v>
      </c>
      <c r="K152" s="105">
        <v>46063.0</v>
      </c>
      <c r="L152" s="105"/>
      <c r="M152" s="105"/>
      <c r="N152" s="106" t="s">
        <v>64</v>
      </c>
      <c r="O152" s="102"/>
      <c r="P152" s="105"/>
      <c r="Q152" s="105"/>
      <c r="R152" s="107" t="str">
        <f t="shared" si="9"/>
        <v/>
      </c>
      <c r="S152" s="141"/>
      <c r="T152" s="109" t="s">
        <v>484</v>
      </c>
    </row>
    <row r="153" ht="58.5" hidden="1" customHeight="1">
      <c r="A153" s="30" t="s">
        <v>76</v>
      </c>
      <c r="B153" s="22">
        <v>45608.0</v>
      </c>
      <c r="C153" s="110">
        <f t="shared" si="1"/>
        <v>45608</v>
      </c>
      <c r="D153" s="27" t="s">
        <v>52</v>
      </c>
      <c r="E153" s="19" t="s">
        <v>25</v>
      </c>
      <c r="F153" s="19" t="s">
        <v>26</v>
      </c>
      <c r="G153" s="20" t="s">
        <v>485</v>
      </c>
      <c r="H153" s="19" t="s">
        <v>472</v>
      </c>
      <c r="I153" s="21" t="s">
        <v>29</v>
      </c>
      <c r="J153" s="21" t="s">
        <v>41</v>
      </c>
      <c r="K153" s="22">
        <v>45608.0</v>
      </c>
      <c r="L153" s="22">
        <v>45608.0</v>
      </c>
      <c r="M153" s="27">
        <v>2024.0</v>
      </c>
      <c r="N153" s="23" t="s">
        <v>42</v>
      </c>
      <c r="O153" s="19"/>
      <c r="P153" s="22">
        <v>45617.0</v>
      </c>
      <c r="Q153" s="22">
        <v>45622.0</v>
      </c>
      <c r="R153" s="125">
        <f t="shared" si="9"/>
        <v>45622</v>
      </c>
      <c r="S153" s="25" t="s">
        <v>43</v>
      </c>
      <c r="T153" s="43" t="s">
        <v>486</v>
      </c>
    </row>
    <row r="154" ht="58.5" hidden="1" customHeight="1">
      <c r="A154" s="16" t="s">
        <v>487</v>
      </c>
      <c r="B154" s="22">
        <v>45608.0</v>
      </c>
      <c r="C154" s="110">
        <f t="shared" si="1"/>
        <v>45608</v>
      </c>
      <c r="D154" s="27" t="s">
        <v>52</v>
      </c>
      <c r="E154" s="19" t="s">
        <v>33</v>
      </c>
      <c r="F154" s="19" t="s">
        <v>26</v>
      </c>
      <c r="G154" s="20" t="s">
        <v>488</v>
      </c>
      <c r="H154" s="19" t="s">
        <v>87</v>
      </c>
      <c r="I154" s="21" t="s">
        <v>36</v>
      </c>
      <c r="J154" s="21"/>
      <c r="K154" s="22"/>
      <c r="L154" s="22"/>
      <c r="M154" s="27"/>
      <c r="N154" s="23" t="s">
        <v>30</v>
      </c>
      <c r="O154" s="19"/>
      <c r="P154" s="22"/>
      <c r="Q154" s="22"/>
      <c r="R154" s="125" t="str">
        <f t="shared" si="9"/>
        <v/>
      </c>
      <c r="S154" s="137"/>
      <c r="T154" s="43"/>
    </row>
    <row r="155" ht="58.5" hidden="1" customHeight="1">
      <c r="A155" s="16" t="s">
        <v>489</v>
      </c>
      <c r="B155" s="22">
        <v>45603.0</v>
      </c>
      <c r="C155" s="110">
        <f t="shared" si="1"/>
        <v>45603</v>
      </c>
      <c r="D155" s="27" t="s">
        <v>415</v>
      </c>
      <c r="E155" s="19" t="s">
        <v>25</v>
      </c>
      <c r="F155" s="19" t="s">
        <v>26</v>
      </c>
      <c r="G155" s="20" t="s">
        <v>490</v>
      </c>
      <c r="H155" s="19" t="s">
        <v>186</v>
      </c>
      <c r="I155" s="21" t="s">
        <v>36</v>
      </c>
      <c r="J155" s="21" t="s">
        <v>128</v>
      </c>
      <c r="K155" s="22">
        <v>1141511.0</v>
      </c>
      <c r="L155" s="22">
        <v>45789.0</v>
      </c>
      <c r="M155" s="17">
        <v>45790.0</v>
      </c>
      <c r="N155" s="23" t="s">
        <v>42</v>
      </c>
      <c r="O155" s="19"/>
      <c r="P155" s="22">
        <v>45793.0</v>
      </c>
      <c r="Q155" s="22">
        <v>45793.0</v>
      </c>
      <c r="R155" s="125">
        <f t="shared" si="9"/>
        <v>45793</v>
      </c>
      <c r="S155" s="25" t="s">
        <v>119</v>
      </c>
      <c r="T155" s="43" t="s">
        <v>491</v>
      </c>
    </row>
    <row r="156" ht="58.5" customHeight="1">
      <c r="A156" s="126" t="s">
        <v>492</v>
      </c>
      <c r="B156" s="127">
        <v>45600.0</v>
      </c>
      <c r="C156" s="128">
        <f t="shared" si="1"/>
        <v>45600</v>
      </c>
      <c r="D156" s="129" t="s">
        <v>213</v>
      </c>
      <c r="E156" s="130" t="s">
        <v>33</v>
      </c>
      <c r="F156" s="130" t="s">
        <v>26</v>
      </c>
      <c r="G156" s="131" t="s">
        <v>493</v>
      </c>
      <c r="H156" s="130" t="s">
        <v>28</v>
      </c>
      <c r="I156" s="132" t="s">
        <v>29</v>
      </c>
      <c r="J156" s="132" t="s">
        <v>110</v>
      </c>
      <c r="K156" s="127">
        <v>45709.0</v>
      </c>
      <c r="L156" s="127">
        <v>45781.0</v>
      </c>
      <c r="M156" s="127" t="s">
        <v>494</v>
      </c>
      <c r="N156" s="133" t="s">
        <v>42</v>
      </c>
      <c r="O156" s="130">
        <v>309.7</v>
      </c>
      <c r="P156" s="127">
        <v>45800.0</v>
      </c>
      <c r="Q156" s="127">
        <v>45805.0</v>
      </c>
      <c r="R156" s="134">
        <f t="shared" si="9"/>
        <v>45805</v>
      </c>
      <c r="S156" s="135" t="s">
        <v>227</v>
      </c>
      <c r="T156" s="142" t="s">
        <v>495</v>
      </c>
    </row>
    <row r="157" ht="58.5" hidden="1" customHeight="1">
      <c r="A157" s="30" t="s">
        <v>76</v>
      </c>
      <c r="B157" s="22">
        <v>45594.0</v>
      </c>
      <c r="C157" s="110">
        <f t="shared" si="1"/>
        <v>45594</v>
      </c>
      <c r="D157" s="27" t="s">
        <v>46</v>
      </c>
      <c r="E157" s="19" t="s">
        <v>25</v>
      </c>
      <c r="F157" s="19" t="s">
        <v>26</v>
      </c>
      <c r="G157" s="20" t="s">
        <v>496</v>
      </c>
      <c r="H157" s="19" t="s">
        <v>28</v>
      </c>
      <c r="I157" s="21" t="s">
        <v>36</v>
      </c>
      <c r="J157" s="21" t="s">
        <v>497</v>
      </c>
      <c r="K157" s="22">
        <v>45594.0</v>
      </c>
      <c r="L157" s="22">
        <v>45595.0</v>
      </c>
      <c r="M157" s="22">
        <v>45595.0</v>
      </c>
      <c r="N157" s="23" t="s">
        <v>42</v>
      </c>
      <c r="O157" s="19">
        <v>55.52</v>
      </c>
      <c r="P157" s="22">
        <v>45681.0</v>
      </c>
      <c r="Q157" s="22">
        <v>45700.0</v>
      </c>
      <c r="R157" s="125">
        <f t="shared" si="9"/>
        <v>45700</v>
      </c>
      <c r="S157" s="25" t="s">
        <v>468</v>
      </c>
      <c r="T157" s="43" t="s">
        <v>498</v>
      </c>
    </row>
    <row r="158" ht="58.5" hidden="1" customHeight="1">
      <c r="A158" s="16" t="s">
        <v>499</v>
      </c>
      <c r="B158" s="22">
        <v>45588.0</v>
      </c>
      <c r="C158" s="110">
        <f t="shared" si="1"/>
        <v>45588</v>
      </c>
      <c r="D158" s="27" t="s">
        <v>81</v>
      </c>
      <c r="E158" s="19" t="s">
        <v>25</v>
      </c>
      <c r="F158" s="19" t="s">
        <v>26</v>
      </c>
      <c r="G158" s="20" t="s">
        <v>500</v>
      </c>
      <c r="H158" s="19" t="s">
        <v>49</v>
      </c>
      <c r="I158" s="21" t="s">
        <v>36</v>
      </c>
      <c r="J158" s="21" t="s">
        <v>41</v>
      </c>
      <c r="K158" s="22">
        <v>45590.0</v>
      </c>
      <c r="L158" s="22">
        <v>45590.0</v>
      </c>
      <c r="M158" s="22">
        <v>45590.0</v>
      </c>
      <c r="N158" s="23" t="s">
        <v>343</v>
      </c>
      <c r="O158" s="19"/>
      <c r="P158" s="22">
        <v>45593.0</v>
      </c>
      <c r="Q158" s="22"/>
      <c r="R158" s="125" t="str">
        <f t="shared" si="9"/>
        <v/>
      </c>
      <c r="S158" s="137"/>
      <c r="T158" s="43"/>
    </row>
    <row r="159" ht="58.5" hidden="1" customHeight="1">
      <c r="A159" s="16" t="s">
        <v>501</v>
      </c>
      <c r="B159" s="22">
        <v>45588.0</v>
      </c>
      <c r="C159" s="110">
        <f t="shared" si="1"/>
        <v>45588</v>
      </c>
      <c r="D159" s="27" t="s">
        <v>24</v>
      </c>
      <c r="E159" s="19" t="s">
        <v>25</v>
      </c>
      <c r="F159" s="19" t="s">
        <v>26</v>
      </c>
      <c r="G159" s="20" t="s">
        <v>502</v>
      </c>
      <c r="H159" s="19" t="s">
        <v>28</v>
      </c>
      <c r="I159" s="21" t="s">
        <v>36</v>
      </c>
      <c r="J159" s="21"/>
      <c r="K159" s="22"/>
      <c r="L159" s="22"/>
      <c r="M159" s="22"/>
      <c r="N159" s="23" t="s">
        <v>30</v>
      </c>
      <c r="O159" s="19"/>
      <c r="P159" s="22"/>
      <c r="Q159" s="22"/>
      <c r="R159" s="125" t="str">
        <f t="shared" si="9"/>
        <v/>
      </c>
      <c r="S159" s="137"/>
      <c r="T159" s="43" t="s">
        <v>503</v>
      </c>
    </row>
    <row r="160" ht="58.5" hidden="1" customHeight="1">
      <c r="A160" s="16" t="s">
        <v>504</v>
      </c>
      <c r="B160" s="22">
        <v>45586.0</v>
      </c>
      <c r="C160" s="110">
        <f t="shared" si="1"/>
        <v>45586</v>
      </c>
      <c r="D160" s="27" t="s">
        <v>505</v>
      </c>
      <c r="E160" s="19" t="s">
        <v>33</v>
      </c>
      <c r="F160" s="19" t="s">
        <v>26</v>
      </c>
      <c r="G160" s="20" t="s">
        <v>506</v>
      </c>
      <c r="H160" s="19" t="s">
        <v>35</v>
      </c>
      <c r="I160" s="21" t="s">
        <v>29</v>
      </c>
      <c r="J160" s="21" t="s">
        <v>41</v>
      </c>
      <c r="K160" s="22">
        <v>45586.0</v>
      </c>
      <c r="L160" s="22">
        <v>45586.0</v>
      </c>
      <c r="M160" s="22">
        <v>45586.0</v>
      </c>
      <c r="N160" s="23" t="s">
        <v>42</v>
      </c>
      <c r="O160" s="19">
        <v>121.9</v>
      </c>
      <c r="P160" s="22">
        <v>45593.0</v>
      </c>
      <c r="Q160" s="22">
        <v>45600.0</v>
      </c>
      <c r="R160" s="125">
        <f t="shared" si="9"/>
        <v>45600</v>
      </c>
      <c r="S160" s="25" t="s">
        <v>43</v>
      </c>
      <c r="T160" s="43" t="s">
        <v>507</v>
      </c>
    </row>
    <row r="161" ht="58.5" hidden="1" customHeight="1">
      <c r="A161" s="16" t="s">
        <v>508</v>
      </c>
      <c r="B161" s="22">
        <v>45580.0</v>
      </c>
      <c r="C161" s="110">
        <f t="shared" si="1"/>
        <v>45580</v>
      </c>
      <c r="D161" s="27" t="s">
        <v>213</v>
      </c>
      <c r="E161" s="19" t="s">
        <v>25</v>
      </c>
      <c r="F161" s="19" t="s">
        <v>26</v>
      </c>
      <c r="G161" s="20" t="s">
        <v>509</v>
      </c>
      <c r="H161" s="19" t="s">
        <v>49</v>
      </c>
      <c r="I161" s="21" t="s">
        <v>36</v>
      </c>
      <c r="J161" s="21"/>
      <c r="K161" s="22"/>
      <c r="L161" s="22"/>
      <c r="M161" s="22"/>
      <c r="N161" s="23" t="s">
        <v>30</v>
      </c>
      <c r="O161" s="19"/>
      <c r="P161" s="22"/>
      <c r="Q161" s="22"/>
      <c r="R161" s="125" t="str">
        <f t="shared" si="9"/>
        <v/>
      </c>
      <c r="S161" s="137"/>
      <c r="T161" s="43" t="s">
        <v>510</v>
      </c>
    </row>
    <row r="162" ht="58.5" hidden="1" customHeight="1">
      <c r="A162" s="16" t="s">
        <v>511</v>
      </c>
      <c r="B162" s="22">
        <v>45580.0</v>
      </c>
      <c r="C162" s="110">
        <f t="shared" si="1"/>
        <v>45580</v>
      </c>
      <c r="D162" s="27" t="s">
        <v>24</v>
      </c>
      <c r="E162" s="19" t="s">
        <v>25</v>
      </c>
      <c r="F162" s="19" t="s">
        <v>26</v>
      </c>
      <c r="G162" s="20" t="s">
        <v>512</v>
      </c>
      <c r="H162" s="19" t="s">
        <v>472</v>
      </c>
      <c r="I162" s="21" t="s">
        <v>36</v>
      </c>
      <c r="J162" s="21" t="s">
        <v>41</v>
      </c>
      <c r="K162" s="22">
        <v>45580.0</v>
      </c>
      <c r="L162" s="22">
        <v>45604.0</v>
      </c>
      <c r="M162" s="22">
        <v>45604.0</v>
      </c>
      <c r="N162" s="23" t="s">
        <v>42</v>
      </c>
      <c r="O162" s="19"/>
      <c r="P162" s="22">
        <v>38299.0</v>
      </c>
      <c r="Q162" s="22">
        <v>45608.0</v>
      </c>
      <c r="R162" s="125">
        <f t="shared" si="9"/>
        <v>45608</v>
      </c>
      <c r="S162" s="25" t="s">
        <v>43</v>
      </c>
      <c r="T162" s="43" t="s">
        <v>513</v>
      </c>
    </row>
    <row r="163" ht="58.5" hidden="1" customHeight="1">
      <c r="A163" s="143" t="s">
        <v>514</v>
      </c>
      <c r="B163" s="144">
        <v>45575.0</v>
      </c>
      <c r="C163" s="110">
        <f t="shared" si="1"/>
        <v>45575</v>
      </c>
      <c r="D163" s="144" t="s">
        <v>38</v>
      </c>
      <c r="E163" s="145" t="s">
        <v>33</v>
      </c>
      <c r="F163" s="145" t="s">
        <v>26</v>
      </c>
      <c r="G163" s="146" t="s">
        <v>515</v>
      </c>
      <c r="H163" s="145" t="s">
        <v>28</v>
      </c>
      <c r="I163" s="147" t="s">
        <v>61</v>
      </c>
      <c r="J163" s="147" t="s">
        <v>41</v>
      </c>
      <c r="K163" s="144">
        <v>45733.0</v>
      </c>
      <c r="L163" s="144">
        <v>45734.0</v>
      </c>
      <c r="M163" s="144">
        <v>45734.0</v>
      </c>
      <c r="N163" s="148" t="s">
        <v>343</v>
      </c>
      <c r="O163" s="145"/>
      <c r="P163" s="144">
        <v>45744.0</v>
      </c>
      <c r="Q163" s="144"/>
      <c r="R163" s="125" t="str">
        <f t="shared" si="9"/>
        <v/>
      </c>
      <c r="S163" s="144"/>
      <c r="T163" s="145" t="s">
        <v>516</v>
      </c>
    </row>
    <row r="164" ht="58.5" hidden="1" customHeight="1">
      <c r="A164" s="143" t="s">
        <v>517</v>
      </c>
      <c r="B164" s="144">
        <v>45575.0</v>
      </c>
      <c r="C164" s="110">
        <f t="shared" si="1"/>
        <v>45575</v>
      </c>
      <c r="D164" s="145" t="s">
        <v>116</v>
      </c>
      <c r="E164" s="145" t="s">
        <v>25</v>
      </c>
      <c r="F164" s="145" t="s">
        <v>26</v>
      </c>
      <c r="G164" s="146" t="s">
        <v>518</v>
      </c>
      <c r="H164" s="145" t="s">
        <v>28</v>
      </c>
      <c r="I164" s="147" t="s">
        <v>36</v>
      </c>
      <c r="J164" s="147"/>
      <c r="K164" s="144"/>
      <c r="L164" s="144"/>
      <c r="M164" s="144"/>
      <c r="N164" s="148" t="s">
        <v>30</v>
      </c>
      <c r="O164" s="145"/>
      <c r="P164" s="144"/>
      <c r="Q164" s="144"/>
      <c r="R164" s="125" t="str">
        <f t="shared" si="9"/>
        <v/>
      </c>
      <c r="S164" s="144"/>
      <c r="T164" s="145" t="s">
        <v>519</v>
      </c>
    </row>
    <row r="165" ht="58.5" hidden="1" customHeight="1">
      <c r="A165" s="149" t="s">
        <v>520</v>
      </c>
      <c r="B165" s="150">
        <v>45573.0</v>
      </c>
      <c r="C165" s="116">
        <f t="shared" si="1"/>
        <v>45573</v>
      </c>
      <c r="D165" s="151" t="s">
        <v>237</v>
      </c>
      <c r="E165" s="151" t="s">
        <v>33</v>
      </c>
      <c r="F165" s="151" t="s">
        <v>26</v>
      </c>
      <c r="G165" s="152" t="s">
        <v>521</v>
      </c>
      <c r="H165" s="151" t="s">
        <v>28</v>
      </c>
      <c r="I165" s="153" t="s">
        <v>29</v>
      </c>
      <c r="J165" s="153" t="s">
        <v>75</v>
      </c>
      <c r="K165" s="154">
        <v>45691.0</v>
      </c>
      <c r="L165" s="150">
        <v>45705.0</v>
      </c>
      <c r="M165" s="150">
        <v>45705.0</v>
      </c>
      <c r="N165" s="155" t="s">
        <v>42</v>
      </c>
      <c r="O165" s="151">
        <v>56.7</v>
      </c>
      <c r="P165" s="150">
        <v>45800.0</v>
      </c>
      <c r="Q165" s="150">
        <v>45812.0</v>
      </c>
      <c r="R165" s="122">
        <f t="shared" si="9"/>
        <v>45812</v>
      </c>
      <c r="S165" s="156" t="s">
        <v>227</v>
      </c>
      <c r="T165" s="151" t="s">
        <v>522</v>
      </c>
    </row>
    <row r="166" ht="58.5" hidden="1" customHeight="1">
      <c r="A166" s="157" t="s">
        <v>523</v>
      </c>
      <c r="B166" s="158">
        <v>45573.0</v>
      </c>
      <c r="C166" s="101">
        <f t="shared" si="1"/>
        <v>45573</v>
      </c>
      <c r="D166" s="159" t="s">
        <v>237</v>
      </c>
      <c r="E166" s="159" t="s">
        <v>33</v>
      </c>
      <c r="F166" s="159" t="s">
        <v>26</v>
      </c>
      <c r="G166" s="160" t="s">
        <v>524</v>
      </c>
      <c r="H166" s="159" t="s">
        <v>35</v>
      </c>
      <c r="I166" s="161" t="s">
        <v>61</v>
      </c>
      <c r="J166" s="161" t="s">
        <v>152</v>
      </c>
      <c r="K166" s="158">
        <v>46063.0</v>
      </c>
      <c r="L166" s="158"/>
      <c r="M166" s="158"/>
      <c r="N166" s="162" t="s">
        <v>64</v>
      </c>
      <c r="O166" s="159"/>
      <c r="P166" s="158"/>
      <c r="Q166" s="158"/>
      <c r="R166" s="107" t="str">
        <f t="shared" si="9"/>
        <v/>
      </c>
      <c r="S166" s="158"/>
      <c r="T166" s="163" t="s">
        <v>525</v>
      </c>
    </row>
    <row r="167" ht="58.5" hidden="1" customHeight="1">
      <c r="A167" s="157" t="s">
        <v>526</v>
      </c>
      <c r="B167" s="158">
        <v>45573.0</v>
      </c>
      <c r="C167" s="101">
        <f t="shared" si="1"/>
        <v>45573</v>
      </c>
      <c r="D167" s="159" t="s">
        <v>38</v>
      </c>
      <c r="E167" s="159" t="s">
        <v>33</v>
      </c>
      <c r="F167" s="159" t="s">
        <v>26</v>
      </c>
      <c r="G167" s="160" t="s">
        <v>527</v>
      </c>
      <c r="H167" s="159" t="s">
        <v>87</v>
      </c>
      <c r="I167" s="161" t="s">
        <v>61</v>
      </c>
      <c r="J167" s="161" t="s">
        <v>152</v>
      </c>
      <c r="K167" s="158">
        <v>46063.0</v>
      </c>
      <c r="L167" s="158"/>
      <c r="M167" s="158"/>
      <c r="N167" s="162" t="s">
        <v>64</v>
      </c>
      <c r="O167" s="159"/>
      <c r="P167" s="158"/>
      <c r="Q167" s="158"/>
      <c r="R167" s="107" t="str">
        <f t="shared" si="9"/>
        <v/>
      </c>
      <c r="S167" s="158"/>
      <c r="T167" s="163" t="s">
        <v>525</v>
      </c>
    </row>
    <row r="168" ht="58.5" hidden="1" customHeight="1">
      <c r="A168" s="164" t="s">
        <v>528</v>
      </c>
      <c r="B168" s="165">
        <v>45398.0</v>
      </c>
      <c r="C168" s="79">
        <f t="shared" si="1"/>
        <v>45398</v>
      </c>
      <c r="D168" s="166" t="s">
        <v>38</v>
      </c>
      <c r="E168" s="166" t="s">
        <v>33</v>
      </c>
      <c r="F168" s="166" t="s">
        <v>26</v>
      </c>
      <c r="G168" s="167" t="s">
        <v>529</v>
      </c>
      <c r="H168" s="166" t="s">
        <v>35</v>
      </c>
      <c r="I168" s="168" t="s">
        <v>29</v>
      </c>
      <c r="J168" s="168" t="s">
        <v>41</v>
      </c>
      <c r="K168" s="165">
        <v>45398.0</v>
      </c>
      <c r="L168" s="165"/>
      <c r="M168" s="165">
        <v>45964.0</v>
      </c>
      <c r="N168" s="169" t="s">
        <v>42</v>
      </c>
      <c r="O168" s="166">
        <v>1334.61</v>
      </c>
      <c r="P168" s="165"/>
      <c r="Q168" s="165">
        <v>46063.0</v>
      </c>
      <c r="R168" s="85">
        <f t="shared" si="9"/>
        <v>46063</v>
      </c>
      <c r="S168" s="170" t="s">
        <v>530</v>
      </c>
      <c r="T168" s="166" t="s">
        <v>531</v>
      </c>
    </row>
    <row r="169" ht="58.5" hidden="1" customHeight="1">
      <c r="A169" s="143" t="s">
        <v>532</v>
      </c>
      <c r="B169" s="144">
        <v>45573.0</v>
      </c>
      <c r="C169" s="110">
        <f t="shared" si="1"/>
        <v>45573</v>
      </c>
      <c r="D169" s="145" t="s">
        <v>309</v>
      </c>
      <c r="E169" s="145" t="s">
        <v>310</v>
      </c>
      <c r="F169" s="145" t="s">
        <v>26</v>
      </c>
      <c r="G169" s="146" t="s">
        <v>533</v>
      </c>
      <c r="H169" s="145" t="s">
        <v>186</v>
      </c>
      <c r="I169" s="147" t="s">
        <v>36</v>
      </c>
      <c r="J169" s="147" t="s">
        <v>255</v>
      </c>
      <c r="K169" s="144">
        <v>45723.0</v>
      </c>
      <c r="L169" s="144"/>
      <c r="M169" s="144"/>
      <c r="N169" s="148" t="s">
        <v>210</v>
      </c>
      <c r="O169" s="145"/>
      <c r="P169" s="144"/>
      <c r="Q169" s="144"/>
      <c r="R169" s="125" t="str">
        <f t="shared" si="9"/>
        <v/>
      </c>
      <c r="S169" s="144"/>
      <c r="T169" s="145"/>
    </row>
    <row r="170" ht="58.5" hidden="1" customHeight="1">
      <c r="A170" s="143" t="s">
        <v>534</v>
      </c>
      <c r="B170" s="144">
        <v>45572.0</v>
      </c>
      <c r="C170" s="110">
        <f t="shared" si="1"/>
        <v>45572</v>
      </c>
      <c r="D170" s="145" t="s">
        <v>237</v>
      </c>
      <c r="E170" s="145" t="s">
        <v>33</v>
      </c>
      <c r="F170" s="145" t="s">
        <v>26</v>
      </c>
      <c r="G170" s="146" t="s">
        <v>535</v>
      </c>
      <c r="H170" s="145" t="s">
        <v>186</v>
      </c>
      <c r="I170" s="147" t="s">
        <v>36</v>
      </c>
      <c r="J170" s="147"/>
      <c r="K170" s="144"/>
      <c r="L170" s="144"/>
      <c r="M170" s="144"/>
      <c r="N170" s="148" t="s">
        <v>30</v>
      </c>
      <c r="O170" s="145"/>
      <c r="P170" s="144"/>
      <c r="Q170" s="144"/>
      <c r="R170" s="125" t="str">
        <f t="shared" si="9"/>
        <v/>
      </c>
      <c r="S170" s="144"/>
      <c r="T170" s="145"/>
    </row>
    <row r="171" ht="58.5" hidden="1" customHeight="1">
      <c r="A171" s="143" t="s">
        <v>536</v>
      </c>
      <c r="B171" s="144">
        <v>45572.0</v>
      </c>
      <c r="C171" s="110">
        <f t="shared" si="1"/>
        <v>45572</v>
      </c>
      <c r="D171" s="145" t="s">
        <v>108</v>
      </c>
      <c r="E171" s="145" t="s">
        <v>25</v>
      </c>
      <c r="F171" s="145" t="s">
        <v>26</v>
      </c>
      <c r="G171" s="146" t="s">
        <v>537</v>
      </c>
      <c r="H171" s="145" t="s">
        <v>186</v>
      </c>
      <c r="I171" s="147" t="s">
        <v>29</v>
      </c>
      <c r="J171" s="147" t="s">
        <v>128</v>
      </c>
      <c r="K171" s="144">
        <v>45572.0</v>
      </c>
      <c r="L171" s="144"/>
      <c r="M171" s="144">
        <v>45572.0</v>
      </c>
      <c r="N171" s="148" t="s">
        <v>42</v>
      </c>
      <c r="O171" s="145"/>
      <c r="P171" s="144"/>
      <c r="Q171" s="144">
        <v>45576.0</v>
      </c>
      <c r="R171" s="125">
        <f t="shared" si="9"/>
        <v>45576</v>
      </c>
      <c r="S171" s="171" t="s">
        <v>227</v>
      </c>
      <c r="T171" s="145" t="s">
        <v>538</v>
      </c>
    </row>
    <row r="172" ht="58.5" customHeight="1">
      <c r="A172" s="164" t="s">
        <v>539</v>
      </c>
      <c r="B172" s="165">
        <v>45565.0</v>
      </c>
      <c r="C172" s="79">
        <f t="shared" si="1"/>
        <v>45565</v>
      </c>
      <c r="D172" s="166" t="s">
        <v>81</v>
      </c>
      <c r="E172" s="166" t="s">
        <v>25</v>
      </c>
      <c r="F172" s="166" t="s">
        <v>26</v>
      </c>
      <c r="G172" s="167" t="s">
        <v>540</v>
      </c>
      <c r="H172" s="166" t="s">
        <v>28</v>
      </c>
      <c r="I172" s="168" t="s">
        <v>29</v>
      </c>
      <c r="J172" s="168" t="s">
        <v>110</v>
      </c>
      <c r="K172" s="165">
        <v>45910.0</v>
      </c>
      <c r="L172" s="165">
        <v>45919.0</v>
      </c>
      <c r="M172" s="165">
        <v>45919.0</v>
      </c>
      <c r="N172" s="169" t="s">
        <v>42</v>
      </c>
      <c r="O172" s="166"/>
      <c r="P172" s="165">
        <v>45951.0</v>
      </c>
      <c r="Q172" s="165">
        <v>46050.0</v>
      </c>
      <c r="R172" s="85">
        <f t="shared" si="9"/>
        <v>46050</v>
      </c>
      <c r="S172" s="170" t="s">
        <v>43</v>
      </c>
      <c r="T172" s="166" t="s">
        <v>541</v>
      </c>
    </row>
    <row r="173" ht="58.5" hidden="1" customHeight="1">
      <c r="A173" s="143" t="s">
        <v>542</v>
      </c>
      <c r="B173" s="144">
        <v>45561.0</v>
      </c>
      <c r="C173" s="110">
        <f t="shared" si="1"/>
        <v>45561</v>
      </c>
      <c r="D173" s="145" t="s">
        <v>427</v>
      </c>
      <c r="E173" s="145" t="s">
        <v>25</v>
      </c>
      <c r="F173" s="145" t="s">
        <v>26</v>
      </c>
      <c r="G173" s="146" t="s">
        <v>543</v>
      </c>
      <c r="H173" s="145" t="s">
        <v>49</v>
      </c>
      <c r="I173" s="147" t="s">
        <v>36</v>
      </c>
      <c r="J173" s="147" t="s">
        <v>41</v>
      </c>
      <c r="K173" s="144">
        <v>45561.0</v>
      </c>
      <c r="L173" s="144"/>
      <c r="M173" s="144">
        <v>45565.0</v>
      </c>
      <c r="N173" s="148" t="s">
        <v>42</v>
      </c>
      <c r="O173" s="145"/>
      <c r="P173" s="144"/>
      <c r="Q173" s="144">
        <v>45565.0</v>
      </c>
      <c r="R173" s="125">
        <f t="shared" si="9"/>
        <v>45565</v>
      </c>
      <c r="S173" s="171" t="s">
        <v>119</v>
      </c>
      <c r="T173" s="145" t="s">
        <v>544</v>
      </c>
    </row>
    <row r="174" ht="58.5" hidden="1" customHeight="1">
      <c r="A174" s="172" t="s">
        <v>545</v>
      </c>
      <c r="B174" s="173">
        <v>45561.0</v>
      </c>
      <c r="C174" s="67">
        <f t="shared" si="1"/>
        <v>45561</v>
      </c>
      <c r="D174" s="174" t="s">
        <v>546</v>
      </c>
      <c r="E174" s="174"/>
      <c r="F174" s="174"/>
      <c r="G174" s="175" t="s">
        <v>547</v>
      </c>
      <c r="H174" s="174" t="s">
        <v>54</v>
      </c>
      <c r="I174" s="176" t="s">
        <v>36</v>
      </c>
      <c r="J174" s="176" t="s">
        <v>41</v>
      </c>
      <c r="K174" s="173">
        <v>45561.0</v>
      </c>
      <c r="L174" s="173"/>
      <c r="M174" s="173">
        <v>45561.0</v>
      </c>
      <c r="N174" s="177" t="s">
        <v>42</v>
      </c>
      <c r="O174" s="174"/>
      <c r="P174" s="173"/>
      <c r="Q174" s="173">
        <v>45569.0</v>
      </c>
      <c r="R174" s="74">
        <f t="shared" si="9"/>
        <v>45569</v>
      </c>
      <c r="S174" s="178" t="s">
        <v>124</v>
      </c>
      <c r="T174" s="174" t="s">
        <v>548</v>
      </c>
    </row>
    <row r="175" ht="58.5" hidden="1" customHeight="1">
      <c r="A175" s="174" t="s">
        <v>76</v>
      </c>
      <c r="B175" s="144">
        <v>45560.0</v>
      </c>
      <c r="C175" s="110">
        <f t="shared" si="1"/>
        <v>45560</v>
      </c>
      <c r="D175" s="174" t="s">
        <v>549</v>
      </c>
      <c r="E175" s="174" t="s">
        <v>33</v>
      </c>
      <c r="F175" s="145" t="s">
        <v>26</v>
      </c>
      <c r="G175" s="175" t="s">
        <v>550</v>
      </c>
      <c r="H175" s="145" t="s">
        <v>35</v>
      </c>
      <c r="I175" s="176" t="s">
        <v>36</v>
      </c>
      <c r="J175" s="176" t="s">
        <v>128</v>
      </c>
      <c r="K175" s="144">
        <v>45560.0</v>
      </c>
      <c r="L175" s="144">
        <v>45565.0</v>
      </c>
      <c r="M175" s="144">
        <v>45565.0</v>
      </c>
      <c r="N175" s="177" t="s">
        <v>42</v>
      </c>
      <c r="O175" s="174"/>
      <c r="P175" s="144">
        <v>45939.0</v>
      </c>
      <c r="Q175" s="144">
        <v>45579.0</v>
      </c>
      <c r="R175" s="125">
        <f t="shared" si="9"/>
        <v>45579</v>
      </c>
      <c r="S175" s="171" t="s">
        <v>119</v>
      </c>
      <c r="T175" s="174" t="s">
        <v>551</v>
      </c>
    </row>
    <row r="176" ht="58.5" hidden="1" customHeight="1">
      <c r="A176" s="172" t="s">
        <v>552</v>
      </c>
      <c r="B176" s="144">
        <v>45560.0</v>
      </c>
      <c r="C176" s="110">
        <f t="shared" si="1"/>
        <v>45560</v>
      </c>
      <c r="D176" s="174" t="s">
        <v>410</v>
      </c>
      <c r="E176" s="174" t="s">
        <v>33</v>
      </c>
      <c r="F176" s="145" t="s">
        <v>26</v>
      </c>
      <c r="G176" s="175" t="s">
        <v>553</v>
      </c>
      <c r="H176" s="145" t="s">
        <v>28</v>
      </c>
      <c r="I176" s="176" t="s">
        <v>29</v>
      </c>
      <c r="J176" s="176" t="s">
        <v>128</v>
      </c>
      <c r="K176" s="144">
        <v>45572.0</v>
      </c>
      <c r="L176" s="144">
        <v>45608.0</v>
      </c>
      <c r="M176" s="144">
        <v>45608.0</v>
      </c>
      <c r="N176" s="177" t="s">
        <v>42</v>
      </c>
      <c r="O176" s="174">
        <v>414.0</v>
      </c>
      <c r="P176" s="144"/>
      <c r="Q176" s="144">
        <v>45670.0</v>
      </c>
      <c r="R176" s="125">
        <f t="shared" si="9"/>
        <v>45670</v>
      </c>
      <c r="S176" s="171" t="s">
        <v>43</v>
      </c>
      <c r="T176" s="174" t="s">
        <v>554</v>
      </c>
    </row>
    <row r="177" ht="58.5" hidden="1" customHeight="1">
      <c r="A177" s="149" t="s">
        <v>555</v>
      </c>
      <c r="B177" s="150">
        <v>45560.0</v>
      </c>
      <c r="C177" s="116">
        <f t="shared" si="1"/>
        <v>45560</v>
      </c>
      <c r="D177" s="151" t="s">
        <v>24</v>
      </c>
      <c r="E177" s="151" t="s">
        <v>25</v>
      </c>
      <c r="F177" s="151" t="s">
        <v>26</v>
      </c>
      <c r="G177" s="152" t="s">
        <v>556</v>
      </c>
      <c r="H177" s="151" t="s">
        <v>186</v>
      </c>
      <c r="I177" s="153" t="s">
        <v>36</v>
      </c>
      <c r="J177" s="153" t="s">
        <v>255</v>
      </c>
      <c r="K177" s="150">
        <v>45560.0</v>
      </c>
      <c r="L177" s="150"/>
      <c r="M177" s="150"/>
      <c r="N177" s="155" t="s">
        <v>42</v>
      </c>
      <c r="O177" s="151"/>
      <c r="P177" s="150"/>
      <c r="Q177" s="150">
        <v>45343.0</v>
      </c>
      <c r="R177" s="122">
        <f t="shared" si="9"/>
        <v>45343</v>
      </c>
      <c r="S177" s="156" t="s">
        <v>227</v>
      </c>
      <c r="T177" s="151" t="s">
        <v>557</v>
      </c>
    </row>
    <row r="178" ht="58.5" hidden="1" customHeight="1">
      <c r="A178" s="174" t="s">
        <v>76</v>
      </c>
      <c r="B178" s="144">
        <v>45554.0</v>
      </c>
      <c r="C178" s="110">
        <f t="shared" si="1"/>
        <v>45554</v>
      </c>
      <c r="D178" s="174" t="s">
        <v>91</v>
      </c>
      <c r="E178" s="174" t="s">
        <v>25</v>
      </c>
      <c r="F178" s="145" t="s">
        <v>26</v>
      </c>
      <c r="G178" s="175" t="s">
        <v>558</v>
      </c>
      <c r="H178" s="145" t="s">
        <v>49</v>
      </c>
      <c r="I178" s="176" t="s">
        <v>36</v>
      </c>
      <c r="J178" s="176" t="s">
        <v>255</v>
      </c>
      <c r="K178" s="144">
        <v>45523.0</v>
      </c>
      <c r="L178" s="144"/>
      <c r="M178" s="144"/>
      <c r="N178" s="177" t="s">
        <v>42</v>
      </c>
      <c r="O178" s="174"/>
      <c r="P178" s="144"/>
      <c r="Q178" s="144">
        <v>45524.0</v>
      </c>
      <c r="R178" s="125">
        <f t="shared" si="9"/>
        <v>45524</v>
      </c>
      <c r="S178" s="171" t="s">
        <v>43</v>
      </c>
      <c r="T178" s="174" t="s">
        <v>559</v>
      </c>
    </row>
    <row r="179" ht="58.5" hidden="1" customHeight="1">
      <c r="A179" s="179" t="s">
        <v>560</v>
      </c>
      <c r="B179" s="180">
        <v>45551.0</v>
      </c>
      <c r="C179" s="110">
        <f t="shared" si="1"/>
        <v>45551</v>
      </c>
      <c r="D179" s="181" t="s">
        <v>561</v>
      </c>
      <c r="E179" s="181" t="s">
        <v>25</v>
      </c>
      <c r="F179" s="145" t="s">
        <v>26</v>
      </c>
      <c r="G179" s="182" t="s">
        <v>562</v>
      </c>
      <c r="H179" s="145" t="s">
        <v>28</v>
      </c>
      <c r="I179" s="183" t="s">
        <v>36</v>
      </c>
      <c r="J179" s="183" t="s">
        <v>75</v>
      </c>
      <c r="K179" s="180">
        <v>45565.0</v>
      </c>
      <c r="L179" s="180"/>
      <c r="M179" s="180"/>
      <c r="N179" s="184" t="s">
        <v>42</v>
      </c>
      <c r="O179" s="181">
        <v>308.0</v>
      </c>
      <c r="P179" s="180"/>
      <c r="Q179" s="180">
        <v>45688.0</v>
      </c>
      <c r="R179" s="125">
        <f t="shared" si="9"/>
        <v>45688</v>
      </c>
      <c r="S179" s="171" t="s">
        <v>227</v>
      </c>
      <c r="T179" s="181" t="s">
        <v>563</v>
      </c>
    </row>
    <row r="180" ht="58.5" hidden="1" customHeight="1">
      <c r="A180" s="179" t="s">
        <v>564</v>
      </c>
      <c r="B180" s="180">
        <v>45551.0</v>
      </c>
      <c r="C180" s="110">
        <f t="shared" si="1"/>
        <v>45551</v>
      </c>
      <c r="D180" s="181" t="s">
        <v>561</v>
      </c>
      <c r="E180" s="181" t="s">
        <v>25</v>
      </c>
      <c r="F180" s="145" t="s">
        <v>26</v>
      </c>
      <c r="G180" s="182" t="s">
        <v>565</v>
      </c>
      <c r="H180" s="145" t="s">
        <v>28</v>
      </c>
      <c r="I180" s="183" t="s">
        <v>36</v>
      </c>
      <c r="J180" s="183" t="s">
        <v>75</v>
      </c>
      <c r="K180" s="180">
        <v>45555.0</v>
      </c>
      <c r="L180" s="180"/>
      <c r="M180" s="180"/>
      <c r="N180" s="184" t="s">
        <v>42</v>
      </c>
      <c r="O180" s="181"/>
      <c r="P180" s="180"/>
      <c r="Q180" s="180">
        <v>45555.0</v>
      </c>
      <c r="R180" s="125">
        <f t="shared" si="9"/>
        <v>45555</v>
      </c>
      <c r="S180" s="171" t="s">
        <v>43</v>
      </c>
      <c r="T180" s="181" t="s">
        <v>566</v>
      </c>
    </row>
    <row r="181" ht="58.5" customHeight="1">
      <c r="A181" s="145" t="s">
        <v>76</v>
      </c>
      <c r="B181" s="144">
        <v>45547.0</v>
      </c>
      <c r="C181" s="110">
        <f t="shared" si="1"/>
        <v>45547</v>
      </c>
      <c r="D181" s="145" t="s">
        <v>52</v>
      </c>
      <c r="E181" s="145" t="s">
        <v>25</v>
      </c>
      <c r="F181" s="145" t="s">
        <v>26</v>
      </c>
      <c r="G181" s="146" t="s">
        <v>567</v>
      </c>
      <c r="H181" s="145" t="s">
        <v>35</v>
      </c>
      <c r="I181" s="147" t="s">
        <v>61</v>
      </c>
      <c r="J181" s="147" t="s">
        <v>110</v>
      </c>
      <c r="K181" s="144">
        <v>45548.0</v>
      </c>
      <c r="L181" s="144"/>
      <c r="M181" s="144">
        <v>45548.0</v>
      </c>
      <c r="N181" s="148" t="s">
        <v>343</v>
      </c>
      <c r="O181" s="145"/>
      <c r="P181" s="144"/>
      <c r="Q181" s="144"/>
      <c r="R181" s="125" t="str">
        <f t="shared" si="9"/>
        <v/>
      </c>
      <c r="S181" s="171"/>
      <c r="T181" s="145"/>
    </row>
    <row r="182" ht="58.5" customHeight="1">
      <c r="A182" s="145" t="s">
        <v>76</v>
      </c>
      <c r="B182" s="144">
        <v>45547.0</v>
      </c>
      <c r="C182" s="110">
        <f t="shared" si="1"/>
        <v>45547</v>
      </c>
      <c r="D182" s="145" t="s">
        <v>52</v>
      </c>
      <c r="E182" s="145" t="s">
        <v>25</v>
      </c>
      <c r="F182" s="145" t="s">
        <v>26</v>
      </c>
      <c r="G182" s="146" t="s">
        <v>568</v>
      </c>
      <c r="H182" s="145" t="s">
        <v>35</v>
      </c>
      <c r="I182" s="147" t="s">
        <v>29</v>
      </c>
      <c r="J182" s="147" t="s">
        <v>110</v>
      </c>
      <c r="K182" s="144">
        <v>45548.0</v>
      </c>
      <c r="L182" s="144"/>
      <c r="M182" s="144">
        <v>45548.0</v>
      </c>
      <c r="N182" s="148" t="s">
        <v>42</v>
      </c>
      <c r="O182" s="145"/>
      <c r="P182" s="144"/>
      <c r="Q182" s="144">
        <v>45561.0</v>
      </c>
      <c r="R182" s="125">
        <f t="shared" si="9"/>
        <v>45561</v>
      </c>
      <c r="S182" s="171" t="s">
        <v>43</v>
      </c>
      <c r="T182" s="145" t="s">
        <v>569</v>
      </c>
    </row>
    <row r="183" ht="58.5" hidden="1" customHeight="1">
      <c r="A183" s="143" t="s">
        <v>570</v>
      </c>
      <c r="B183" s="144">
        <v>45545.0</v>
      </c>
      <c r="C183" s="110">
        <f t="shared" si="1"/>
        <v>45545</v>
      </c>
      <c r="D183" s="145" t="s">
        <v>52</v>
      </c>
      <c r="E183" s="145" t="s">
        <v>25</v>
      </c>
      <c r="F183" s="145" t="s">
        <v>26</v>
      </c>
      <c r="G183" s="146" t="s">
        <v>571</v>
      </c>
      <c r="H183" s="145" t="s">
        <v>186</v>
      </c>
      <c r="I183" s="147" t="s">
        <v>36</v>
      </c>
      <c r="J183" s="147" t="s">
        <v>41</v>
      </c>
      <c r="K183" s="144">
        <v>45545.0</v>
      </c>
      <c r="L183" s="144"/>
      <c r="M183" s="144">
        <v>45545.0</v>
      </c>
      <c r="N183" s="148" t="s">
        <v>42</v>
      </c>
      <c r="O183" s="145"/>
      <c r="P183" s="144"/>
      <c r="Q183" s="144">
        <v>45545.0</v>
      </c>
      <c r="R183" s="125">
        <f t="shared" si="9"/>
        <v>45545</v>
      </c>
      <c r="S183" s="171" t="s">
        <v>119</v>
      </c>
      <c r="T183" s="145" t="s">
        <v>572</v>
      </c>
    </row>
    <row r="184" ht="58.5" hidden="1" customHeight="1">
      <c r="A184" s="143" t="s">
        <v>573</v>
      </c>
      <c r="B184" s="144">
        <v>45540.0</v>
      </c>
      <c r="C184" s="110">
        <f t="shared" si="1"/>
        <v>45540</v>
      </c>
      <c r="D184" s="145" t="s">
        <v>427</v>
      </c>
      <c r="E184" s="145" t="s">
        <v>25</v>
      </c>
      <c r="F184" s="145" t="s">
        <v>26</v>
      </c>
      <c r="G184" s="146" t="s">
        <v>574</v>
      </c>
      <c r="H184" s="145" t="s">
        <v>28</v>
      </c>
      <c r="I184" s="147" t="s">
        <v>36</v>
      </c>
      <c r="J184" s="147" t="s">
        <v>128</v>
      </c>
      <c r="K184" s="144">
        <v>45544.0</v>
      </c>
      <c r="L184" s="144"/>
      <c r="M184" s="144"/>
      <c r="N184" s="148" t="s">
        <v>42</v>
      </c>
      <c r="O184" s="145"/>
      <c r="P184" s="144"/>
      <c r="Q184" s="144">
        <v>45558.0</v>
      </c>
      <c r="R184" s="125">
        <f t="shared" si="9"/>
        <v>45558</v>
      </c>
      <c r="S184" s="171" t="s">
        <v>227</v>
      </c>
      <c r="T184" s="145" t="s">
        <v>575</v>
      </c>
    </row>
    <row r="185" ht="58.5" hidden="1" customHeight="1">
      <c r="A185" s="143" t="s">
        <v>576</v>
      </c>
      <c r="B185" s="144">
        <v>45537.0</v>
      </c>
      <c r="C185" s="110">
        <f t="shared" si="1"/>
        <v>45537</v>
      </c>
      <c r="D185" s="145" t="s">
        <v>101</v>
      </c>
      <c r="E185" s="145" t="s">
        <v>25</v>
      </c>
      <c r="F185" s="145" t="s">
        <v>26</v>
      </c>
      <c r="G185" s="146" t="s">
        <v>577</v>
      </c>
      <c r="H185" s="145" t="s">
        <v>60</v>
      </c>
      <c r="I185" s="147" t="s">
        <v>61</v>
      </c>
      <c r="J185" s="147" t="s">
        <v>41</v>
      </c>
      <c r="K185" s="144">
        <v>45537.0</v>
      </c>
      <c r="L185" s="144"/>
      <c r="M185" s="144"/>
      <c r="N185" s="148" t="s">
        <v>343</v>
      </c>
      <c r="O185" s="145"/>
      <c r="P185" s="144"/>
      <c r="Q185" s="144"/>
      <c r="R185" s="125" t="str">
        <f t="shared" si="9"/>
        <v/>
      </c>
      <c r="S185" s="144"/>
      <c r="T185" s="145" t="s">
        <v>578</v>
      </c>
    </row>
    <row r="186" ht="58.5" hidden="1" customHeight="1">
      <c r="A186" s="149" t="s">
        <v>579</v>
      </c>
      <c r="B186" s="150">
        <v>45541.0</v>
      </c>
      <c r="C186" s="116">
        <f t="shared" si="1"/>
        <v>45541</v>
      </c>
      <c r="D186" s="151" t="s">
        <v>161</v>
      </c>
      <c r="E186" s="151" t="s">
        <v>25</v>
      </c>
      <c r="F186" s="151" t="s">
        <v>26</v>
      </c>
      <c r="G186" s="152" t="s">
        <v>580</v>
      </c>
      <c r="H186" s="151" t="s">
        <v>35</v>
      </c>
      <c r="I186" s="153" t="s">
        <v>29</v>
      </c>
      <c r="J186" s="153" t="s">
        <v>75</v>
      </c>
      <c r="K186" s="150">
        <v>45541.0</v>
      </c>
      <c r="L186" s="150"/>
      <c r="M186" s="150"/>
      <c r="N186" s="155" t="s">
        <v>42</v>
      </c>
      <c r="O186" s="151"/>
      <c r="P186" s="150">
        <v>45849.0</v>
      </c>
      <c r="Q186" s="150">
        <v>45870.0</v>
      </c>
      <c r="R186" s="122">
        <f t="shared" si="9"/>
        <v>45870</v>
      </c>
      <c r="S186" s="156" t="s">
        <v>43</v>
      </c>
      <c r="T186" s="151" t="s">
        <v>581</v>
      </c>
    </row>
    <row r="187" ht="58.5" hidden="1" customHeight="1">
      <c r="A187" s="151" t="s">
        <v>582</v>
      </c>
      <c r="B187" s="150">
        <v>45540.0</v>
      </c>
      <c r="C187" s="116">
        <f t="shared" si="1"/>
        <v>45540</v>
      </c>
      <c r="D187" s="151" t="s">
        <v>52</v>
      </c>
      <c r="E187" s="151" t="s">
        <v>25</v>
      </c>
      <c r="F187" s="151" t="s">
        <v>26</v>
      </c>
      <c r="G187" s="152" t="s">
        <v>583</v>
      </c>
      <c r="H187" s="151" t="s">
        <v>186</v>
      </c>
      <c r="I187" s="153" t="s">
        <v>29</v>
      </c>
      <c r="J187" s="153" t="s">
        <v>255</v>
      </c>
      <c r="K187" s="150">
        <v>45541.0</v>
      </c>
      <c r="L187" s="150">
        <v>45552.0</v>
      </c>
      <c r="M187" s="150">
        <v>45552.0</v>
      </c>
      <c r="N187" s="155" t="s">
        <v>42</v>
      </c>
      <c r="O187" s="151"/>
      <c r="P187" s="150">
        <v>45600.0</v>
      </c>
      <c r="Q187" s="150">
        <v>45600.0</v>
      </c>
      <c r="R187" s="122">
        <f t="shared" si="9"/>
        <v>45600</v>
      </c>
      <c r="S187" s="150"/>
      <c r="T187" s="151" t="s">
        <v>584</v>
      </c>
    </row>
    <row r="188" ht="58.5" hidden="1" customHeight="1">
      <c r="A188" s="172" t="s">
        <v>585</v>
      </c>
      <c r="B188" s="144">
        <v>45537.0</v>
      </c>
      <c r="C188" s="110">
        <f t="shared" si="1"/>
        <v>45537</v>
      </c>
      <c r="D188" s="174" t="s">
        <v>101</v>
      </c>
      <c r="E188" s="174" t="s">
        <v>25</v>
      </c>
      <c r="F188" s="145" t="s">
        <v>26</v>
      </c>
      <c r="G188" s="175" t="s">
        <v>586</v>
      </c>
      <c r="H188" s="145" t="s">
        <v>28</v>
      </c>
      <c r="I188" s="176" t="s">
        <v>29</v>
      </c>
      <c r="J188" s="176"/>
      <c r="K188" s="144"/>
      <c r="L188" s="144"/>
      <c r="M188" s="144"/>
      <c r="N188" s="177" t="s">
        <v>30</v>
      </c>
      <c r="O188" s="174"/>
      <c r="P188" s="144"/>
      <c r="Q188" s="144"/>
      <c r="R188" s="125" t="str">
        <f t="shared" si="9"/>
        <v/>
      </c>
      <c r="S188" s="144"/>
      <c r="T188" s="185" t="s">
        <v>587</v>
      </c>
    </row>
    <row r="189" ht="58.5" hidden="1" customHeight="1">
      <c r="A189" s="172" t="s">
        <v>588</v>
      </c>
      <c r="B189" s="144">
        <v>45534.0</v>
      </c>
      <c r="C189" s="110">
        <f t="shared" si="1"/>
        <v>45534</v>
      </c>
      <c r="D189" s="174" t="s">
        <v>415</v>
      </c>
      <c r="E189" s="174" t="s">
        <v>47</v>
      </c>
      <c r="F189" s="174" t="s">
        <v>47</v>
      </c>
      <c r="G189" s="175" t="s">
        <v>589</v>
      </c>
      <c r="H189" s="145" t="s">
        <v>186</v>
      </c>
      <c r="I189" s="176" t="s">
        <v>36</v>
      </c>
      <c r="J189" s="176"/>
      <c r="K189" s="144"/>
      <c r="L189" s="144"/>
      <c r="M189" s="144"/>
      <c r="N189" s="177" t="s">
        <v>30</v>
      </c>
      <c r="O189" s="174"/>
      <c r="P189" s="144"/>
      <c r="Q189" s="144"/>
      <c r="R189" s="125" t="str">
        <f t="shared" si="9"/>
        <v/>
      </c>
      <c r="S189" s="144"/>
      <c r="T189" s="174"/>
    </row>
    <row r="190" ht="58.5" hidden="1" customHeight="1">
      <c r="A190" s="172" t="s">
        <v>590</v>
      </c>
      <c r="B190" s="144">
        <v>45534.0</v>
      </c>
      <c r="C190" s="110">
        <f t="shared" si="1"/>
        <v>45534</v>
      </c>
      <c r="D190" s="174" t="s">
        <v>246</v>
      </c>
      <c r="E190" s="174" t="s">
        <v>25</v>
      </c>
      <c r="F190" s="145" t="s">
        <v>26</v>
      </c>
      <c r="G190" s="175" t="s">
        <v>591</v>
      </c>
      <c r="H190" s="145" t="s">
        <v>186</v>
      </c>
      <c r="I190" s="176" t="s">
        <v>61</v>
      </c>
      <c r="J190" s="176"/>
      <c r="K190" s="144"/>
      <c r="L190" s="144"/>
      <c r="M190" s="144"/>
      <c r="N190" s="177" t="s">
        <v>30</v>
      </c>
      <c r="O190" s="174"/>
      <c r="P190" s="144"/>
      <c r="Q190" s="144"/>
      <c r="R190" s="125" t="str">
        <f t="shared" si="9"/>
        <v/>
      </c>
      <c r="S190" s="144"/>
      <c r="T190" s="185" t="s">
        <v>592</v>
      </c>
    </row>
    <row r="191" ht="58.5" hidden="1" customHeight="1">
      <c r="A191" s="149" t="s">
        <v>593</v>
      </c>
      <c r="B191" s="150">
        <v>45534.0</v>
      </c>
      <c r="C191" s="116">
        <f t="shared" si="1"/>
        <v>45534</v>
      </c>
      <c r="D191" s="151" t="s">
        <v>24</v>
      </c>
      <c r="E191" s="151" t="s">
        <v>25</v>
      </c>
      <c r="F191" s="151" t="s">
        <v>26</v>
      </c>
      <c r="G191" s="152" t="s">
        <v>594</v>
      </c>
      <c r="H191" s="151" t="s">
        <v>35</v>
      </c>
      <c r="I191" s="153" t="s">
        <v>61</v>
      </c>
      <c r="J191" s="153"/>
      <c r="K191" s="150"/>
      <c r="L191" s="150"/>
      <c r="M191" s="150"/>
      <c r="N191" s="155" t="s">
        <v>30</v>
      </c>
      <c r="O191" s="151"/>
      <c r="P191" s="150"/>
      <c r="Q191" s="150"/>
      <c r="R191" s="122" t="str">
        <f t="shared" si="9"/>
        <v/>
      </c>
      <c r="S191" s="150"/>
      <c r="T191" s="186" t="s">
        <v>595</v>
      </c>
    </row>
    <row r="192" ht="58.5" hidden="1" customHeight="1">
      <c r="A192" s="172" t="s">
        <v>596</v>
      </c>
      <c r="B192" s="144">
        <v>45534.0</v>
      </c>
      <c r="C192" s="110">
        <f t="shared" si="1"/>
        <v>45534</v>
      </c>
      <c r="D192" s="174" t="s">
        <v>597</v>
      </c>
      <c r="E192" s="174" t="s">
        <v>25</v>
      </c>
      <c r="F192" s="145" t="s">
        <v>26</v>
      </c>
      <c r="G192" s="175" t="s">
        <v>598</v>
      </c>
      <c r="H192" s="145" t="s">
        <v>60</v>
      </c>
      <c r="I192" s="176" t="s">
        <v>36</v>
      </c>
      <c r="J192" s="176"/>
      <c r="K192" s="144"/>
      <c r="L192" s="144"/>
      <c r="M192" s="144"/>
      <c r="N192" s="177" t="s">
        <v>30</v>
      </c>
      <c r="O192" s="174"/>
      <c r="P192" s="144"/>
      <c r="Q192" s="144"/>
      <c r="R192" s="125" t="str">
        <f t="shared" si="9"/>
        <v/>
      </c>
      <c r="S192" s="144"/>
      <c r="T192" s="185" t="s">
        <v>599</v>
      </c>
    </row>
    <row r="193" ht="58.5" hidden="1" customHeight="1">
      <c r="A193" s="174" t="s">
        <v>600</v>
      </c>
      <c r="B193" s="144">
        <v>45532.0</v>
      </c>
      <c r="C193" s="110">
        <f t="shared" si="1"/>
        <v>45532</v>
      </c>
      <c r="D193" s="174" t="s">
        <v>309</v>
      </c>
      <c r="E193" s="174" t="s">
        <v>310</v>
      </c>
      <c r="F193" s="145" t="s">
        <v>26</v>
      </c>
      <c r="G193" s="175" t="s">
        <v>601</v>
      </c>
      <c r="H193" s="145" t="s">
        <v>186</v>
      </c>
      <c r="I193" s="176" t="s">
        <v>36</v>
      </c>
      <c r="J193" s="176" t="s">
        <v>41</v>
      </c>
      <c r="K193" s="144">
        <v>45538.0</v>
      </c>
      <c r="L193" s="144"/>
      <c r="M193" s="144"/>
      <c r="N193" s="177" t="s">
        <v>64</v>
      </c>
      <c r="O193" s="174"/>
      <c r="P193" s="144"/>
      <c r="Q193" s="144"/>
      <c r="R193" s="125" t="str">
        <f t="shared" si="9"/>
        <v/>
      </c>
      <c r="S193" s="144"/>
      <c r="T193" s="174"/>
    </row>
    <row r="194" ht="58.5" customHeight="1">
      <c r="A194" s="174" t="s">
        <v>602</v>
      </c>
      <c r="B194" s="144">
        <v>45531.0</v>
      </c>
      <c r="C194" s="110">
        <f t="shared" si="1"/>
        <v>45531</v>
      </c>
      <c r="D194" s="174" t="s">
        <v>309</v>
      </c>
      <c r="E194" s="174" t="s">
        <v>310</v>
      </c>
      <c r="F194" s="145" t="s">
        <v>26</v>
      </c>
      <c r="G194" s="175" t="s">
        <v>603</v>
      </c>
      <c r="H194" s="145" t="s">
        <v>186</v>
      </c>
      <c r="I194" s="176" t="s">
        <v>36</v>
      </c>
      <c r="J194" s="176" t="s">
        <v>110</v>
      </c>
      <c r="K194" s="144">
        <v>45538.0</v>
      </c>
      <c r="L194" s="144"/>
      <c r="M194" s="144"/>
      <c r="N194" s="177" t="s">
        <v>42</v>
      </c>
      <c r="O194" s="174"/>
      <c r="P194" s="144"/>
      <c r="Q194" s="144">
        <v>45544.0</v>
      </c>
      <c r="R194" s="125">
        <f t="shared" si="9"/>
        <v>45544</v>
      </c>
      <c r="S194" s="171" t="s">
        <v>119</v>
      </c>
      <c r="T194" s="174" t="s">
        <v>604</v>
      </c>
    </row>
    <row r="195" ht="58.5" customHeight="1">
      <c r="A195" s="172" t="s">
        <v>605</v>
      </c>
      <c r="B195" s="144">
        <v>45526.0</v>
      </c>
      <c r="C195" s="110">
        <f t="shared" si="1"/>
        <v>45526</v>
      </c>
      <c r="D195" s="174" t="s">
        <v>165</v>
      </c>
      <c r="E195" s="174" t="s">
        <v>33</v>
      </c>
      <c r="F195" s="145" t="s">
        <v>26</v>
      </c>
      <c r="G195" s="175" t="s">
        <v>606</v>
      </c>
      <c r="H195" s="145" t="s">
        <v>54</v>
      </c>
      <c r="I195" s="176" t="s">
        <v>29</v>
      </c>
      <c r="J195" s="176" t="s">
        <v>110</v>
      </c>
      <c r="K195" s="144">
        <v>45526.0</v>
      </c>
      <c r="L195" s="144"/>
      <c r="M195" s="144"/>
      <c r="N195" s="177" t="s">
        <v>42</v>
      </c>
      <c r="O195" s="174"/>
      <c r="P195" s="144"/>
      <c r="Q195" s="144">
        <v>45604.0</v>
      </c>
      <c r="R195" s="125">
        <f t="shared" si="9"/>
        <v>45604</v>
      </c>
      <c r="S195" s="171" t="s">
        <v>96</v>
      </c>
      <c r="T195" s="174" t="s">
        <v>607</v>
      </c>
    </row>
    <row r="196" ht="58.5" hidden="1" customHeight="1">
      <c r="A196" s="172" t="s">
        <v>608</v>
      </c>
      <c r="B196" s="144">
        <v>45525.0</v>
      </c>
      <c r="C196" s="110">
        <f t="shared" si="1"/>
        <v>45525</v>
      </c>
      <c r="D196" s="174" t="s">
        <v>52</v>
      </c>
      <c r="E196" s="174" t="s">
        <v>25</v>
      </c>
      <c r="F196" s="145" t="s">
        <v>26</v>
      </c>
      <c r="G196" s="175" t="s">
        <v>609</v>
      </c>
      <c r="H196" s="145" t="s">
        <v>186</v>
      </c>
      <c r="I196" s="176" t="s">
        <v>61</v>
      </c>
      <c r="J196" s="176" t="s">
        <v>41</v>
      </c>
      <c r="K196" s="144">
        <v>45526.0</v>
      </c>
      <c r="L196" s="144"/>
      <c r="M196" s="144">
        <v>45527.0</v>
      </c>
      <c r="N196" s="177" t="s">
        <v>42</v>
      </c>
      <c r="O196" s="174"/>
      <c r="P196" s="144"/>
      <c r="Q196" s="144">
        <v>45527.0</v>
      </c>
      <c r="R196" s="125">
        <f t="shared" si="9"/>
        <v>45527</v>
      </c>
      <c r="S196" s="171" t="s">
        <v>119</v>
      </c>
      <c r="T196" s="174" t="s">
        <v>610</v>
      </c>
    </row>
    <row r="197" ht="58.5" hidden="1" customHeight="1">
      <c r="A197" s="172" t="s">
        <v>611</v>
      </c>
      <c r="B197" s="144">
        <v>45524.0</v>
      </c>
      <c r="C197" s="110">
        <f t="shared" si="1"/>
        <v>45524</v>
      </c>
      <c r="D197" s="174" t="s">
        <v>116</v>
      </c>
      <c r="E197" s="174" t="s">
        <v>25</v>
      </c>
      <c r="F197" s="145" t="s">
        <v>26</v>
      </c>
      <c r="G197" s="175" t="s">
        <v>612</v>
      </c>
      <c r="H197" s="145" t="s">
        <v>28</v>
      </c>
      <c r="I197" s="176" t="s">
        <v>61</v>
      </c>
      <c r="J197" s="176" t="s">
        <v>255</v>
      </c>
      <c r="K197" s="144">
        <v>45538.0</v>
      </c>
      <c r="L197" s="144"/>
      <c r="M197" s="144"/>
      <c r="N197" s="177" t="s">
        <v>343</v>
      </c>
      <c r="O197" s="174"/>
      <c r="P197" s="144"/>
      <c r="Q197" s="144"/>
      <c r="R197" s="125" t="str">
        <f t="shared" si="9"/>
        <v/>
      </c>
      <c r="S197" s="144"/>
      <c r="T197" s="174" t="s">
        <v>613</v>
      </c>
    </row>
    <row r="198" ht="58.5" hidden="1" customHeight="1">
      <c r="A198" s="143" t="s">
        <v>614</v>
      </c>
      <c r="B198" s="144">
        <v>45518.0</v>
      </c>
      <c r="C198" s="110">
        <f t="shared" si="1"/>
        <v>45518</v>
      </c>
      <c r="D198" s="145" t="s">
        <v>154</v>
      </c>
      <c r="E198" s="145" t="s">
        <v>615</v>
      </c>
      <c r="F198" s="145" t="s">
        <v>615</v>
      </c>
      <c r="G198" s="146" t="s">
        <v>616</v>
      </c>
      <c r="H198" s="145" t="s">
        <v>60</v>
      </c>
      <c r="I198" s="147" t="s">
        <v>36</v>
      </c>
      <c r="J198" s="147" t="s">
        <v>41</v>
      </c>
      <c r="K198" s="144">
        <v>45518.0</v>
      </c>
      <c r="L198" s="144"/>
      <c r="M198" s="144"/>
      <c r="N198" s="148" t="s">
        <v>118</v>
      </c>
      <c r="O198" s="145"/>
      <c r="P198" s="144"/>
      <c r="Q198" s="144">
        <v>45992.0</v>
      </c>
      <c r="R198" s="125">
        <f t="shared" si="9"/>
        <v>45992</v>
      </c>
      <c r="S198" s="171" t="s">
        <v>124</v>
      </c>
      <c r="T198" s="145" t="s">
        <v>617</v>
      </c>
    </row>
    <row r="199" ht="58.5" hidden="1" customHeight="1">
      <c r="A199" s="174" t="s">
        <v>76</v>
      </c>
      <c r="B199" s="144">
        <v>45518.0</v>
      </c>
      <c r="C199" s="110">
        <f t="shared" si="1"/>
        <v>45518</v>
      </c>
      <c r="D199" s="174" t="s">
        <v>161</v>
      </c>
      <c r="E199" s="174" t="s">
        <v>33</v>
      </c>
      <c r="F199" s="174" t="s">
        <v>26</v>
      </c>
      <c r="G199" s="175" t="s">
        <v>618</v>
      </c>
      <c r="H199" s="145" t="s">
        <v>87</v>
      </c>
      <c r="I199" s="176" t="s">
        <v>61</v>
      </c>
      <c r="J199" s="176" t="s">
        <v>255</v>
      </c>
      <c r="K199" s="144">
        <v>45518.0</v>
      </c>
      <c r="L199" s="144"/>
      <c r="M199" s="144">
        <v>45519.0</v>
      </c>
      <c r="N199" s="177" t="s">
        <v>42</v>
      </c>
      <c r="O199" s="174"/>
      <c r="P199" s="144"/>
      <c r="Q199" s="144">
        <v>45527.0</v>
      </c>
      <c r="R199" s="125">
        <f t="shared" si="9"/>
        <v>45527</v>
      </c>
      <c r="S199" s="171" t="s">
        <v>43</v>
      </c>
      <c r="T199" s="174" t="s">
        <v>619</v>
      </c>
    </row>
    <row r="200" ht="58.5" hidden="1" customHeight="1">
      <c r="A200" s="174" t="s">
        <v>76</v>
      </c>
      <c r="B200" s="144">
        <v>45512.0</v>
      </c>
      <c r="C200" s="110">
        <f t="shared" si="1"/>
        <v>45512</v>
      </c>
      <c r="D200" s="174" t="s">
        <v>620</v>
      </c>
      <c r="E200" s="174" t="s">
        <v>25</v>
      </c>
      <c r="F200" s="174" t="s">
        <v>26</v>
      </c>
      <c r="G200" s="175" t="s">
        <v>621</v>
      </c>
      <c r="H200" s="145" t="s">
        <v>28</v>
      </c>
      <c r="I200" s="176" t="s">
        <v>29</v>
      </c>
      <c r="J200" s="176" t="s">
        <v>75</v>
      </c>
      <c r="K200" s="144">
        <v>45512.0</v>
      </c>
      <c r="L200" s="144"/>
      <c r="M200" s="144">
        <v>45512.0</v>
      </c>
      <c r="N200" s="177" t="s">
        <v>42</v>
      </c>
      <c r="O200" s="174"/>
      <c r="P200" s="144"/>
      <c r="Q200" s="144">
        <v>45524.0</v>
      </c>
      <c r="R200" s="125">
        <f t="shared" si="9"/>
        <v>45524</v>
      </c>
      <c r="S200" s="171" t="s">
        <v>119</v>
      </c>
      <c r="T200" s="174" t="s">
        <v>622</v>
      </c>
    </row>
    <row r="201" ht="58.5" hidden="1" customHeight="1">
      <c r="A201" s="179" t="s">
        <v>623</v>
      </c>
      <c r="B201" s="180">
        <v>45495.0</v>
      </c>
      <c r="C201" s="110">
        <f t="shared" si="1"/>
        <v>45495</v>
      </c>
      <c r="D201" s="181" t="s">
        <v>624</v>
      </c>
      <c r="E201" s="181" t="s">
        <v>33</v>
      </c>
      <c r="F201" s="174" t="s">
        <v>26</v>
      </c>
      <c r="G201" s="182" t="s">
        <v>625</v>
      </c>
      <c r="H201" s="145" t="s">
        <v>28</v>
      </c>
      <c r="I201" s="183" t="s">
        <v>29</v>
      </c>
      <c r="J201" s="183" t="s">
        <v>128</v>
      </c>
      <c r="K201" s="180">
        <v>45495.0</v>
      </c>
      <c r="L201" s="180"/>
      <c r="M201" s="180">
        <v>45495.0</v>
      </c>
      <c r="N201" s="184" t="s">
        <v>42</v>
      </c>
      <c r="O201" s="181"/>
      <c r="P201" s="180"/>
      <c r="Q201" s="180">
        <v>45552.0</v>
      </c>
      <c r="R201" s="125">
        <f t="shared" si="9"/>
        <v>45552</v>
      </c>
      <c r="S201" s="171" t="s">
        <v>227</v>
      </c>
      <c r="T201" s="181" t="s">
        <v>626</v>
      </c>
    </row>
    <row r="202" ht="58.5" hidden="1" customHeight="1">
      <c r="A202" s="174" t="s">
        <v>76</v>
      </c>
      <c r="B202" s="144"/>
      <c r="C202" s="27">
        <v>2024.0</v>
      </c>
      <c r="D202" s="174" t="s">
        <v>52</v>
      </c>
      <c r="E202" s="174"/>
      <c r="F202" s="174" t="s">
        <v>26</v>
      </c>
      <c r="G202" s="175" t="s">
        <v>627</v>
      </c>
      <c r="H202" s="145" t="s">
        <v>186</v>
      </c>
      <c r="I202" s="176" t="s">
        <v>36</v>
      </c>
      <c r="J202" s="176" t="s">
        <v>255</v>
      </c>
      <c r="K202" s="173">
        <v>45476.0</v>
      </c>
      <c r="L202" s="173"/>
      <c r="N202" s="177" t="s">
        <v>343</v>
      </c>
      <c r="O202" s="174"/>
      <c r="P202" s="173"/>
      <c r="Q202" s="173"/>
      <c r="R202" s="125" t="str">
        <f t="shared" si="9"/>
        <v/>
      </c>
      <c r="S202" s="144"/>
      <c r="T202" s="174"/>
    </row>
    <row r="203" ht="58.5" hidden="1" customHeight="1">
      <c r="A203" s="172" t="s">
        <v>628</v>
      </c>
      <c r="B203" s="173">
        <v>45497.0</v>
      </c>
      <c r="C203" s="110">
        <f t="shared" ref="C203:C373" si="10">B203</f>
        <v>45497</v>
      </c>
      <c r="D203" s="174" t="s">
        <v>246</v>
      </c>
      <c r="E203" s="174" t="s">
        <v>25</v>
      </c>
      <c r="F203" s="174" t="s">
        <v>26</v>
      </c>
      <c r="G203" s="175" t="s">
        <v>629</v>
      </c>
      <c r="H203" s="145" t="s">
        <v>186</v>
      </c>
      <c r="I203" s="176" t="s">
        <v>36</v>
      </c>
      <c r="J203" s="176"/>
      <c r="K203" s="173"/>
      <c r="L203" s="173"/>
      <c r="M203" s="173"/>
      <c r="N203" s="177" t="s">
        <v>30</v>
      </c>
      <c r="O203" s="174"/>
      <c r="P203" s="173"/>
      <c r="Q203" s="173"/>
      <c r="R203" s="125" t="str">
        <f t="shared" si="9"/>
        <v/>
      </c>
      <c r="S203" s="144"/>
      <c r="T203" s="174"/>
    </row>
    <row r="204" ht="58.5" hidden="1" customHeight="1">
      <c r="A204" s="172" t="s">
        <v>630</v>
      </c>
      <c r="B204" s="173">
        <v>45492.0</v>
      </c>
      <c r="C204" s="110">
        <f t="shared" si="10"/>
        <v>45492</v>
      </c>
      <c r="D204" s="174" t="s">
        <v>133</v>
      </c>
      <c r="E204" s="174" t="s">
        <v>33</v>
      </c>
      <c r="F204" s="174" t="s">
        <v>26</v>
      </c>
      <c r="G204" s="187" t="s">
        <v>630</v>
      </c>
      <c r="H204" s="145" t="s">
        <v>28</v>
      </c>
      <c r="I204" s="176" t="s">
        <v>36</v>
      </c>
      <c r="J204" s="176"/>
      <c r="K204" s="173"/>
      <c r="L204" s="173"/>
      <c r="M204" s="173"/>
      <c r="N204" s="177" t="s">
        <v>118</v>
      </c>
      <c r="O204" s="174"/>
      <c r="P204" s="173"/>
      <c r="Q204" s="173"/>
      <c r="R204" s="125" t="str">
        <f t="shared" si="9"/>
        <v/>
      </c>
      <c r="S204" s="171" t="s">
        <v>124</v>
      </c>
      <c r="T204" s="174" t="s">
        <v>631</v>
      </c>
    </row>
    <row r="205" ht="58.5" hidden="1" customHeight="1">
      <c r="A205" s="149" t="s">
        <v>632</v>
      </c>
      <c r="B205" s="150">
        <v>45485.0</v>
      </c>
      <c r="C205" s="116">
        <f t="shared" si="10"/>
        <v>45485</v>
      </c>
      <c r="D205" s="151" t="s">
        <v>633</v>
      </c>
      <c r="E205" s="151" t="s">
        <v>25</v>
      </c>
      <c r="F205" s="151" t="s">
        <v>26</v>
      </c>
      <c r="G205" s="152" t="s">
        <v>634</v>
      </c>
      <c r="H205" s="151" t="s">
        <v>28</v>
      </c>
      <c r="I205" s="153" t="s">
        <v>61</v>
      </c>
      <c r="J205" s="153"/>
      <c r="K205" s="150"/>
      <c r="L205" s="150"/>
      <c r="M205" s="150"/>
      <c r="N205" s="155" t="s">
        <v>30</v>
      </c>
      <c r="O205" s="151"/>
      <c r="P205" s="150"/>
      <c r="Q205" s="150"/>
      <c r="R205" s="122" t="str">
        <f t="shared" si="9"/>
        <v/>
      </c>
      <c r="S205" s="150"/>
      <c r="T205" s="186" t="s">
        <v>635</v>
      </c>
    </row>
    <row r="206" ht="58.5" hidden="1" customHeight="1">
      <c r="A206" s="172" t="s">
        <v>636</v>
      </c>
      <c r="B206" s="173">
        <v>45485.0</v>
      </c>
      <c r="C206" s="110">
        <f t="shared" si="10"/>
        <v>45485</v>
      </c>
      <c r="D206" s="174" t="s">
        <v>116</v>
      </c>
      <c r="E206" s="174" t="s">
        <v>25</v>
      </c>
      <c r="F206" s="174" t="s">
        <v>26</v>
      </c>
      <c r="G206" s="175" t="s">
        <v>637</v>
      </c>
      <c r="H206" s="145" t="s">
        <v>186</v>
      </c>
      <c r="I206" s="176" t="s">
        <v>36</v>
      </c>
      <c r="J206" s="176" t="s">
        <v>41</v>
      </c>
      <c r="K206" s="173">
        <v>45485.0</v>
      </c>
      <c r="L206" s="173"/>
      <c r="M206" s="173">
        <v>45485.0</v>
      </c>
      <c r="N206" s="177" t="s">
        <v>42</v>
      </c>
      <c r="O206" s="174"/>
      <c r="P206" s="173"/>
      <c r="Q206" s="173">
        <v>45488.0</v>
      </c>
      <c r="R206" s="125">
        <f t="shared" si="9"/>
        <v>45488</v>
      </c>
      <c r="S206" s="171" t="s">
        <v>119</v>
      </c>
      <c r="T206" s="174" t="s">
        <v>638</v>
      </c>
    </row>
    <row r="207" ht="58.5" hidden="1" customHeight="1">
      <c r="A207" s="172" t="s">
        <v>639</v>
      </c>
      <c r="B207" s="173">
        <v>45475.0</v>
      </c>
      <c r="C207" s="110">
        <f t="shared" si="10"/>
        <v>45475</v>
      </c>
      <c r="D207" s="174" t="s">
        <v>158</v>
      </c>
      <c r="E207" s="174" t="s">
        <v>25</v>
      </c>
      <c r="F207" s="174" t="s">
        <v>26</v>
      </c>
      <c r="G207" s="175" t="s">
        <v>640</v>
      </c>
      <c r="H207" s="145" t="s">
        <v>60</v>
      </c>
      <c r="I207" s="176" t="s">
        <v>36</v>
      </c>
      <c r="J207" s="176"/>
      <c r="K207" s="173"/>
      <c r="L207" s="173"/>
      <c r="M207" s="173"/>
      <c r="N207" s="177" t="s">
        <v>30</v>
      </c>
      <c r="O207" s="174"/>
      <c r="P207" s="173"/>
      <c r="Q207" s="173"/>
      <c r="R207" s="125" t="str">
        <f t="shared" si="9"/>
        <v/>
      </c>
      <c r="S207" s="144"/>
      <c r="T207" s="185" t="s">
        <v>641</v>
      </c>
    </row>
    <row r="208" ht="58.5" hidden="1" customHeight="1">
      <c r="A208" s="172" t="s">
        <v>642</v>
      </c>
      <c r="B208" s="173">
        <v>45474.0</v>
      </c>
      <c r="C208" s="110">
        <f t="shared" si="10"/>
        <v>45474</v>
      </c>
      <c r="D208" s="174" t="s">
        <v>38</v>
      </c>
      <c r="E208" s="174" t="s">
        <v>33</v>
      </c>
      <c r="F208" s="174" t="s">
        <v>26</v>
      </c>
      <c r="G208" s="175" t="s">
        <v>643</v>
      </c>
      <c r="H208" s="145" t="s">
        <v>87</v>
      </c>
      <c r="I208" s="176" t="s">
        <v>61</v>
      </c>
      <c r="J208" s="176" t="s">
        <v>128</v>
      </c>
      <c r="K208" s="173">
        <v>45498.0</v>
      </c>
      <c r="L208" s="173"/>
      <c r="M208" s="173">
        <v>45498.0</v>
      </c>
      <c r="N208" s="177" t="s">
        <v>42</v>
      </c>
      <c r="O208" s="174"/>
      <c r="P208" s="173"/>
      <c r="Q208" s="173">
        <v>45499.0</v>
      </c>
      <c r="R208" s="125">
        <f t="shared" si="9"/>
        <v>45499</v>
      </c>
      <c r="S208" s="171" t="s">
        <v>43</v>
      </c>
      <c r="T208" s="174" t="s">
        <v>644</v>
      </c>
    </row>
    <row r="209" ht="58.5" hidden="1" customHeight="1">
      <c r="A209" s="164" t="s">
        <v>645</v>
      </c>
      <c r="B209" s="165">
        <v>45470.0</v>
      </c>
      <c r="C209" s="79">
        <f t="shared" si="10"/>
        <v>45470</v>
      </c>
      <c r="D209" s="166" t="s">
        <v>309</v>
      </c>
      <c r="E209" s="166" t="s">
        <v>310</v>
      </c>
      <c r="F209" s="166" t="s">
        <v>26</v>
      </c>
      <c r="G209" s="167" t="s">
        <v>646</v>
      </c>
      <c r="H209" s="166" t="s">
        <v>60</v>
      </c>
      <c r="I209" s="168" t="s">
        <v>29</v>
      </c>
      <c r="J209" s="168" t="s">
        <v>152</v>
      </c>
      <c r="K209" s="165">
        <v>45910.0</v>
      </c>
      <c r="L209" s="165"/>
      <c r="M209" s="165"/>
      <c r="N209" s="169" t="s">
        <v>343</v>
      </c>
      <c r="O209" s="166"/>
      <c r="P209" s="165"/>
      <c r="Q209" s="165"/>
      <c r="R209" s="85" t="str">
        <f t="shared" si="9"/>
        <v/>
      </c>
      <c r="S209" s="165"/>
      <c r="T209" s="188"/>
    </row>
    <row r="210" ht="58.5" hidden="1" customHeight="1">
      <c r="A210" s="172" t="s">
        <v>647</v>
      </c>
      <c r="B210" s="173">
        <v>45471.0</v>
      </c>
      <c r="C210" s="110">
        <f t="shared" si="10"/>
        <v>45471</v>
      </c>
      <c r="D210" s="174" t="s">
        <v>32</v>
      </c>
      <c r="E210" s="174" t="s">
        <v>33</v>
      </c>
      <c r="F210" s="174" t="s">
        <v>26</v>
      </c>
      <c r="G210" s="175" t="s">
        <v>648</v>
      </c>
      <c r="H210" s="145" t="s">
        <v>186</v>
      </c>
      <c r="I210" s="176" t="s">
        <v>36</v>
      </c>
      <c r="J210" s="176" t="s">
        <v>41</v>
      </c>
      <c r="K210" s="173">
        <v>45471.0</v>
      </c>
      <c r="L210" s="173"/>
      <c r="M210" s="173">
        <v>45488.0</v>
      </c>
      <c r="N210" s="177" t="s">
        <v>42</v>
      </c>
      <c r="O210" s="174"/>
      <c r="P210" s="173"/>
      <c r="Q210" s="173">
        <v>45488.0</v>
      </c>
      <c r="R210" s="125">
        <f t="shared" si="9"/>
        <v>45488</v>
      </c>
      <c r="S210" s="171" t="s">
        <v>119</v>
      </c>
      <c r="T210" s="174" t="s">
        <v>649</v>
      </c>
    </row>
    <row r="211" ht="58.5" hidden="1" customHeight="1">
      <c r="A211" s="172" t="s">
        <v>650</v>
      </c>
      <c r="B211" s="173">
        <v>45408.0</v>
      </c>
      <c r="C211" s="110">
        <f t="shared" si="10"/>
        <v>45408</v>
      </c>
      <c r="D211" s="174" t="s">
        <v>38</v>
      </c>
      <c r="E211" s="174" t="s">
        <v>33</v>
      </c>
      <c r="F211" s="174" t="s">
        <v>26</v>
      </c>
      <c r="G211" s="175" t="s">
        <v>651</v>
      </c>
      <c r="H211" s="145" t="s">
        <v>28</v>
      </c>
      <c r="I211" s="176" t="s">
        <v>61</v>
      </c>
      <c r="J211" s="176"/>
      <c r="K211" s="173"/>
      <c r="L211" s="173"/>
      <c r="M211" s="173"/>
      <c r="N211" s="177" t="s">
        <v>30</v>
      </c>
      <c r="O211" s="174"/>
      <c r="P211" s="173"/>
      <c r="Q211" s="173"/>
      <c r="R211" s="125" t="str">
        <f t="shared" si="9"/>
        <v/>
      </c>
      <c r="S211" s="144"/>
      <c r="T211" s="174" t="s">
        <v>652</v>
      </c>
    </row>
    <row r="212" ht="58.5" hidden="1" customHeight="1">
      <c r="A212" s="172" t="s">
        <v>330</v>
      </c>
      <c r="B212" s="173">
        <v>45387.0</v>
      </c>
      <c r="C212" s="110">
        <f t="shared" si="10"/>
        <v>45387</v>
      </c>
      <c r="D212" s="174" t="s">
        <v>246</v>
      </c>
      <c r="E212" s="174" t="s">
        <v>25</v>
      </c>
      <c r="F212" s="174" t="s">
        <v>26</v>
      </c>
      <c r="G212" s="175" t="s">
        <v>653</v>
      </c>
      <c r="H212" s="145" t="s">
        <v>186</v>
      </c>
      <c r="I212" s="176" t="s">
        <v>36</v>
      </c>
      <c r="J212" s="176" t="s">
        <v>41</v>
      </c>
      <c r="K212" s="173">
        <v>45387.0</v>
      </c>
      <c r="L212" s="173"/>
      <c r="M212" s="173">
        <v>45392.0</v>
      </c>
      <c r="N212" s="177" t="s">
        <v>42</v>
      </c>
      <c r="O212" s="174"/>
      <c r="P212" s="173"/>
      <c r="Q212" s="173">
        <v>45392.0</v>
      </c>
      <c r="R212" s="125">
        <f t="shared" si="9"/>
        <v>45392</v>
      </c>
      <c r="S212" s="171" t="s">
        <v>119</v>
      </c>
      <c r="T212" s="174" t="s">
        <v>654</v>
      </c>
    </row>
    <row r="213" ht="58.5" hidden="1" customHeight="1">
      <c r="A213" s="172" t="s">
        <v>655</v>
      </c>
      <c r="B213" s="173">
        <v>45387.0</v>
      </c>
      <c r="C213" s="110">
        <f t="shared" si="10"/>
        <v>45387</v>
      </c>
      <c r="D213" s="174" t="s">
        <v>32</v>
      </c>
      <c r="E213" s="174" t="s">
        <v>33</v>
      </c>
      <c r="F213" s="174" t="s">
        <v>26</v>
      </c>
      <c r="G213" s="175" t="s">
        <v>656</v>
      </c>
      <c r="H213" s="145" t="s">
        <v>49</v>
      </c>
      <c r="I213" s="189" t="s">
        <v>36</v>
      </c>
      <c r="J213" s="189" t="s">
        <v>128</v>
      </c>
      <c r="K213" s="173">
        <v>45391.0</v>
      </c>
      <c r="L213" s="173"/>
      <c r="M213" s="173">
        <v>45426.0</v>
      </c>
      <c r="N213" s="190" t="s">
        <v>42</v>
      </c>
      <c r="O213" s="174"/>
      <c r="P213" s="173"/>
      <c r="Q213" s="173">
        <v>45510.0</v>
      </c>
      <c r="R213" s="125">
        <f t="shared" si="9"/>
        <v>45510</v>
      </c>
      <c r="S213" s="171" t="s">
        <v>119</v>
      </c>
      <c r="T213" s="174" t="s">
        <v>657</v>
      </c>
    </row>
    <row r="214" ht="58.5" hidden="1" customHeight="1">
      <c r="A214" s="172" t="s">
        <v>658</v>
      </c>
      <c r="B214" s="173">
        <v>45406.0</v>
      </c>
      <c r="C214" s="67">
        <f t="shared" si="10"/>
        <v>45406</v>
      </c>
      <c r="D214" s="174" t="s">
        <v>52</v>
      </c>
      <c r="E214" s="174"/>
      <c r="F214" s="174" t="s">
        <v>26</v>
      </c>
      <c r="G214" s="175" t="s">
        <v>659</v>
      </c>
      <c r="H214" s="174" t="s">
        <v>54</v>
      </c>
      <c r="I214" s="176" t="s">
        <v>36</v>
      </c>
      <c r="J214" s="176" t="s">
        <v>41</v>
      </c>
      <c r="K214" s="173">
        <v>45406.0</v>
      </c>
      <c r="L214" s="173">
        <v>45406.0</v>
      </c>
      <c r="M214" s="173">
        <v>45406.0</v>
      </c>
      <c r="N214" s="177" t="s">
        <v>42</v>
      </c>
      <c r="O214" s="174"/>
      <c r="P214" s="173"/>
      <c r="Q214" s="173">
        <v>45679.0</v>
      </c>
      <c r="R214" s="74">
        <f t="shared" si="9"/>
        <v>45679</v>
      </c>
      <c r="S214" s="178" t="s">
        <v>124</v>
      </c>
      <c r="T214" s="174" t="s">
        <v>660</v>
      </c>
    </row>
    <row r="215" ht="58.5" hidden="1" customHeight="1">
      <c r="A215" s="172" t="s">
        <v>661</v>
      </c>
      <c r="B215" s="173">
        <v>45398.0</v>
      </c>
      <c r="C215" s="67">
        <f t="shared" si="10"/>
        <v>45398</v>
      </c>
      <c r="D215" s="174" t="s">
        <v>52</v>
      </c>
      <c r="E215" s="174"/>
      <c r="F215" s="174" t="s">
        <v>26</v>
      </c>
      <c r="G215" s="175" t="s">
        <v>662</v>
      </c>
      <c r="H215" s="174" t="s">
        <v>54</v>
      </c>
      <c r="I215" s="191" t="s">
        <v>29</v>
      </c>
      <c r="J215" s="176" t="s">
        <v>41</v>
      </c>
      <c r="K215" s="173">
        <v>45569.0</v>
      </c>
      <c r="L215" s="173"/>
      <c r="M215" s="173">
        <v>45569.0</v>
      </c>
      <c r="N215" s="177" t="s">
        <v>42</v>
      </c>
      <c r="O215" s="174"/>
      <c r="P215" s="173"/>
      <c r="Q215" s="173">
        <v>45569.0</v>
      </c>
      <c r="R215" s="74">
        <f t="shared" si="9"/>
        <v>45569</v>
      </c>
      <c r="S215" s="178" t="s">
        <v>124</v>
      </c>
      <c r="T215" s="174" t="s">
        <v>663</v>
      </c>
    </row>
    <row r="216" ht="58.5" hidden="1" customHeight="1">
      <c r="A216" s="172" t="s">
        <v>664</v>
      </c>
      <c r="B216" s="144">
        <v>45387.0</v>
      </c>
      <c r="C216" s="110">
        <f t="shared" si="10"/>
        <v>45387</v>
      </c>
      <c r="D216" s="174" t="s">
        <v>52</v>
      </c>
      <c r="E216" s="174" t="s">
        <v>47</v>
      </c>
      <c r="F216" s="174" t="s">
        <v>26</v>
      </c>
      <c r="G216" s="175" t="s">
        <v>665</v>
      </c>
      <c r="H216" s="145" t="s">
        <v>54</v>
      </c>
      <c r="I216" s="176" t="s">
        <v>29</v>
      </c>
      <c r="J216" s="176" t="s">
        <v>41</v>
      </c>
      <c r="K216" s="144">
        <v>45387.0</v>
      </c>
      <c r="L216" s="144"/>
      <c r="M216" s="144">
        <v>45387.0</v>
      </c>
      <c r="N216" s="177" t="s">
        <v>42</v>
      </c>
      <c r="O216" s="174"/>
      <c r="P216" s="144"/>
      <c r="Q216" s="144">
        <v>45530.0</v>
      </c>
      <c r="R216" s="125">
        <f t="shared" si="9"/>
        <v>45530</v>
      </c>
      <c r="S216" s="171" t="s">
        <v>124</v>
      </c>
      <c r="T216" s="174" t="s">
        <v>666</v>
      </c>
    </row>
    <row r="217" ht="58.5" hidden="1" customHeight="1">
      <c r="A217" s="172" t="s">
        <v>667</v>
      </c>
      <c r="B217" s="144">
        <v>45383.0</v>
      </c>
      <c r="C217" s="110">
        <f t="shared" si="10"/>
        <v>45383</v>
      </c>
      <c r="D217" s="174" t="s">
        <v>81</v>
      </c>
      <c r="E217" s="174" t="s">
        <v>25</v>
      </c>
      <c r="F217" s="174" t="s">
        <v>26</v>
      </c>
      <c r="G217" s="175" t="s">
        <v>668</v>
      </c>
      <c r="H217" s="145" t="s">
        <v>35</v>
      </c>
      <c r="I217" s="176" t="s">
        <v>36</v>
      </c>
      <c r="J217" s="176" t="s">
        <v>255</v>
      </c>
      <c r="K217" s="173">
        <v>45573.0</v>
      </c>
      <c r="L217" s="173"/>
      <c r="M217" s="173">
        <v>45603.0</v>
      </c>
      <c r="N217" s="177" t="s">
        <v>42</v>
      </c>
      <c r="O217" s="174"/>
      <c r="P217" s="173"/>
      <c r="Q217" s="173">
        <v>45694.0</v>
      </c>
      <c r="R217" s="125">
        <f t="shared" si="9"/>
        <v>45694</v>
      </c>
      <c r="S217" s="171" t="s">
        <v>43</v>
      </c>
      <c r="T217" s="174" t="s">
        <v>669</v>
      </c>
    </row>
    <row r="218" ht="58.5" hidden="1" customHeight="1">
      <c r="A218" s="157" t="s">
        <v>670</v>
      </c>
      <c r="B218" s="158">
        <v>45366.0</v>
      </c>
      <c r="C218" s="101">
        <f t="shared" si="10"/>
        <v>45366</v>
      </c>
      <c r="D218" s="159" t="s">
        <v>419</v>
      </c>
      <c r="E218" s="159" t="s">
        <v>33</v>
      </c>
      <c r="F218" s="159" t="s">
        <v>26</v>
      </c>
      <c r="G218" s="160" t="s">
        <v>671</v>
      </c>
      <c r="H218" s="159" t="s">
        <v>28</v>
      </c>
      <c r="I218" s="161" t="s">
        <v>36</v>
      </c>
      <c r="J218" s="161" t="s">
        <v>152</v>
      </c>
      <c r="K218" s="158">
        <v>46063.0</v>
      </c>
      <c r="L218" s="158"/>
      <c r="M218" s="158"/>
      <c r="N218" s="162" t="s">
        <v>64</v>
      </c>
      <c r="O218" s="159"/>
      <c r="P218" s="158"/>
      <c r="Q218" s="158"/>
      <c r="R218" s="107" t="str">
        <f t="shared" si="9"/>
        <v/>
      </c>
      <c r="S218" s="158"/>
      <c r="T218" s="163" t="s">
        <v>525</v>
      </c>
    </row>
    <row r="219" ht="58.5" hidden="1" customHeight="1">
      <c r="A219" s="172" t="s">
        <v>672</v>
      </c>
      <c r="B219" s="144">
        <v>45353.0</v>
      </c>
      <c r="C219" s="110">
        <f t="shared" si="10"/>
        <v>45353</v>
      </c>
      <c r="D219" s="174" t="s">
        <v>147</v>
      </c>
      <c r="E219" s="174" t="s">
        <v>25</v>
      </c>
      <c r="F219" s="174" t="s">
        <v>26</v>
      </c>
      <c r="G219" s="175" t="s">
        <v>673</v>
      </c>
      <c r="H219" s="145" t="s">
        <v>28</v>
      </c>
      <c r="I219" s="176" t="s">
        <v>36</v>
      </c>
      <c r="J219" s="176" t="s">
        <v>75</v>
      </c>
      <c r="K219" s="144">
        <v>45353.0</v>
      </c>
      <c r="L219" s="173"/>
      <c r="M219" s="173"/>
      <c r="N219" s="177" t="s">
        <v>42</v>
      </c>
      <c r="O219" s="174"/>
      <c r="P219" s="173"/>
      <c r="Q219" s="192">
        <v>45362.0</v>
      </c>
      <c r="R219" s="125">
        <f t="shared" si="9"/>
        <v>45362</v>
      </c>
      <c r="S219" s="171" t="s">
        <v>43</v>
      </c>
      <c r="T219" s="174" t="s">
        <v>674</v>
      </c>
    </row>
    <row r="220" ht="58.5" hidden="1" customHeight="1">
      <c r="A220" s="172" t="s">
        <v>675</v>
      </c>
      <c r="B220" s="144">
        <v>45352.0</v>
      </c>
      <c r="C220" s="110">
        <f t="shared" si="10"/>
        <v>45352</v>
      </c>
      <c r="D220" s="174" t="s">
        <v>116</v>
      </c>
      <c r="E220" s="174" t="s">
        <v>25</v>
      </c>
      <c r="F220" s="174" t="s">
        <v>26</v>
      </c>
      <c r="G220" s="175" t="s">
        <v>676</v>
      </c>
      <c r="H220" s="145" t="s">
        <v>28</v>
      </c>
      <c r="I220" s="176" t="s">
        <v>61</v>
      </c>
      <c r="J220" s="176" t="s">
        <v>255</v>
      </c>
      <c r="K220" s="173">
        <v>45512.0</v>
      </c>
      <c r="L220" s="173"/>
      <c r="M220" s="173"/>
      <c r="N220" s="177" t="s">
        <v>343</v>
      </c>
      <c r="O220" s="174"/>
      <c r="P220" s="173"/>
      <c r="Q220" s="173"/>
      <c r="R220" s="125" t="str">
        <f t="shared" si="9"/>
        <v/>
      </c>
      <c r="S220" s="144"/>
      <c r="T220" s="174" t="s">
        <v>613</v>
      </c>
    </row>
    <row r="221" ht="58.5" hidden="1" customHeight="1">
      <c r="A221" s="174" t="s">
        <v>677</v>
      </c>
      <c r="B221" s="173">
        <v>45352.0</v>
      </c>
      <c r="C221" s="110">
        <f t="shared" si="10"/>
        <v>45352</v>
      </c>
      <c r="D221" s="174" t="s">
        <v>415</v>
      </c>
      <c r="E221" s="174" t="s">
        <v>47</v>
      </c>
      <c r="F221" s="174" t="s">
        <v>47</v>
      </c>
      <c r="G221" s="175" t="s">
        <v>678</v>
      </c>
      <c r="H221" s="145" t="s">
        <v>60</v>
      </c>
      <c r="I221" s="176" t="s">
        <v>29</v>
      </c>
      <c r="J221" s="176" t="s">
        <v>128</v>
      </c>
      <c r="K221" s="173">
        <v>45352.0</v>
      </c>
      <c r="L221" s="173"/>
      <c r="M221" s="173">
        <v>45352.0</v>
      </c>
      <c r="N221" s="177" t="s">
        <v>42</v>
      </c>
      <c r="O221" s="174"/>
      <c r="P221" s="173"/>
      <c r="Q221" s="173">
        <v>45468.0</v>
      </c>
      <c r="R221" s="125">
        <f t="shared" si="9"/>
        <v>45468</v>
      </c>
      <c r="S221" s="171" t="s">
        <v>679</v>
      </c>
      <c r="T221" s="174" t="s">
        <v>680</v>
      </c>
    </row>
    <row r="222" ht="58.5" hidden="1" customHeight="1">
      <c r="A222" s="172" t="s">
        <v>681</v>
      </c>
      <c r="B222" s="173">
        <v>45338.0</v>
      </c>
      <c r="C222" s="110">
        <f t="shared" si="10"/>
        <v>45338</v>
      </c>
      <c r="D222" s="174" t="s">
        <v>682</v>
      </c>
      <c r="E222" s="174" t="s">
        <v>25</v>
      </c>
      <c r="F222" s="174" t="s">
        <v>26</v>
      </c>
      <c r="G222" s="175" t="s">
        <v>683</v>
      </c>
      <c r="H222" s="145" t="s">
        <v>186</v>
      </c>
      <c r="I222" s="189" t="s">
        <v>36</v>
      </c>
      <c r="J222" s="189" t="s">
        <v>41</v>
      </c>
      <c r="K222" s="173">
        <v>45338.0</v>
      </c>
      <c r="L222" s="173"/>
      <c r="M222" s="173"/>
      <c r="N222" s="190" t="s">
        <v>64</v>
      </c>
      <c r="O222" s="174"/>
      <c r="P222" s="173"/>
      <c r="Q222" s="173"/>
      <c r="R222" s="125" t="str">
        <f t="shared" si="9"/>
        <v/>
      </c>
      <c r="S222" s="144"/>
      <c r="T222" s="174"/>
    </row>
    <row r="223" ht="58.5" hidden="1" customHeight="1">
      <c r="A223" s="149" t="s">
        <v>684</v>
      </c>
      <c r="B223" s="150">
        <v>45338.0</v>
      </c>
      <c r="C223" s="116">
        <f t="shared" si="10"/>
        <v>45338</v>
      </c>
      <c r="D223" s="151" t="s">
        <v>685</v>
      </c>
      <c r="E223" s="151" t="s">
        <v>33</v>
      </c>
      <c r="F223" s="151" t="s">
        <v>26</v>
      </c>
      <c r="G223" s="152" t="s">
        <v>686</v>
      </c>
      <c r="H223" s="151" t="s">
        <v>28</v>
      </c>
      <c r="I223" s="193" t="s">
        <v>36</v>
      </c>
      <c r="J223" s="193"/>
      <c r="K223" s="150"/>
      <c r="L223" s="150"/>
      <c r="M223" s="150"/>
      <c r="N223" s="194" t="s">
        <v>30</v>
      </c>
      <c r="O223" s="151"/>
      <c r="P223" s="150"/>
      <c r="Q223" s="150"/>
      <c r="R223" s="122" t="str">
        <f t="shared" si="9"/>
        <v/>
      </c>
      <c r="S223" s="150"/>
      <c r="T223" s="151" t="s">
        <v>687</v>
      </c>
    </row>
    <row r="224" ht="58.5" hidden="1" customHeight="1">
      <c r="A224" s="172" t="s">
        <v>688</v>
      </c>
      <c r="B224" s="173">
        <v>45338.0</v>
      </c>
      <c r="C224" s="110">
        <f t="shared" si="10"/>
        <v>45338</v>
      </c>
      <c r="D224" s="174" t="s">
        <v>689</v>
      </c>
      <c r="E224" s="174" t="s">
        <v>25</v>
      </c>
      <c r="F224" s="174" t="s">
        <v>26</v>
      </c>
      <c r="G224" s="175" t="s">
        <v>690</v>
      </c>
      <c r="H224" s="145" t="s">
        <v>28</v>
      </c>
      <c r="I224" s="189" t="s">
        <v>61</v>
      </c>
      <c r="J224" s="189" t="s">
        <v>41</v>
      </c>
      <c r="K224" s="173"/>
      <c r="L224" s="173"/>
      <c r="M224" s="173"/>
      <c r="N224" s="190" t="s">
        <v>118</v>
      </c>
      <c r="O224" s="174"/>
      <c r="P224" s="173"/>
      <c r="Q224" s="195">
        <v>45992.0</v>
      </c>
      <c r="R224" s="125">
        <f t="shared" si="9"/>
        <v>45992</v>
      </c>
      <c r="S224" s="171" t="s">
        <v>119</v>
      </c>
      <c r="T224" s="174" t="s">
        <v>691</v>
      </c>
    </row>
    <row r="225" ht="58.5" hidden="1" customHeight="1">
      <c r="A225" s="172" t="s">
        <v>692</v>
      </c>
      <c r="B225" s="173">
        <v>45338.0</v>
      </c>
      <c r="C225" s="110">
        <f t="shared" si="10"/>
        <v>45338</v>
      </c>
      <c r="D225" s="174" t="s">
        <v>213</v>
      </c>
      <c r="E225" s="174" t="s">
        <v>25</v>
      </c>
      <c r="F225" s="174" t="s">
        <v>26</v>
      </c>
      <c r="G225" s="175" t="s">
        <v>693</v>
      </c>
      <c r="H225" s="145" t="s">
        <v>186</v>
      </c>
      <c r="I225" s="189" t="s">
        <v>61</v>
      </c>
      <c r="J225" s="189" t="s">
        <v>41</v>
      </c>
      <c r="K225" s="173">
        <v>45338.0</v>
      </c>
      <c r="L225" s="173"/>
      <c r="M225" s="173"/>
      <c r="N225" s="190" t="s">
        <v>42</v>
      </c>
      <c r="O225" s="174"/>
      <c r="P225" s="173"/>
      <c r="Q225" s="173">
        <v>46055.0</v>
      </c>
      <c r="R225" s="125">
        <f t="shared" si="9"/>
        <v>46055</v>
      </c>
      <c r="S225" s="171" t="s">
        <v>119</v>
      </c>
      <c r="T225" s="174" t="s">
        <v>477</v>
      </c>
    </row>
    <row r="226" ht="58.5" hidden="1" customHeight="1">
      <c r="A226" s="172" t="s">
        <v>694</v>
      </c>
      <c r="B226" s="173">
        <v>45338.0</v>
      </c>
      <c r="C226" s="110">
        <f t="shared" si="10"/>
        <v>45338</v>
      </c>
      <c r="D226" s="174" t="s">
        <v>161</v>
      </c>
      <c r="E226" s="174" t="s">
        <v>25</v>
      </c>
      <c r="F226" s="174" t="s">
        <v>26</v>
      </c>
      <c r="G226" s="175" t="s">
        <v>695</v>
      </c>
      <c r="H226" s="145" t="s">
        <v>28</v>
      </c>
      <c r="I226" s="189" t="s">
        <v>36</v>
      </c>
      <c r="J226" s="189" t="s">
        <v>128</v>
      </c>
      <c r="K226" s="173">
        <v>45341.0</v>
      </c>
      <c r="L226" s="173"/>
      <c r="M226" s="173">
        <v>45341.0</v>
      </c>
      <c r="N226" s="190" t="s">
        <v>42</v>
      </c>
      <c r="O226" s="174"/>
      <c r="P226" s="173"/>
      <c r="Q226" s="173">
        <v>45565.0</v>
      </c>
      <c r="R226" s="125">
        <f t="shared" si="9"/>
        <v>45565</v>
      </c>
      <c r="S226" s="171" t="s">
        <v>43</v>
      </c>
      <c r="T226" s="174" t="s">
        <v>696</v>
      </c>
    </row>
    <row r="227" ht="58.5" hidden="1" customHeight="1">
      <c r="A227" s="172" t="s">
        <v>697</v>
      </c>
      <c r="B227" s="173">
        <v>45337.0</v>
      </c>
      <c r="C227" s="110">
        <f t="shared" si="10"/>
        <v>45337</v>
      </c>
      <c r="D227" s="174" t="s">
        <v>147</v>
      </c>
      <c r="E227" s="174" t="s">
        <v>25</v>
      </c>
      <c r="F227" s="174" t="s">
        <v>26</v>
      </c>
      <c r="G227" s="175" t="s">
        <v>698</v>
      </c>
      <c r="H227" s="145" t="s">
        <v>472</v>
      </c>
      <c r="I227" s="196" t="s">
        <v>61</v>
      </c>
      <c r="J227" s="196" t="s">
        <v>255</v>
      </c>
      <c r="K227" s="173">
        <v>45573.0</v>
      </c>
      <c r="L227" s="173"/>
      <c r="M227" s="173"/>
      <c r="N227" s="197" t="s">
        <v>42</v>
      </c>
      <c r="O227" s="174"/>
      <c r="P227" s="173"/>
      <c r="Q227" s="173">
        <v>45623.0</v>
      </c>
      <c r="R227" s="125">
        <f t="shared" si="9"/>
        <v>45623</v>
      </c>
      <c r="S227" s="171" t="s">
        <v>119</v>
      </c>
      <c r="T227" s="174" t="s">
        <v>699</v>
      </c>
    </row>
    <row r="228" ht="58.5" hidden="1" customHeight="1">
      <c r="A228" s="172" t="s">
        <v>700</v>
      </c>
      <c r="B228" s="173">
        <v>45337.0</v>
      </c>
      <c r="C228" s="110">
        <f t="shared" si="10"/>
        <v>45337</v>
      </c>
      <c r="D228" s="174" t="s">
        <v>24</v>
      </c>
      <c r="E228" s="174" t="s">
        <v>25</v>
      </c>
      <c r="F228" s="174" t="s">
        <v>26</v>
      </c>
      <c r="G228" s="175" t="s">
        <v>701</v>
      </c>
      <c r="H228" s="145" t="s">
        <v>60</v>
      </c>
      <c r="I228" s="196" t="s">
        <v>61</v>
      </c>
      <c r="J228" s="196" t="s">
        <v>128</v>
      </c>
      <c r="K228" s="173">
        <v>45338.0</v>
      </c>
      <c r="L228" s="173"/>
      <c r="M228" s="173">
        <v>45338.0</v>
      </c>
      <c r="N228" s="197" t="s">
        <v>42</v>
      </c>
      <c r="O228" s="174"/>
      <c r="P228" s="173"/>
      <c r="Q228" s="173">
        <v>45545.0</v>
      </c>
      <c r="R228" s="125">
        <f t="shared" si="9"/>
        <v>45545</v>
      </c>
      <c r="S228" s="171" t="s">
        <v>43</v>
      </c>
      <c r="T228" s="174" t="s">
        <v>702</v>
      </c>
    </row>
    <row r="229" ht="70.5" hidden="1" customHeight="1">
      <c r="A229" s="172" t="s">
        <v>703</v>
      </c>
      <c r="B229" s="173">
        <v>45328.0</v>
      </c>
      <c r="C229" s="110">
        <f t="shared" si="10"/>
        <v>45328</v>
      </c>
      <c r="D229" s="174" t="s">
        <v>154</v>
      </c>
      <c r="E229" s="174" t="s">
        <v>25</v>
      </c>
      <c r="F229" s="174" t="s">
        <v>26</v>
      </c>
      <c r="G229" s="175" t="s">
        <v>704</v>
      </c>
      <c r="H229" s="145" t="s">
        <v>186</v>
      </c>
      <c r="I229" s="196" t="s">
        <v>29</v>
      </c>
      <c r="J229" s="196" t="s">
        <v>41</v>
      </c>
      <c r="K229" s="173">
        <v>45328.0</v>
      </c>
      <c r="L229" s="173"/>
      <c r="M229" s="173">
        <v>45328.0</v>
      </c>
      <c r="N229" s="197" t="s">
        <v>42</v>
      </c>
      <c r="O229" s="174"/>
      <c r="P229" s="173"/>
      <c r="Q229" s="173">
        <v>45391.0</v>
      </c>
      <c r="R229" s="125">
        <f t="shared" si="9"/>
        <v>45391</v>
      </c>
      <c r="S229" s="171" t="s">
        <v>124</v>
      </c>
      <c r="T229" s="174" t="s">
        <v>705</v>
      </c>
    </row>
    <row r="230" ht="58.5" hidden="1" customHeight="1">
      <c r="A230" s="172" t="s">
        <v>706</v>
      </c>
      <c r="B230" s="173">
        <v>45322.0</v>
      </c>
      <c r="C230" s="110">
        <f t="shared" si="10"/>
        <v>45322</v>
      </c>
      <c r="D230" s="174" t="s">
        <v>147</v>
      </c>
      <c r="E230" s="174" t="s">
        <v>25</v>
      </c>
      <c r="F230" s="174" t="s">
        <v>26</v>
      </c>
      <c r="G230" s="175" t="s">
        <v>707</v>
      </c>
      <c r="H230" s="145" t="s">
        <v>28</v>
      </c>
      <c r="I230" s="198" t="s">
        <v>36</v>
      </c>
      <c r="J230" s="196" t="s">
        <v>75</v>
      </c>
      <c r="K230" s="173">
        <v>44959.0</v>
      </c>
      <c r="L230" s="199"/>
      <c r="M230" s="199"/>
      <c r="N230" s="200" t="s">
        <v>42</v>
      </c>
      <c r="O230" s="201">
        <v>54.73</v>
      </c>
      <c r="P230" s="199"/>
      <c r="Q230" s="199">
        <v>45825.0</v>
      </c>
      <c r="R230" s="125">
        <f t="shared" si="9"/>
        <v>45825</v>
      </c>
      <c r="S230" s="144"/>
      <c r="T230" s="174" t="s">
        <v>708</v>
      </c>
    </row>
    <row r="231" ht="58.5" hidden="1" customHeight="1">
      <c r="A231" s="172" t="s">
        <v>709</v>
      </c>
      <c r="B231" s="173">
        <v>45313.0</v>
      </c>
      <c r="C231" s="110">
        <f t="shared" si="10"/>
        <v>45313</v>
      </c>
      <c r="D231" s="174" t="s">
        <v>154</v>
      </c>
      <c r="E231" s="174" t="s">
        <v>25</v>
      </c>
      <c r="F231" s="174" t="s">
        <v>26</v>
      </c>
      <c r="G231" s="175" t="s">
        <v>710</v>
      </c>
      <c r="H231" s="145" t="s">
        <v>186</v>
      </c>
      <c r="I231" s="176" t="s">
        <v>36</v>
      </c>
      <c r="J231" s="176" t="s">
        <v>41</v>
      </c>
      <c r="K231" s="173">
        <v>45313.0</v>
      </c>
      <c r="L231" s="173"/>
      <c r="M231" s="173">
        <v>45399.0</v>
      </c>
      <c r="N231" s="177" t="s">
        <v>42</v>
      </c>
      <c r="O231" s="174"/>
      <c r="P231" s="173"/>
      <c r="Q231" s="173">
        <v>45504.0</v>
      </c>
      <c r="R231" s="125">
        <f t="shared" si="9"/>
        <v>45504</v>
      </c>
      <c r="S231" s="171" t="s">
        <v>119</v>
      </c>
      <c r="T231" s="174" t="s">
        <v>711</v>
      </c>
    </row>
    <row r="232" ht="58.5" hidden="1" customHeight="1">
      <c r="A232" s="172" t="s">
        <v>712</v>
      </c>
      <c r="B232" s="173">
        <v>45294.0</v>
      </c>
      <c r="C232" s="110">
        <f t="shared" si="10"/>
        <v>45294</v>
      </c>
      <c r="D232" s="174" t="s">
        <v>213</v>
      </c>
      <c r="E232" s="174" t="s">
        <v>25</v>
      </c>
      <c r="F232" s="174" t="s">
        <v>26</v>
      </c>
      <c r="G232" s="175" t="s">
        <v>713</v>
      </c>
      <c r="H232" s="145" t="s">
        <v>60</v>
      </c>
      <c r="I232" s="176" t="s">
        <v>61</v>
      </c>
      <c r="J232" s="176" t="s">
        <v>128</v>
      </c>
      <c r="K232" s="173">
        <v>45679.0</v>
      </c>
      <c r="L232" s="173">
        <v>45679.0</v>
      </c>
      <c r="M232" s="173">
        <v>45679.0</v>
      </c>
      <c r="N232" s="177" t="s">
        <v>42</v>
      </c>
      <c r="O232" s="202">
        <v>1770.6</v>
      </c>
      <c r="P232" s="173"/>
      <c r="Q232" s="173">
        <v>45699.0</v>
      </c>
      <c r="R232" s="125">
        <f t="shared" si="9"/>
        <v>45699</v>
      </c>
      <c r="S232" s="171" t="s">
        <v>119</v>
      </c>
      <c r="T232" s="174" t="s">
        <v>714</v>
      </c>
    </row>
    <row r="233" ht="58.5" customHeight="1">
      <c r="A233" s="172" t="s">
        <v>715</v>
      </c>
      <c r="B233" s="173">
        <v>45282.0</v>
      </c>
      <c r="C233" s="110">
        <f t="shared" si="10"/>
        <v>45282</v>
      </c>
      <c r="D233" s="174" t="s">
        <v>716</v>
      </c>
      <c r="E233" s="174" t="s">
        <v>33</v>
      </c>
      <c r="F233" s="174" t="s">
        <v>26</v>
      </c>
      <c r="G233" s="175" t="s">
        <v>717</v>
      </c>
      <c r="H233" s="145" t="s">
        <v>54</v>
      </c>
      <c r="I233" s="176" t="s">
        <v>29</v>
      </c>
      <c r="J233" s="176" t="s">
        <v>110</v>
      </c>
      <c r="K233" s="173"/>
      <c r="L233" s="173"/>
      <c r="M233" s="173"/>
      <c r="N233" s="177" t="s">
        <v>42</v>
      </c>
      <c r="O233" s="174"/>
      <c r="P233" s="173"/>
      <c r="Q233" s="173">
        <v>45523.0</v>
      </c>
      <c r="R233" s="125">
        <f t="shared" si="9"/>
        <v>45523</v>
      </c>
      <c r="S233" s="171" t="s">
        <v>119</v>
      </c>
      <c r="T233" s="174" t="s">
        <v>718</v>
      </c>
    </row>
    <row r="234" ht="58.5" hidden="1" customHeight="1">
      <c r="A234" s="203" t="s">
        <v>719</v>
      </c>
      <c r="B234" s="204">
        <v>45265.0</v>
      </c>
      <c r="C234" s="110">
        <f t="shared" si="10"/>
        <v>45265</v>
      </c>
      <c r="D234" s="205" t="s">
        <v>133</v>
      </c>
      <c r="E234" s="205" t="s">
        <v>33</v>
      </c>
      <c r="F234" s="174" t="s">
        <v>26</v>
      </c>
      <c r="G234" s="206" t="s">
        <v>720</v>
      </c>
      <c r="H234" s="145" t="s">
        <v>40</v>
      </c>
      <c r="I234" s="207" t="s">
        <v>36</v>
      </c>
      <c r="J234" s="207" t="s">
        <v>255</v>
      </c>
      <c r="K234" s="204"/>
      <c r="L234" s="204"/>
      <c r="M234" s="204"/>
      <c r="N234" s="208" t="s">
        <v>210</v>
      </c>
      <c r="O234" s="205"/>
      <c r="P234" s="204"/>
      <c r="Q234" s="204"/>
      <c r="R234" s="125" t="str">
        <f t="shared" si="9"/>
        <v/>
      </c>
      <c r="S234" s="171" t="s">
        <v>43</v>
      </c>
      <c r="T234" s="201" t="s">
        <v>721</v>
      </c>
    </row>
    <row r="235" ht="58.5" hidden="1" customHeight="1">
      <c r="A235" s="209" t="s">
        <v>722</v>
      </c>
      <c r="B235" s="210">
        <v>45265.0</v>
      </c>
      <c r="C235" s="101">
        <f t="shared" si="10"/>
        <v>45265</v>
      </c>
      <c r="D235" s="163" t="s">
        <v>723</v>
      </c>
      <c r="E235" s="163" t="s">
        <v>25</v>
      </c>
      <c r="F235" s="159" t="s">
        <v>26</v>
      </c>
      <c r="G235" s="211" t="s">
        <v>724</v>
      </c>
      <c r="H235" s="159" t="s">
        <v>28</v>
      </c>
      <c r="I235" s="212" t="s">
        <v>61</v>
      </c>
      <c r="J235" s="212" t="s">
        <v>152</v>
      </c>
      <c r="K235" s="210">
        <v>46063.0</v>
      </c>
      <c r="L235" s="210"/>
      <c r="M235" s="210"/>
      <c r="N235" s="213" t="s">
        <v>64</v>
      </c>
      <c r="O235" s="163"/>
      <c r="P235" s="210"/>
      <c r="Q235" s="210"/>
      <c r="R235" s="107" t="str">
        <f t="shared" si="9"/>
        <v/>
      </c>
      <c r="S235" s="158"/>
      <c r="T235" s="163" t="s">
        <v>525</v>
      </c>
    </row>
    <row r="236" ht="58.5" hidden="1" customHeight="1">
      <c r="A236" s="179" t="s">
        <v>725</v>
      </c>
      <c r="B236" s="180">
        <v>45254.0</v>
      </c>
      <c r="C236" s="214">
        <f t="shared" si="10"/>
        <v>45254</v>
      </c>
      <c r="D236" s="181" t="s">
        <v>726</v>
      </c>
      <c r="E236" s="181" t="s">
        <v>33</v>
      </c>
      <c r="F236" s="174" t="s">
        <v>26</v>
      </c>
      <c r="G236" s="182" t="s">
        <v>727</v>
      </c>
      <c r="H236" s="145" t="s">
        <v>60</v>
      </c>
      <c r="I236" s="215" t="s">
        <v>61</v>
      </c>
      <c r="J236" s="215"/>
      <c r="K236" s="180"/>
      <c r="L236" s="180"/>
      <c r="M236" s="180"/>
      <c r="N236" s="216" t="s">
        <v>30</v>
      </c>
      <c r="O236" s="181"/>
      <c r="P236" s="180"/>
      <c r="Q236" s="180"/>
      <c r="R236" s="214" t="str">
        <f t="shared" si="9"/>
        <v/>
      </c>
      <c r="S236" s="144"/>
      <c r="T236" s="185" t="s">
        <v>599</v>
      </c>
    </row>
    <row r="237" ht="58.5" hidden="1" customHeight="1">
      <c r="A237" s="203" t="s">
        <v>728</v>
      </c>
      <c r="B237" s="204">
        <v>45254.0</v>
      </c>
      <c r="C237" s="110">
        <f t="shared" si="10"/>
        <v>45254</v>
      </c>
      <c r="D237" s="205" t="s">
        <v>32</v>
      </c>
      <c r="E237" s="205" t="s">
        <v>33</v>
      </c>
      <c r="F237" s="174" t="s">
        <v>26</v>
      </c>
      <c r="G237" s="206" t="s">
        <v>729</v>
      </c>
      <c r="H237" s="145" t="s">
        <v>28</v>
      </c>
      <c r="I237" s="207" t="s">
        <v>61</v>
      </c>
      <c r="J237" s="207"/>
      <c r="K237" s="204"/>
      <c r="L237" s="204"/>
      <c r="M237" s="204"/>
      <c r="N237" s="208" t="s">
        <v>30</v>
      </c>
      <c r="O237" s="205"/>
      <c r="P237" s="204"/>
      <c r="Q237" s="204"/>
      <c r="R237" s="125" t="str">
        <f t="shared" si="9"/>
        <v/>
      </c>
      <c r="S237" s="144"/>
      <c r="T237" s="205"/>
    </row>
    <row r="238" ht="58.5" customHeight="1">
      <c r="A238" s="217" t="s">
        <v>730</v>
      </c>
      <c r="B238" s="218">
        <v>45253.0</v>
      </c>
      <c r="C238" s="110">
        <f t="shared" si="10"/>
        <v>45253</v>
      </c>
      <c r="D238" s="219" t="s">
        <v>327</v>
      </c>
      <c r="E238" s="219" t="s">
        <v>25</v>
      </c>
      <c r="F238" s="145" t="s">
        <v>26</v>
      </c>
      <c r="G238" s="220" t="s">
        <v>731</v>
      </c>
      <c r="H238" s="145" t="s">
        <v>28</v>
      </c>
      <c r="I238" s="221" t="s">
        <v>61</v>
      </c>
      <c r="J238" s="221" t="s">
        <v>110</v>
      </c>
      <c r="K238" s="218">
        <v>45253.0</v>
      </c>
      <c r="L238" s="218"/>
      <c r="M238" s="218"/>
      <c r="N238" s="222" t="s">
        <v>42</v>
      </c>
      <c r="O238" s="219"/>
      <c r="P238" s="218"/>
      <c r="Q238" s="218">
        <v>45254.0</v>
      </c>
      <c r="R238" s="125">
        <f t="shared" si="9"/>
        <v>45254</v>
      </c>
      <c r="S238" s="171" t="s">
        <v>43</v>
      </c>
      <c r="T238" s="201" t="s">
        <v>732</v>
      </c>
    </row>
    <row r="239" ht="58.5" hidden="1" customHeight="1">
      <c r="A239" s="217" t="s">
        <v>733</v>
      </c>
      <c r="B239" s="218">
        <v>45250.0</v>
      </c>
      <c r="C239" s="110">
        <f t="shared" si="10"/>
        <v>45250</v>
      </c>
      <c r="D239" s="219" t="s">
        <v>246</v>
      </c>
      <c r="E239" s="219" t="s">
        <v>33</v>
      </c>
      <c r="F239" s="145" t="s">
        <v>26</v>
      </c>
      <c r="G239" s="220" t="s">
        <v>734</v>
      </c>
      <c r="H239" s="145" t="s">
        <v>28</v>
      </c>
      <c r="I239" s="221" t="s">
        <v>29</v>
      </c>
      <c r="J239" s="221" t="s">
        <v>128</v>
      </c>
      <c r="K239" s="218">
        <v>45250.0</v>
      </c>
      <c r="L239" s="218"/>
      <c r="M239" s="218"/>
      <c r="N239" s="222" t="s">
        <v>42</v>
      </c>
      <c r="O239" s="219"/>
      <c r="P239" s="218"/>
      <c r="Q239" s="218">
        <v>45293.0</v>
      </c>
      <c r="R239" s="125">
        <f t="shared" si="9"/>
        <v>45293</v>
      </c>
      <c r="S239" s="171" t="s">
        <v>227</v>
      </c>
      <c r="T239" s="201" t="s">
        <v>735</v>
      </c>
    </row>
    <row r="240" ht="58.5" hidden="1" customHeight="1">
      <c r="A240" s="223" t="s">
        <v>736</v>
      </c>
      <c r="B240" s="224">
        <v>45250.0</v>
      </c>
      <c r="C240" s="116">
        <f t="shared" si="10"/>
        <v>45250</v>
      </c>
      <c r="D240" s="225" t="s">
        <v>246</v>
      </c>
      <c r="E240" s="225" t="s">
        <v>33</v>
      </c>
      <c r="F240" s="151" t="s">
        <v>26</v>
      </c>
      <c r="G240" s="226" t="s">
        <v>737</v>
      </c>
      <c r="H240" s="151" t="s">
        <v>28</v>
      </c>
      <c r="I240" s="227" t="s">
        <v>29</v>
      </c>
      <c r="J240" s="227" t="s">
        <v>128</v>
      </c>
      <c r="K240" s="224">
        <v>45250.0</v>
      </c>
      <c r="L240" s="224"/>
      <c r="M240" s="224">
        <v>45250.0</v>
      </c>
      <c r="N240" s="228" t="s">
        <v>42</v>
      </c>
      <c r="O240" s="225"/>
      <c r="P240" s="224"/>
      <c r="Q240" s="224">
        <v>45509.0</v>
      </c>
      <c r="R240" s="122">
        <f t="shared" si="9"/>
        <v>45509</v>
      </c>
      <c r="S240" s="156" t="s">
        <v>119</v>
      </c>
      <c r="T240" s="225" t="s">
        <v>738</v>
      </c>
    </row>
    <row r="241" ht="58.5" customHeight="1">
      <c r="A241" s="217" t="s">
        <v>739</v>
      </c>
      <c r="B241" s="218">
        <v>45244.0</v>
      </c>
      <c r="C241" s="110">
        <f t="shared" si="10"/>
        <v>45244</v>
      </c>
      <c r="D241" s="219" t="s">
        <v>213</v>
      </c>
      <c r="E241" s="219" t="s">
        <v>25</v>
      </c>
      <c r="F241" s="174" t="s">
        <v>26</v>
      </c>
      <c r="G241" s="220" t="s">
        <v>740</v>
      </c>
      <c r="H241" s="145" t="s">
        <v>186</v>
      </c>
      <c r="I241" s="229" t="s">
        <v>36</v>
      </c>
      <c r="J241" s="229" t="s">
        <v>110</v>
      </c>
      <c r="K241" s="218">
        <v>45246.0</v>
      </c>
      <c r="L241" s="218"/>
      <c r="M241" s="218"/>
      <c r="N241" s="230" t="s">
        <v>42</v>
      </c>
      <c r="O241" s="219"/>
      <c r="P241" s="218"/>
      <c r="Q241" s="218">
        <v>45253.0</v>
      </c>
      <c r="R241" s="125">
        <f t="shared" si="9"/>
        <v>45253</v>
      </c>
      <c r="S241" s="171" t="s">
        <v>227</v>
      </c>
      <c r="T241" s="219" t="s">
        <v>741</v>
      </c>
    </row>
    <row r="242" ht="58.5" hidden="1" customHeight="1">
      <c r="A242" s="217" t="s">
        <v>742</v>
      </c>
      <c r="B242" s="218">
        <v>45241.0</v>
      </c>
      <c r="C242" s="110">
        <f t="shared" si="10"/>
        <v>45241</v>
      </c>
      <c r="D242" s="219" t="s">
        <v>161</v>
      </c>
      <c r="E242" s="219" t="s">
        <v>310</v>
      </c>
      <c r="F242" s="174" t="s">
        <v>26</v>
      </c>
      <c r="G242" s="220" t="s">
        <v>743</v>
      </c>
      <c r="H242" s="145" t="s">
        <v>60</v>
      </c>
      <c r="I242" s="229" t="s">
        <v>29</v>
      </c>
      <c r="J242" s="229" t="s">
        <v>152</v>
      </c>
      <c r="K242" s="218">
        <v>45391.0</v>
      </c>
      <c r="L242" s="218"/>
      <c r="M242" s="218">
        <v>45391.0</v>
      </c>
      <c r="N242" s="230" t="s">
        <v>42</v>
      </c>
      <c r="O242" s="219"/>
      <c r="P242" s="218"/>
      <c r="Q242" s="218">
        <v>45506.0</v>
      </c>
      <c r="R242" s="125">
        <f t="shared" si="9"/>
        <v>45506</v>
      </c>
      <c r="S242" s="171" t="s">
        <v>679</v>
      </c>
      <c r="T242" s="219" t="s">
        <v>744</v>
      </c>
    </row>
    <row r="243" ht="58.5" customHeight="1">
      <c r="A243" s="231" t="s">
        <v>76</v>
      </c>
      <c r="B243" s="199">
        <v>45240.0</v>
      </c>
      <c r="C243" s="110">
        <f t="shared" si="10"/>
        <v>45240</v>
      </c>
      <c r="D243" s="201" t="s">
        <v>745</v>
      </c>
      <c r="E243" s="201" t="s">
        <v>25</v>
      </c>
      <c r="F243" s="174" t="s">
        <v>26</v>
      </c>
      <c r="G243" s="232" t="s">
        <v>746</v>
      </c>
      <c r="H243" s="174" t="s">
        <v>186</v>
      </c>
      <c r="I243" s="198" t="s">
        <v>36</v>
      </c>
      <c r="J243" s="198" t="s">
        <v>110</v>
      </c>
      <c r="K243" s="199">
        <v>45240.0</v>
      </c>
      <c r="L243" s="199"/>
      <c r="M243" s="199"/>
      <c r="N243" s="200" t="s">
        <v>42</v>
      </c>
      <c r="O243" s="201"/>
      <c r="P243" s="199"/>
      <c r="Q243" s="199">
        <v>45240.0</v>
      </c>
      <c r="R243" s="125">
        <f t="shared" si="9"/>
        <v>45240</v>
      </c>
      <c r="S243" s="178" t="s">
        <v>119</v>
      </c>
      <c r="T243" s="201" t="s">
        <v>747</v>
      </c>
    </row>
    <row r="244" ht="58.5" customHeight="1">
      <c r="A244" s="233" t="s">
        <v>748</v>
      </c>
      <c r="B244" s="199">
        <v>45239.0</v>
      </c>
      <c r="C244" s="110">
        <f t="shared" si="10"/>
        <v>45239</v>
      </c>
      <c r="D244" s="201" t="s">
        <v>327</v>
      </c>
      <c r="E244" s="201" t="s">
        <v>25</v>
      </c>
      <c r="F244" s="174" t="s">
        <v>26</v>
      </c>
      <c r="G244" s="232" t="s">
        <v>749</v>
      </c>
      <c r="H244" s="174" t="s">
        <v>49</v>
      </c>
      <c r="I244" s="198" t="s">
        <v>36</v>
      </c>
      <c r="J244" s="198" t="s">
        <v>110</v>
      </c>
      <c r="K244" s="199">
        <v>44942.0</v>
      </c>
      <c r="L244" s="199"/>
      <c r="M244" s="199"/>
      <c r="N244" s="200" t="s">
        <v>42</v>
      </c>
      <c r="O244" s="201"/>
      <c r="P244" s="199"/>
      <c r="Q244" s="199">
        <v>45253.0</v>
      </c>
      <c r="R244" s="125">
        <f t="shared" si="9"/>
        <v>45253</v>
      </c>
      <c r="S244" s="178" t="s">
        <v>43</v>
      </c>
      <c r="T244" s="201" t="s">
        <v>750</v>
      </c>
    </row>
    <row r="245" ht="58.5" customHeight="1">
      <c r="A245" s="164" t="s">
        <v>751</v>
      </c>
      <c r="B245" s="165">
        <v>45230.0</v>
      </c>
      <c r="C245" s="79">
        <f t="shared" si="10"/>
        <v>45230</v>
      </c>
      <c r="D245" s="166" t="s">
        <v>91</v>
      </c>
      <c r="E245" s="166" t="s">
        <v>25</v>
      </c>
      <c r="F245" s="166" t="s">
        <v>26</v>
      </c>
      <c r="G245" s="167" t="s">
        <v>752</v>
      </c>
      <c r="H245" s="166" t="s">
        <v>60</v>
      </c>
      <c r="I245" s="234" t="s">
        <v>29</v>
      </c>
      <c r="J245" s="234" t="s">
        <v>110</v>
      </c>
      <c r="K245" s="165">
        <v>45265.0</v>
      </c>
      <c r="L245" s="165">
        <v>45323.0</v>
      </c>
      <c r="M245" s="165">
        <v>45323.0</v>
      </c>
      <c r="N245" s="235" t="s">
        <v>42</v>
      </c>
      <c r="O245" s="166">
        <v>700.25</v>
      </c>
      <c r="P245" s="165">
        <v>45915.0</v>
      </c>
      <c r="Q245" s="165">
        <v>46139.0</v>
      </c>
      <c r="R245" s="85">
        <f t="shared" si="9"/>
        <v>46139</v>
      </c>
      <c r="S245" s="170" t="s">
        <v>753</v>
      </c>
      <c r="T245" s="166" t="s">
        <v>754</v>
      </c>
    </row>
    <row r="246" ht="58.5" hidden="1" customHeight="1">
      <c r="A246" s="233" t="s">
        <v>755</v>
      </c>
      <c r="B246" s="199">
        <v>45217.0</v>
      </c>
      <c r="C246" s="67">
        <f t="shared" si="10"/>
        <v>45217</v>
      </c>
      <c r="D246" s="201" t="s">
        <v>179</v>
      </c>
      <c r="E246" s="201"/>
      <c r="F246" s="201" t="s">
        <v>26</v>
      </c>
      <c r="G246" s="232" t="s">
        <v>756</v>
      </c>
      <c r="H246" s="174" t="s">
        <v>49</v>
      </c>
      <c r="I246" s="236" t="s">
        <v>61</v>
      </c>
      <c r="J246" s="236" t="s">
        <v>41</v>
      </c>
      <c r="K246" s="199">
        <v>45217.0</v>
      </c>
      <c r="L246" s="199"/>
      <c r="M246" s="199"/>
      <c r="N246" s="201" t="s">
        <v>118</v>
      </c>
      <c r="O246" s="201"/>
      <c r="P246" s="199"/>
      <c r="Q246" s="199">
        <v>46112.0</v>
      </c>
      <c r="R246" s="74">
        <f t="shared" si="9"/>
        <v>46112</v>
      </c>
      <c r="S246" s="178" t="s">
        <v>124</v>
      </c>
      <c r="T246" s="201"/>
    </row>
    <row r="247" ht="58.5" hidden="1" customHeight="1">
      <c r="A247" s="209" t="s">
        <v>757</v>
      </c>
      <c r="B247" s="210">
        <v>45205.0</v>
      </c>
      <c r="C247" s="101">
        <f t="shared" si="10"/>
        <v>45205</v>
      </c>
      <c r="D247" s="163" t="s">
        <v>723</v>
      </c>
      <c r="E247" s="163" t="s">
        <v>25</v>
      </c>
      <c r="F247" s="163" t="s">
        <v>26</v>
      </c>
      <c r="G247" s="211" t="s">
        <v>758</v>
      </c>
      <c r="H247" s="159" t="s">
        <v>28</v>
      </c>
      <c r="I247" s="237" t="s">
        <v>61</v>
      </c>
      <c r="J247" s="237" t="s">
        <v>152</v>
      </c>
      <c r="K247" s="210">
        <v>46063.0</v>
      </c>
      <c r="L247" s="210"/>
      <c r="M247" s="210"/>
      <c r="N247" s="163" t="s">
        <v>64</v>
      </c>
      <c r="O247" s="163"/>
      <c r="P247" s="210"/>
      <c r="Q247" s="210"/>
      <c r="R247" s="107" t="str">
        <f t="shared" si="9"/>
        <v/>
      </c>
      <c r="S247" s="158"/>
      <c r="T247" s="163" t="s">
        <v>525</v>
      </c>
    </row>
    <row r="248" ht="58.5" hidden="1" customHeight="1">
      <c r="A248" s="233" t="s">
        <v>759</v>
      </c>
      <c r="B248" s="199">
        <v>45188.0</v>
      </c>
      <c r="C248" s="110">
        <f t="shared" si="10"/>
        <v>45188</v>
      </c>
      <c r="D248" s="201" t="s">
        <v>133</v>
      </c>
      <c r="E248" s="201" t="s">
        <v>33</v>
      </c>
      <c r="F248" s="201" t="s">
        <v>26</v>
      </c>
      <c r="G248" s="232" t="s">
        <v>760</v>
      </c>
      <c r="H248" s="145" t="s">
        <v>28</v>
      </c>
      <c r="I248" s="236" t="s">
        <v>61</v>
      </c>
      <c r="J248" s="236"/>
      <c r="K248" s="199"/>
      <c r="L248" s="199"/>
      <c r="M248" s="199"/>
      <c r="N248" s="219" t="s">
        <v>30</v>
      </c>
      <c r="O248" s="219"/>
      <c r="P248" s="199"/>
      <c r="Q248" s="199"/>
      <c r="R248" s="125" t="str">
        <f t="shared" si="9"/>
        <v/>
      </c>
      <c r="S248" s="144"/>
      <c r="T248" s="201"/>
    </row>
    <row r="249" ht="58.5" hidden="1" customHeight="1">
      <c r="A249" s="233" t="s">
        <v>761</v>
      </c>
      <c r="B249" s="199">
        <v>45004.0</v>
      </c>
      <c r="C249" s="110">
        <f t="shared" si="10"/>
        <v>45004</v>
      </c>
      <c r="D249" s="201" t="s">
        <v>133</v>
      </c>
      <c r="E249" s="201" t="s">
        <v>33</v>
      </c>
      <c r="F249" s="201" t="s">
        <v>26</v>
      </c>
      <c r="G249" s="232" t="s">
        <v>762</v>
      </c>
      <c r="H249" s="145" t="s">
        <v>186</v>
      </c>
      <c r="I249" s="198" t="s">
        <v>36</v>
      </c>
      <c r="J249" s="198" t="s">
        <v>497</v>
      </c>
      <c r="K249" s="199">
        <v>45231.0</v>
      </c>
      <c r="L249" s="199"/>
      <c r="M249" s="199"/>
      <c r="N249" s="200" t="s">
        <v>42</v>
      </c>
      <c r="O249" s="201"/>
      <c r="P249" s="199"/>
      <c r="Q249" s="199">
        <v>45356.0</v>
      </c>
      <c r="R249" s="125">
        <f t="shared" si="9"/>
        <v>45356</v>
      </c>
      <c r="S249" s="171" t="s">
        <v>119</v>
      </c>
      <c r="T249" s="201" t="s">
        <v>763</v>
      </c>
    </row>
    <row r="250" ht="58.5" hidden="1" customHeight="1">
      <c r="A250" s="233" t="s">
        <v>764</v>
      </c>
      <c r="B250" s="199">
        <v>45188.0</v>
      </c>
      <c r="C250" s="110">
        <f t="shared" si="10"/>
        <v>45188</v>
      </c>
      <c r="D250" s="201" t="s">
        <v>161</v>
      </c>
      <c r="E250" s="201" t="s">
        <v>25</v>
      </c>
      <c r="F250" s="201" t="s">
        <v>26</v>
      </c>
      <c r="G250" s="232" t="s">
        <v>765</v>
      </c>
      <c r="H250" s="145" t="s">
        <v>186</v>
      </c>
      <c r="I250" s="198" t="s">
        <v>36</v>
      </c>
      <c r="J250" s="198" t="s">
        <v>255</v>
      </c>
      <c r="K250" s="199">
        <v>45240.0</v>
      </c>
      <c r="L250" s="199"/>
      <c r="M250" s="199">
        <v>45240.0</v>
      </c>
      <c r="N250" s="200" t="s">
        <v>42</v>
      </c>
      <c r="O250" s="201"/>
      <c r="P250" s="199"/>
      <c r="Q250" s="199">
        <v>45616.0</v>
      </c>
      <c r="R250" s="125">
        <f t="shared" si="9"/>
        <v>45616</v>
      </c>
      <c r="S250" s="171" t="s">
        <v>119</v>
      </c>
      <c r="T250" s="201" t="s">
        <v>766</v>
      </c>
    </row>
    <row r="251" ht="58.5" hidden="1" customHeight="1">
      <c r="A251" s="233" t="s">
        <v>767</v>
      </c>
      <c r="B251" s="199">
        <v>45181.0</v>
      </c>
      <c r="C251" s="110">
        <f t="shared" si="10"/>
        <v>45181</v>
      </c>
      <c r="D251" s="201" t="s">
        <v>108</v>
      </c>
      <c r="E251" s="201" t="s">
        <v>25</v>
      </c>
      <c r="F251" s="201" t="s">
        <v>26</v>
      </c>
      <c r="G251" s="232" t="s">
        <v>768</v>
      </c>
      <c r="H251" s="145" t="s">
        <v>49</v>
      </c>
      <c r="I251" s="236" t="s">
        <v>29</v>
      </c>
      <c r="J251" s="236" t="s">
        <v>128</v>
      </c>
      <c r="K251" s="238">
        <v>45182.0</v>
      </c>
      <c r="L251" s="199"/>
      <c r="M251" s="199"/>
      <c r="N251" s="201" t="s">
        <v>42</v>
      </c>
      <c r="O251" s="201"/>
      <c r="P251" s="199"/>
      <c r="Q251" s="199">
        <v>45182.0</v>
      </c>
      <c r="R251" s="125">
        <f t="shared" si="9"/>
        <v>45182</v>
      </c>
      <c r="S251" s="171" t="s">
        <v>119</v>
      </c>
      <c r="T251" s="201"/>
    </row>
    <row r="252" ht="58.5" hidden="1" customHeight="1">
      <c r="A252" s="172" t="s">
        <v>769</v>
      </c>
      <c r="B252" s="173">
        <v>45177.0</v>
      </c>
      <c r="C252" s="214">
        <f t="shared" si="10"/>
        <v>45177</v>
      </c>
      <c r="D252" s="174" t="s">
        <v>38</v>
      </c>
      <c r="E252" s="174" t="s">
        <v>33</v>
      </c>
      <c r="F252" s="174" t="s">
        <v>26</v>
      </c>
      <c r="G252" s="175" t="s">
        <v>770</v>
      </c>
      <c r="H252" s="145" t="s">
        <v>35</v>
      </c>
      <c r="I252" s="178" t="s">
        <v>36</v>
      </c>
      <c r="J252" s="178" t="s">
        <v>128</v>
      </c>
      <c r="K252" s="192">
        <v>45233.0</v>
      </c>
      <c r="L252" s="173"/>
      <c r="M252" s="173"/>
      <c r="N252" s="174" t="s">
        <v>42</v>
      </c>
      <c r="O252" s="174"/>
      <c r="P252" s="173"/>
      <c r="Q252" s="173">
        <v>45337.0</v>
      </c>
      <c r="R252" s="214">
        <f t="shared" si="9"/>
        <v>45337</v>
      </c>
      <c r="S252" s="171" t="s">
        <v>43</v>
      </c>
      <c r="T252" s="174" t="s">
        <v>771</v>
      </c>
    </row>
    <row r="253" ht="58.5" hidden="1" customHeight="1">
      <c r="A253" s="172" t="s">
        <v>772</v>
      </c>
      <c r="B253" s="173">
        <v>45174.0</v>
      </c>
      <c r="C253" s="214">
        <f t="shared" si="10"/>
        <v>45174</v>
      </c>
      <c r="D253" s="174" t="s">
        <v>165</v>
      </c>
      <c r="E253" s="174" t="s">
        <v>33</v>
      </c>
      <c r="F253" s="174" t="s">
        <v>26</v>
      </c>
      <c r="G253" s="175" t="s">
        <v>773</v>
      </c>
      <c r="H253" s="145" t="s">
        <v>28</v>
      </c>
      <c r="I253" s="178" t="s">
        <v>61</v>
      </c>
      <c r="J253" s="178"/>
      <c r="K253" s="173"/>
      <c r="L253" s="173"/>
      <c r="M253" s="173"/>
      <c r="N253" s="174" t="s">
        <v>30</v>
      </c>
      <c r="O253" s="174"/>
      <c r="P253" s="173"/>
      <c r="Q253" s="173"/>
      <c r="R253" s="214" t="str">
        <f t="shared" si="9"/>
        <v/>
      </c>
      <c r="S253" s="144"/>
      <c r="T253" s="174"/>
    </row>
    <row r="254" ht="58.5" hidden="1" customHeight="1">
      <c r="A254" s="172" t="s">
        <v>774</v>
      </c>
      <c r="B254" s="173">
        <v>45166.0</v>
      </c>
      <c r="C254" s="214">
        <f t="shared" si="10"/>
        <v>45166</v>
      </c>
      <c r="D254" s="174" t="s">
        <v>682</v>
      </c>
      <c r="E254" s="174" t="s">
        <v>25</v>
      </c>
      <c r="F254" s="174" t="s">
        <v>26</v>
      </c>
      <c r="G254" s="175" t="s">
        <v>775</v>
      </c>
      <c r="H254" s="145" t="s">
        <v>28</v>
      </c>
      <c r="I254" s="239" t="s">
        <v>29</v>
      </c>
      <c r="J254" s="239" t="s">
        <v>41</v>
      </c>
      <c r="K254" s="173">
        <v>45166.0</v>
      </c>
      <c r="L254" s="173"/>
      <c r="M254" s="173"/>
      <c r="N254" s="240" t="s">
        <v>42</v>
      </c>
      <c r="O254" s="202">
        <v>3492.57</v>
      </c>
      <c r="P254" s="173"/>
      <c r="Q254" s="173">
        <v>45166.0</v>
      </c>
      <c r="R254" s="214">
        <f t="shared" si="9"/>
        <v>45166</v>
      </c>
      <c r="S254" s="171" t="s">
        <v>96</v>
      </c>
      <c r="T254" s="174" t="s">
        <v>776</v>
      </c>
    </row>
    <row r="255" ht="58.5" hidden="1" customHeight="1">
      <c r="A255" s="172" t="s">
        <v>777</v>
      </c>
      <c r="B255" s="173">
        <v>45156.0</v>
      </c>
      <c r="C255" s="214">
        <f t="shared" si="10"/>
        <v>45156</v>
      </c>
      <c r="D255" s="174" t="s">
        <v>459</v>
      </c>
      <c r="E255" s="174" t="s">
        <v>25</v>
      </c>
      <c r="F255" s="174" t="s">
        <v>26</v>
      </c>
      <c r="G255" s="175" t="s">
        <v>778</v>
      </c>
      <c r="H255" s="145" t="s">
        <v>49</v>
      </c>
      <c r="I255" s="239" t="s">
        <v>36</v>
      </c>
      <c r="J255" s="239" t="s">
        <v>255</v>
      </c>
      <c r="K255" s="173">
        <v>45240.0</v>
      </c>
      <c r="L255" s="173"/>
      <c r="M255" s="173"/>
      <c r="N255" s="240" t="s">
        <v>42</v>
      </c>
      <c r="O255" s="174"/>
      <c r="P255" s="173"/>
      <c r="Q255" s="173">
        <v>45252.0</v>
      </c>
      <c r="R255" s="214">
        <f t="shared" si="9"/>
        <v>45252</v>
      </c>
      <c r="S255" s="171" t="s">
        <v>227</v>
      </c>
      <c r="T255" s="174" t="s">
        <v>779</v>
      </c>
    </row>
    <row r="256" ht="58.5" hidden="1" customHeight="1">
      <c r="A256" s="240" t="s">
        <v>76</v>
      </c>
      <c r="B256" s="173">
        <v>45147.0</v>
      </c>
      <c r="C256" s="214">
        <f t="shared" si="10"/>
        <v>45147</v>
      </c>
      <c r="D256" s="174" t="s">
        <v>161</v>
      </c>
      <c r="E256" s="174" t="s">
        <v>33</v>
      </c>
      <c r="F256" s="174" t="s">
        <v>26</v>
      </c>
      <c r="G256" s="175" t="s">
        <v>780</v>
      </c>
      <c r="H256" s="145" t="s">
        <v>35</v>
      </c>
      <c r="I256" s="239" t="s">
        <v>29</v>
      </c>
      <c r="J256" s="239" t="s">
        <v>41</v>
      </c>
      <c r="K256" s="173">
        <v>45147.0</v>
      </c>
      <c r="L256" s="173"/>
      <c r="M256" s="173"/>
      <c r="N256" s="240" t="s">
        <v>42</v>
      </c>
      <c r="O256" s="174"/>
      <c r="P256" s="173"/>
      <c r="Q256" s="173">
        <v>45147.0</v>
      </c>
      <c r="R256" s="214">
        <f t="shared" si="9"/>
        <v>45147</v>
      </c>
      <c r="S256" s="171" t="s">
        <v>96</v>
      </c>
      <c r="T256" s="174" t="s">
        <v>781</v>
      </c>
    </row>
    <row r="257" ht="58.5" hidden="1" customHeight="1">
      <c r="A257" s="172" t="s">
        <v>782</v>
      </c>
      <c r="B257" s="173">
        <v>45142.0</v>
      </c>
      <c r="C257" s="214">
        <f t="shared" si="10"/>
        <v>45142</v>
      </c>
      <c r="D257" s="174" t="s">
        <v>213</v>
      </c>
      <c r="E257" s="174" t="s">
        <v>25</v>
      </c>
      <c r="F257" s="174" t="s">
        <v>26</v>
      </c>
      <c r="G257" s="175" t="s">
        <v>783</v>
      </c>
      <c r="H257" s="145" t="s">
        <v>186</v>
      </c>
      <c r="I257" s="239" t="s">
        <v>36</v>
      </c>
      <c r="J257" s="239" t="s">
        <v>128</v>
      </c>
      <c r="K257" s="173">
        <v>45156.0</v>
      </c>
      <c r="L257" s="173"/>
      <c r="M257" s="173"/>
      <c r="N257" s="240" t="s">
        <v>42</v>
      </c>
      <c r="O257" s="174"/>
      <c r="P257" s="173"/>
      <c r="Q257" s="173">
        <v>45177.0</v>
      </c>
      <c r="R257" s="214">
        <f t="shared" si="9"/>
        <v>45177</v>
      </c>
      <c r="S257" s="171" t="s">
        <v>43</v>
      </c>
      <c r="T257" s="174" t="s">
        <v>784</v>
      </c>
    </row>
    <row r="258" ht="58.5" hidden="1" customHeight="1">
      <c r="A258" s="172" t="s">
        <v>785</v>
      </c>
      <c r="B258" s="173">
        <v>45141.0</v>
      </c>
      <c r="C258" s="214">
        <f t="shared" si="10"/>
        <v>45141</v>
      </c>
      <c r="D258" s="174" t="s">
        <v>161</v>
      </c>
      <c r="E258" s="174" t="s">
        <v>33</v>
      </c>
      <c r="F258" s="174" t="s">
        <v>26</v>
      </c>
      <c r="G258" s="175" t="s">
        <v>786</v>
      </c>
      <c r="H258" s="145" t="s">
        <v>40</v>
      </c>
      <c r="I258" s="239" t="s">
        <v>36</v>
      </c>
      <c r="J258" s="239" t="s">
        <v>41</v>
      </c>
      <c r="K258" s="173"/>
      <c r="L258" s="173"/>
      <c r="M258" s="173"/>
      <c r="N258" s="240" t="s">
        <v>343</v>
      </c>
      <c r="O258" s="174"/>
      <c r="P258" s="173"/>
      <c r="Q258" s="173"/>
      <c r="R258" s="214" t="str">
        <f t="shared" si="9"/>
        <v/>
      </c>
      <c r="S258" s="144"/>
      <c r="T258" s="174" t="s">
        <v>787</v>
      </c>
    </row>
    <row r="259" ht="58.5" hidden="1" customHeight="1">
      <c r="A259" s="172" t="s">
        <v>788</v>
      </c>
      <c r="B259" s="173">
        <v>45140.0</v>
      </c>
      <c r="C259" s="214">
        <f t="shared" si="10"/>
        <v>45140</v>
      </c>
      <c r="D259" s="174" t="s">
        <v>309</v>
      </c>
      <c r="E259" s="174" t="s">
        <v>310</v>
      </c>
      <c r="F259" s="174" t="s">
        <v>26</v>
      </c>
      <c r="G259" s="175" t="s">
        <v>789</v>
      </c>
      <c r="H259" s="145" t="s">
        <v>49</v>
      </c>
      <c r="I259" s="196" t="s">
        <v>36</v>
      </c>
      <c r="J259" s="196" t="s">
        <v>41</v>
      </c>
      <c r="K259" s="173">
        <v>45148.0</v>
      </c>
      <c r="L259" s="173"/>
      <c r="M259" s="173"/>
      <c r="N259" s="197" t="s">
        <v>42</v>
      </c>
      <c r="O259" s="174"/>
      <c r="P259" s="173"/>
      <c r="Q259" s="173">
        <v>45152.0</v>
      </c>
      <c r="R259" s="214">
        <f t="shared" si="9"/>
        <v>45152</v>
      </c>
      <c r="S259" s="171" t="s">
        <v>119</v>
      </c>
      <c r="T259" s="174" t="s">
        <v>790</v>
      </c>
    </row>
    <row r="260" ht="58.5" hidden="1" customHeight="1">
      <c r="A260" s="172" t="s">
        <v>791</v>
      </c>
      <c r="B260" s="173">
        <v>45118.0</v>
      </c>
      <c r="C260" s="214">
        <f t="shared" si="10"/>
        <v>45118</v>
      </c>
      <c r="D260" s="174" t="s">
        <v>38</v>
      </c>
      <c r="E260" s="174" t="s">
        <v>33</v>
      </c>
      <c r="F260" s="174" t="s">
        <v>26</v>
      </c>
      <c r="G260" s="175" t="s">
        <v>792</v>
      </c>
      <c r="H260" s="145" t="s">
        <v>40</v>
      </c>
      <c r="I260" s="196" t="s">
        <v>36</v>
      </c>
      <c r="J260" s="196" t="s">
        <v>128</v>
      </c>
      <c r="K260" s="173">
        <v>45140.0</v>
      </c>
      <c r="L260" s="173"/>
      <c r="M260" s="173"/>
      <c r="N260" s="197" t="s">
        <v>55</v>
      </c>
      <c r="O260" s="174"/>
      <c r="P260" s="173"/>
      <c r="Q260" s="173"/>
      <c r="R260" s="214" t="str">
        <f t="shared" si="9"/>
        <v/>
      </c>
      <c r="S260" s="171" t="s">
        <v>119</v>
      </c>
      <c r="T260" s="174" t="s">
        <v>793</v>
      </c>
    </row>
    <row r="261" ht="112.5" hidden="1" customHeight="1">
      <c r="A261" s="143" t="s">
        <v>794</v>
      </c>
      <c r="B261" s="144">
        <v>45117.0</v>
      </c>
      <c r="C261" s="214">
        <f t="shared" si="10"/>
        <v>45117</v>
      </c>
      <c r="D261" s="145" t="s">
        <v>795</v>
      </c>
      <c r="E261" s="145" t="s">
        <v>25</v>
      </c>
      <c r="F261" s="174" t="s">
        <v>26</v>
      </c>
      <c r="G261" s="146" t="s">
        <v>796</v>
      </c>
      <c r="H261" s="145" t="s">
        <v>28</v>
      </c>
      <c r="I261" s="241" t="s">
        <v>29</v>
      </c>
      <c r="J261" s="241" t="s">
        <v>497</v>
      </c>
      <c r="K261" s="144">
        <v>45217.0</v>
      </c>
      <c r="L261" s="144"/>
      <c r="M261" s="144">
        <v>45224.0</v>
      </c>
      <c r="N261" s="242" t="s">
        <v>42</v>
      </c>
      <c r="O261" s="145"/>
      <c r="P261" s="144"/>
      <c r="Q261" s="144">
        <v>45497.0</v>
      </c>
      <c r="R261" s="214">
        <f t="shared" si="9"/>
        <v>45497</v>
      </c>
      <c r="S261" s="171" t="s">
        <v>797</v>
      </c>
      <c r="T261" s="145" t="s">
        <v>798</v>
      </c>
    </row>
    <row r="262" ht="58.5" hidden="1" customHeight="1">
      <c r="A262" s="240" t="s">
        <v>76</v>
      </c>
      <c r="B262" s="173">
        <v>45112.0</v>
      </c>
      <c r="C262" s="214">
        <f t="shared" si="10"/>
        <v>45112</v>
      </c>
      <c r="D262" s="174" t="s">
        <v>161</v>
      </c>
      <c r="E262" s="174" t="s">
        <v>33</v>
      </c>
      <c r="F262" s="174" t="s">
        <v>26</v>
      </c>
      <c r="G262" s="175" t="s">
        <v>799</v>
      </c>
      <c r="H262" s="174" t="s">
        <v>87</v>
      </c>
      <c r="I262" s="243" t="s">
        <v>29</v>
      </c>
      <c r="J262" s="243" t="s">
        <v>497</v>
      </c>
      <c r="K262" s="173">
        <v>45112.0</v>
      </c>
      <c r="L262" s="173"/>
      <c r="M262" s="173"/>
      <c r="N262" s="244" t="s">
        <v>42</v>
      </c>
      <c r="O262" s="174"/>
      <c r="P262" s="173"/>
      <c r="Q262" s="173">
        <v>45112.0</v>
      </c>
      <c r="R262" s="214">
        <f t="shared" si="9"/>
        <v>45112</v>
      </c>
      <c r="S262" s="178" t="s">
        <v>96</v>
      </c>
      <c r="T262" s="174" t="s">
        <v>800</v>
      </c>
    </row>
    <row r="263" ht="58.5" hidden="1" customHeight="1">
      <c r="A263" s="149" t="s">
        <v>801</v>
      </c>
      <c r="B263" s="150">
        <v>45112.0</v>
      </c>
      <c r="C263" s="245">
        <f t="shared" si="10"/>
        <v>45112</v>
      </c>
      <c r="D263" s="151" t="s">
        <v>561</v>
      </c>
      <c r="E263" s="151" t="s">
        <v>25</v>
      </c>
      <c r="F263" s="151" t="s">
        <v>26</v>
      </c>
      <c r="G263" s="152" t="s">
        <v>802</v>
      </c>
      <c r="H263" s="151" t="s">
        <v>28</v>
      </c>
      <c r="I263" s="246" t="s">
        <v>36</v>
      </c>
      <c r="J263" s="246" t="s">
        <v>75</v>
      </c>
      <c r="K263" s="150">
        <v>45512.0</v>
      </c>
      <c r="L263" s="150"/>
      <c r="M263" s="150"/>
      <c r="N263" s="247" t="s">
        <v>42</v>
      </c>
      <c r="O263" s="151"/>
      <c r="P263" s="150"/>
      <c r="Q263" s="150">
        <v>45688.0</v>
      </c>
      <c r="R263" s="245">
        <f t="shared" si="9"/>
        <v>45688</v>
      </c>
      <c r="S263" s="156" t="s">
        <v>679</v>
      </c>
      <c r="T263" s="151" t="s">
        <v>803</v>
      </c>
    </row>
    <row r="264" ht="58.5" hidden="1" customHeight="1">
      <c r="A264" s="143" t="s">
        <v>804</v>
      </c>
      <c r="B264" s="144">
        <v>45163.0</v>
      </c>
      <c r="C264" s="214">
        <f t="shared" si="10"/>
        <v>45163</v>
      </c>
      <c r="D264" s="145" t="s">
        <v>38</v>
      </c>
      <c r="E264" s="145" t="s">
        <v>33</v>
      </c>
      <c r="F264" s="145" t="s">
        <v>26</v>
      </c>
      <c r="G264" s="146" t="s">
        <v>805</v>
      </c>
      <c r="H264" s="145" t="s">
        <v>28</v>
      </c>
      <c r="I264" s="147" t="s">
        <v>36</v>
      </c>
      <c r="J264" s="147" t="s">
        <v>255</v>
      </c>
      <c r="K264" s="144">
        <v>45231.0</v>
      </c>
      <c r="L264" s="144"/>
      <c r="M264" s="144"/>
      <c r="N264" s="148" t="s">
        <v>42</v>
      </c>
      <c r="O264" s="145"/>
      <c r="P264" s="144"/>
      <c r="Q264" s="144">
        <v>45316.0</v>
      </c>
      <c r="R264" s="214">
        <f t="shared" si="9"/>
        <v>45316</v>
      </c>
      <c r="S264" s="171" t="s">
        <v>43</v>
      </c>
      <c r="T264" s="174" t="s">
        <v>806</v>
      </c>
    </row>
    <row r="265" ht="58.5" hidden="1" customHeight="1">
      <c r="A265" s="248" t="s">
        <v>807</v>
      </c>
      <c r="B265" s="249">
        <v>45154.0</v>
      </c>
      <c r="C265" s="250">
        <f t="shared" si="10"/>
        <v>45154</v>
      </c>
      <c r="D265" s="251" t="s">
        <v>38</v>
      </c>
      <c r="E265" s="251" t="s">
        <v>33</v>
      </c>
      <c r="F265" s="251" t="s">
        <v>26</v>
      </c>
      <c r="G265" s="252" t="s">
        <v>808</v>
      </c>
      <c r="H265" s="251" t="s">
        <v>28</v>
      </c>
      <c r="I265" s="253" t="s">
        <v>36</v>
      </c>
      <c r="J265" s="253" t="s">
        <v>152</v>
      </c>
      <c r="K265" s="249"/>
      <c r="L265" s="249"/>
      <c r="M265" s="249"/>
      <c r="N265" s="254" t="s">
        <v>210</v>
      </c>
      <c r="O265" s="251"/>
      <c r="P265" s="249"/>
      <c r="Q265" s="249"/>
      <c r="R265" s="250" t="str">
        <f t="shared" si="9"/>
        <v/>
      </c>
      <c r="S265" s="249"/>
      <c r="T265" s="251"/>
    </row>
    <row r="266" ht="58.5" hidden="1" customHeight="1">
      <c r="A266" s="248" t="s">
        <v>809</v>
      </c>
      <c r="B266" s="249">
        <v>45154.0</v>
      </c>
      <c r="C266" s="250">
        <f t="shared" si="10"/>
        <v>45154</v>
      </c>
      <c r="D266" s="251" t="s">
        <v>147</v>
      </c>
      <c r="E266" s="251" t="s">
        <v>25</v>
      </c>
      <c r="F266" s="251" t="s">
        <v>26</v>
      </c>
      <c r="G266" s="252" t="s">
        <v>810</v>
      </c>
      <c r="H266" s="251" t="s">
        <v>87</v>
      </c>
      <c r="I266" s="253" t="s">
        <v>36</v>
      </c>
      <c r="J266" s="253" t="s">
        <v>152</v>
      </c>
      <c r="K266" s="249"/>
      <c r="L266" s="249"/>
      <c r="M266" s="249"/>
      <c r="N266" s="254" t="s">
        <v>210</v>
      </c>
      <c r="O266" s="251"/>
      <c r="P266" s="249"/>
      <c r="Q266" s="249"/>
      <c r="R266" s="250" t="str">
        <f t="shared" si="9"/>
        <v/>
      </c>
      <c r="S266" s="249"/>
      <c r="T266" s="251"/>
    </row>
    <row r="267" ht="58.5" hidden="1" customHeight="1">
      <c r="A267" s="248" t="s">
        <v>811</v>
      </c>
      <c r="B267" s="249">
        <v>45154.0</v>
      </c>
      <c r="C267" s="250">
        <f t="shared" si="10"/>
        <v>45154</v>
      </c>
      <c r="D267" s="251" t="s">
        <v>91</v>
      </c>
      <c r="E267" s="251" t="s">
        <v>25</v>
      </c>
      <c r="F267" s="251" t="s">
        <v>26</v>
      </c>
      <c r="G267" s="252" t="s">
        <v>812</v>
      </c>
      <c r="H267" s="251" t="s">
        <v>87</v>
      </c>
      <c r="I267" s="253" t="s">
        <v>36</v>
      </c>
      <c r="J267" s="253" t="s">
        <v>152</v>
      </c>
      <c r="K267" s="249"/>
      <c r="L267" s="249"/>
      <c r="M267" s="249"/>
      <c r="N267" s="254" t="s">
        <v>210</v>
      </c>
      <c r="O267" s="251"/>
      <c r="P267" s="249"/>
      <c r="Q267" s="249"/>
      <c r="R267" s="250" t="str">
        <f t="shared" si="9"/>
        <v/>
      </c>
      <c r="S267" s="249"/>
      <c r="T267" s="251"/>
    </row>
    <row r="268" ht="58.5" hidden="1" customHeight="1">
      <c r="A268" s="248" t="s">
        <v>813</v>
      </c>
      <c r="B268" s="249">
        <v>45154.0</v>
      </c>
      <c r="C268" s="250">
        <f t="shared" si="10"/>
        <v>45154</v>
      </c>
      <c r="D268" s="251" t="s">
        <v>147</v>
      </c>
      <c r="E268" s="251" t="s">
        <v>25</v>
      </c>
      <c r="F268" s="251" t="s">
        <v>26</v>
      </c>
      <c r="G268" s="252" t="s">
        <v>814</v>
      </c>
      <c r="H268" s="251" t="s">
        <v>87</v>
      </c>
      <c r="I268" s="253" t="s">
        <v>36</v>
      </c>
      <c r="J268" s="253" t="s">
        <v>152</v>
      </c>
      <c r="K268" s="249"/>
      <c r="L268" s="249"/>
      <c r="M268" s="249"/>
      <c r="N268" s="254" t="s">
        <v>210</v>
      </c>
      <c r="O268" s="251"/>
      <c r="P268" s="249"/>
      <c r="Q268" s="249"/>
      <c r="R268" s="250" t="str">
        <f t="shared" si="9"/>
        <v/>
      </c>
      <c r="S268" s="249"/>
      <c r="T268" s="251"/>
    </row>
    <row r="269" ht="58.5" hidden="1" customHeight="1">
      <c r="A269" s="172" t="s">
        <v>815</v>
      </c>
      <c r="B269" s="173">
        <v>45106.0</v>
      </c>
      <c r="C269" s="214">
        <f t="shared" si="10"/>
        <v>45106</v>
      </c>
      <c r="D269" s="174" t="s">
        <v>726</v>
      </c>
      <c r="E269" s="174" t="s">
        <v>33</v>
      </c>
      <c r="F269" s="174" t="s">
        <v>26</v>
      </c>
      <c r="G269" s="175" t="s">
        <v>816</v>
      </c>
      <c r="H269" s="145" t="s">
        <v>87</v>
      </c>
      <c r="I269" s="255" t="s">
        <v>61</v>
      </c>
      <c r="J269" s="243" t="s">
        <v>152</v>
      </c>
      <c r="K269" s="256">
        <v>45124.0</v>
      </c>
      <c r="L269" s="257"/>
      <c r="M269" s="257"/>
      <c r="N269" s="244" t="s">
        <v>42</v>
      </c>
      <c r="O269" s="174"/>
      <c r="P269" s="257"/>
      <c r="Q269" s="256">
        <v>45139.0</v>
      </c>
      <c r="R269" s="214">
        <f t="shared" si="9"/>
        <v>45139</v>
      </c>
      <c r="S269" s="171" t="s">
        <v>43</v>
      </c>
      <c r="T269" s="174" t="s">
        <v>817</v>
      </c>
    </row>
    <row r="270" ht="58.5" hidden="1" customHeight="1">
      <c r="A270" s="172" t="s">
        <v>818</v>
      </c>
      <c r="B270" s="173">
        <v>45138.0</v>
      </c>
      <c r="C270" s="214">
        <f t="shared" si="10"/>
        <v>45138</v>
      </c>
      <c r="D270" s="174" t="s">
        <v>38</v>
      </c>
      <c r="E270" s="174" t="s">
        <v>33</v>
      </c>
      <c r="F270" s="174" t="s">
        <v>26</v>
      </c>
      <c r="G270" s="175" t="s">
        <v>819</v>
      </c>
      <c r="H270" s="145" t="s">
        <v>87</v>
      </c>
      <c r="I270" s="255" t="s">
        <v>61</v>
      </c>
      <c r="J270" s="243" t="s">
        <v>128</v>
      </c>
      <c r="K270" s="256">
        <v>45138.0</v>
      </c>
      <c r="L270" s="257"/>
      <c r="M270" s="257"/>
      <c r="N270" s="244" t="s">
        <v>42</v>
      </c>
      <c r="O270" s="174"/>
      <c r="P270" s="257"/>
      <c r="Q270" s="256">
        <v>45180.0</v>
      </c>
      <c r="R270" s="214">
        <f t="shared" si="9"/>
        <v>45180</v>
      </c>
      <c r="S270" s="171" t="s">
        <v>43</v>
      </c>
      <c r="T270" s="174" t="s">
        <v>820</v>
      </c>
    </row>
    <row r="271" ht="58.5" hidden="1" customHeight="1">
      <c r="A271" s="172" t="s">
        <v>785</v>
      </c>
      <c r="B271" s="173">
        <v>45135.0</v>
      </c>
      <c r="C271" s="214">
        <f t="shared" si="10"/>
        <v>45135</v>
      </c>
      <c r="D271" s="174" t="s">
        <v>161</v>
      </c>
      <c r="E271" s="174" t="s">
        <v>33</v>
      </c>
      <c r="F271" s="174" t="s">
        <v>26</v>
      </c>
      <c r="G271" s="175" t="s">
        <v>821</v>
      </c>
      <c r="H271" s="145" t="s">
        <v>40</v>
      </c>
      <c r="I271" s="255" t="s">
        <v>61</v>
      </c>
      <c r="J271" s="258"/>
      <c r="K271" s="257"/>
      <c r="L271" s="257"/>
      <c r="M271" s="257"/>
      <c r="N271" s="244" t="s">
        <v>30</v>
      </c>
      <c r="O271" s="174"/>
      <c r="P271" s="257"/>
      <c r="Q271" s="257"/>
      <c r="R271" s="214" t="str">
        <f t="shared" si="9"/>
        <v/>
      </c>
      <c r="S271" s="144"/>
      <c r="T271" s="174"/>
    </row>
    <row r="272" ht="58.5" hidden="1" customHeight="1">
      <c r="A272" s="172" t="s">
        <v>822</v>
      </c>
      <c r="B272" s="173">
        <v>45105.0</v>
      </c>
      <c r="C272" s="214">
        <f t="shared" si="10"/>
        <v>45105</v>
      </c>
      <c r="D272" s="174" t="s">
        <v>823</v>
      </c>
      <c r="E272" s="174" t="s">
        <v>33</v>
      </c>
      <c r="F272" s="174" t="s">
        <v>26</v>
      </c>
      <c r="G272" s="175" t="s">
        <v>824</v>
      </c>
      <c r="H272" s="145" t="s">
        <v>28</v>
      </c>
      <c r="I272" s="176" t="s">
        <v>29</v>
      </c>
      <c r="J272" s="176" t="s">
        <v>128</v>
      </c>
      <c r="K272" s="173">
        <v>45105.0</v>
      </c>
      <c r="L272" s="173"/>
      <c r="M272" s="173"/>
      <c r="N272" s="244" t="s">
        <v>42</v>
      </c>
      <c r="O272" s="174"/>
      <c r="P272" s="173"/>
      <c r="Q272" s="173">
        <v>45105.0</v>
      </c>
      <c r="R272" s="214">
        <f t="shared" si="9"/>
        <v>45105</v>
      </c>
      <c r="S272" s="171" t="s">
        <v>96</v>
      </c>
      <c r="T272" s="174" t="s">
        <v>776</v>
      </c>
    </row>
    <row r="273" ht="58.5" hidden="1" customHeight="1">
      <c r="A273" s="172" t="s">
        <v>825</v>
      </c>
      <c r="B273" s="173">
        <v>45105.0</v>
      </c>
      <c r="C273" s="214">
        <f t="shared" si="10"/>
        <v>45105</v>
      </c>
      <c r="D273" s="174" t="s">
        <v>52</v>
      </c>
      <c r="E273" s="174" t="s">
        <v>33</v>
      </c>
      <c r="F273" s="174" t="s">
        <v>26</v>
      </c>
      <c r="G273" s="175" t="s">
        <v>826</v>
      </c>
      <c r="H273" s="145" t="s">
        <v>28</v>
      </c>
      <c r="I273" s="176" t="s">
        <v>29</v>
      </c>
      <c r="J273" s="176" t="s">
        <v>497</v>
      </c>
      <c r="K273" s="173">
        <v>45105.0</v>
      </c>
      <c r="L273" s="173"/>
      <c r="M273" s="173"/>
      <c r="N273" s="244" t="s">
        <v>42</v>
      </c>
      <c r="O273" s="174">
        <v>837.26</v>
      </c>
      <c r="P273" s="173"/>
      <c r="Q273" s="173">
        <v>45105.0</v>
      </c>
      <c r="R273" s="214">
        <f t="shared" si="9"/>
        <v>45105</v>
      </c>
      <c r="S273" s="171" t="s">
        <v>96</v>
      </c>
      <c r="T273" s="174" t="s">
        <v>776</v>
      </c>
    </row>
    <row r="274" ht="58.5" hidden="1" customHeight="1">
      <c r="A274" s="172" t="s">
        <v>827</v>
      </c>
      <c r="B274" s="173">
        <v>45105.0</v>
      </c>
      <c r="C274" s="214">
        <f t="shared" si="10"/>
        <v>45105</v>
      </c>
      <c r="D274" s="174" t="s">
        <v>24</v>
      </c>
      <c r="E274" s="174" t="s">
        <v>25</v>
      </c>
      <c r="F274" s="174" t="s">
        <v>26</v>
      </c>
      <c r="G274" s="175" t="s">
        <v>828</v>
      </c>
      <c r="H274" s="145" t="s">
        <v>28</v>
      </c>
      <c r="I274" s="176" t="s">
        <v>36</v>
      </c>
      <c r="J274" s="259"/>
      <c r="K274" s="173"/>
      <c r="L274" s="173"/>
      <c r="M274" s="173"/>
      <c r="N274" s="244" t="s">
        <v>30</v>
      </c>
      <c r="O274" s="174"/>
      <c r="P274" s="173"/>
      <c r="Q274" s="173"/>
      <c r="R274" s="214" t="str">
        <f t="shared" si="9"/>
        <v/>
      </c>
      <c r="S274" s="144"/>
      <c r="T274" s="174"/>
    </row>
    <row r="275" ht="58.5" customHeight="1">
      <c r="A275" s="172" t="s">
        <v>829</v>
      </c>
      <c r="B275" s="173">
        <v>45104.0</v>
      </c>
      <c r="C275" s="214">
        <f t="shared" si="10"/>
        <v>45104</v>
      </c>
      <c r="D275" s="174" t="s">
        <v>116</v>
      </c>
      <c r="E275" s="174" t="s">
        <v>25</v>
      </c>
      <c r="F275" s="174" t="s">
        <v>26</v>
      </c>
      <c r="G275" s="175" t="s">
        <v>830</v>
      </c>
      <c r="H275" s="145" t="s">
        <v>28</v>
      </c>
      <c r="I275" s="255" t="s">
        <v>29</v>
      </c>
      <c r="J275" s="243" t="s">
        <v>110</v>
      </c>
      <c r="K275" s="256">
        <v>45104.0</v>
      </c>
      <c r="L275" s="257"/>
      <c r="M275" s="257"/>
      <c r="N275" s="244" t="s">
        <v>42</v>
      </c>
      <c r="O275" s="174">
        <v>741.3</v>
      </c>
      <c r="P275" s="257"/>
      <c r="Q275" s="256">
        <v>45104.0</v>
      </c>
      <c r="R275" s="214">
        <f t="shared" si="9"/>
        <v>45104</v>
      </c>
      <c r="S275" s="171" t="s">
        <v>96</v>
      </c>
      <c r="T275" s="174" t="s">
        <v>776</v>
      </c>
    </row>
    <row r="276" ht="58.5" customHeight="1">
      <c r="A276" s="172" t="s">
        <v>831</v>
      </c>
      <c r="B276" s="173">
        <v>45104.0</v>
      </c>
      <c r="C276" s="214">
        <f t="shared" si="10"/>
        <v>45104</v>
      </c>
      <c r="D276" s="174" t="s">
        <v>832</v>
      </c>
      <c r="E276" s="174" t="s">
        <v>25</v>
      </c>
      <c r="F276" s="174" t="s">
        <v>26</v>
      </c>
      <c r="G276" s="175" t="s">
        <v>833</v>
      </c>
      <c r="H276" s="145" t="s">
        <v>28</v>
      </c>
      <c r="I276" s="255" t="s">
        <v>29</v>
      </c>
      <c r="J276" s="243" t="s">
        <v>110</v>
      </c>
      <c r="K276" s="256">
        <v>45104.0</v>
      </c>
      <c r="L276" s="257"/>
      <c r="M276" s="257"/>
      <c r="N276" s="244" t="s">
        <v>42</v>
      </c>
      <c r="O276" s="174">
        <v>595.65</v>
      </c>
      <c r="P276" s="257"/>
      <c r="Q276" s="195">
        <v>45104.0</v>
      </c>
      <c r="R276" s="214">
        <f t="shared" si="9"/>
        <v>45104</v>
      </c>
      <c r="S276" s="171" t="s">
        <v>96</v>
      </c>
      <c r="T276" s="174" t="s">
        <v>776</v>
      </c>
    </row>
    <row r="277" ht="58.5" hidden="1" customHeight="1">
      <c r="A277" s="172" t="s">
        <v>834</v>
      </c>
      <c r="B277" s="173">
        <v>45133.0</v>
      </c>
      <c r="C277" s="214">
        <f t="shared" si="10"/>
        <v>45133</v>
      </c>
      <c r="D277" s="174" t="s">
        <v>309</v>
      </c>
      <c r="E277" s="174" t="s">
        <v>310</v>
      </c>
      <c r="F277" s="174" t="s">
        <v>26</v>
      </c>
      <c r="G277" s="175" t="s">
        <v>835</v>
      </c>
      <c r="H277" s="145" t="s">
        <v>49</v>
      </c>
      <c r="I277" s="255" t="s">
        <v>61</v>
      </c>
      <c r="J277" s="243" t="s">
        <v>497</v>
      </c>
      <c r="K277" s="256">
        <v>45134.0</v>
      </c>
      <c r="L277" s="257"/>
      <c r="M277" s="257"/>
      <c r="N277" s="244" t="s">
        <v>42</v>
      </c>
      <c r="O277" s="174"/>
      <c r="P277" s="257"/>
      <c r="Q277" s="256">
        <v>45134.0</v>
      </c>
      <c r="R277" s="214">
        <f t="shared" si="9"/>
        <v>45134</v>
      </c>
      <c r="S277" s="171" t="s">
        <v>43</v>
      </c>
      <c r="T277" s="174" t="s">
        <v>836</v>
      </c>
    </row>
    <row r="278" ht="58.5" hidden="1" customHeight="1">
      <c r="A278" s="240" t="s">
        <v>837</v>
      </c>
      <c r="B278" s="173">
        <v>45113.0</v>
      </c>
      <c r="C278" s="214">
        <f t="shared" si="10"/>
        <v>45113</v>
      </c>
      <c r="D278" s="174" t="s">
        <v>561</v>
      </c>
      <c r="E278" s="174" t="s">
        <v>25</v>
      </c>
      <c r="F278" s="174" t="s">
        <v>26</v>
      </c>
      <c r="G278" s="175" t="s">
        <v>802</v>
      </c>
      <c r="H278" s="145" t="s">
        <v>28</v>
      </c>
      <c r="I278" s="255" t="s">
        <v>61</v>
      </c>
      <c r="J278" s="243"/>
      <c r="K278" s="256"/>
      <c r="L278" s="257"/>
      <c r="M278" s="257"/>
      <c r="N278" s="244" t="s">
        <v>118</v>
      </c>
      <c r="O278" s="174"/>
      <c r="P278" s="257"/>
      <c r="Q278" s="256">
        <v>45135.0</v>
      </c>
      <c r="R278" s="214">
        <f t="shared" si="9"/>
        <v>45135</v>
      </c>
      <c r="S278" s="171" t="s">
        <v>124</v>
      </c>
      <c r="T278" s="174" t="s">
        <v>838</v>
      </c>
    </row>
    <row r="279" ht="58.5" hidden="1" customHeight="1">
      <c r="A279" s="172" t="s">
        <v>839</v>
      </c>
      <c r="B279" s="173">
        <v>45105.0</v>
      </c>
      <c r="C279" s="214">
        <f t="shared" si="10"/>
        <v>45105</v>
      </c>
      <c r="D279" s="174" t="s">
        <v>38</v>
      </c>
      <c r="E279" s="174" t="s">
        <v>33</v>
      </c>
      <c r="F279" s="174" t="s">
        <v>26</v>
      </c>
      <c r="G279" s="175" t="s">
        <v>840</v>
      </c>
      <c r="H279" s="145" t="s">
        <v>87</v>
      </c>
      <c r="I279" s="255" t="s">
        <v>61</v>
      </c>
      <c r="J279" s="243" t="s">
        <v>41</v>
      </c>
      <c r="K279" s="256">
        <v>45124.0</v>
      </c>
      <c r="L279" s="257"/>
      <c r="M279" s="257"/>
      <c r="N279" s="244" t="s">
        <v>42</v>
      </c>
      <c r="O279" s="174">
        <v>3.55</v>
      </c>
      <c r="P279" s="257"/>
      <c r="Q279" s="256">
        <v>45219.0</v>
      </c>
      <c r="R279" s="214">
        <f t="shared" si="9"/>
        <v>45219</v>
      </c>
      <c r="S279" s="171" t="s">
        <v>43</v>
      </c>
      <c r="T279" s="174" t="s">
        <v>841</v>
      </c>
    </row>
    <row r="280" ht="58.5" hidden="1" customHeight="1">
      <c r="A280" s="172" t="s">
        <v>842</v>
      </c>
      <c r="B280" s="173">
        <v>45093.0</v>
      </c>
      <c r="C280" s="214">
        <f t="shared" si="10"/>
        <v>45093</v>
      </c>
      <c r="D280" s="174" t="s">
        <v>32</v>
      </c>
      <c r="E280" s="174" t="s">
        <v>33</v>
      </c>
      <c r="F280" s="174" t="s">
        <v>26</v>
      </c>
      <c r="G280" s="175" t="s">
        <v>843</v>
      </c>
      <c r="H280" s="145" t="s">
        <v>35</v>
      </c>
      <c r="I280" s="255" t="s">
        <v>29</v>
      </c>
      <c r="J280" s="243" t="s">
        <v>128</v>
      </c>
      <c r="K280" s="256">
        <v>45110.0</v>
      </c>
      <c r="L280" s="257"/>
      <c r="M280" s="257"/>
      <c r="N280" s="244" t="s">
        <v>42</v>
      </c>
      <c r="O280" s="174"/>
      <c r="P280" s="257"/>
      <c r="Q280" s="256">
        <v>45111.0</v>
      </c>
      <c r="R280" s="214">
        <f t="shared" si="9"/>
        <v>45111</v>
      </c>
      <c r="S280" s="171" t="s">
        <v>119</v>
      </c>
      <c r="T280" s="174" t="s">
        <v>844</v>
      </c>
    </row>
    <row r="281" ht="58.5" hidden="1" customHeight="1">
      <c r="A281" s="172" t="s">
        <v>845</v>
      </c>
      <c r="B281" s="173">
        <v>45091.0</v>
      </c>
      <c r="C281" s="214">
        <f t="shared" si="10"/>
        <v>45091</v>
      </c>
      <c r="D281" s="174" t="s">
        <v>285</v>
      </c>
      <c r="E281" s="174" t="s">
        <v>25</v>
      </c>
      <c r="F281" s="174" t="s">
        <v>26</v>
      </c>
      <c r="G281" s="175" t="s">
        <v>846</v>
      </c>
      <c r="H281" s="145" t="s">
        <v>28</v>
      </c>
      <c r="I281" s="255" t="s">
        <v>36</v>
      </c>
      <c r="J281" s="258"/>
      <c r="K281" s="257"/>
      <c r="L281" s="257"/>
      <c r="M281" s="257"/>
      <c r="N281" s="244" t="s">
        <v>30</v>
      </c>
      <c r="O281" s="174"/>
      <c r="P281" s="257"/>
      <c r="Q281" s="257"/>
      <c r="R281" s="214" t="str">
        <f t="shared" si="9"/>
        <v/>
      </c>
      <c r="S281" s="144"/>
      <c r="T281" s="174"/>
    </row>
    <row r="282" ht="58.5" hidden="1" customHeight="1">
      <c r="A282" s="172" t="s">
        <v>847</v>
      </c>
      <c r="B282" s="173">
        <v>45091.0</v>
      </c>
      <c r="C282" s="214">
        <f t="shared" si="10"/>
        <v>45091</v>
      </c>
      <c r="D282" s="174" t="s">
        <v>81</v>
      </c>
      <c r="E282" s="174" t="s">
        <v>25</v>
      </c>
      <c r="F282" s="174" t="s">
        <v>26</v>
      </c>
      <c r="G282" s="175" t="s">
        <v>848</v>
      </c>
      <c r="H282" s="145" t="s">
        <v>28</v>
      </c>
      <c r="I282" s="176" t="s">
        <v>29</v>
      </c>
      <c r="J282" s="176" t="s">
        <v>41</v>
      </c>
      <c r="K282" s="173">
        <v>45091.0</v>
      </c>
      <c r="L282" s="173"/>
      <c r="M282" s="173"/>
      <c r="N282" s="244" t="s">
        <v>42</v>
      </c>
      <c r="O282" s="174">
        <v>491.55</v>
      </c>
      <c r="P282" s="173"/>
      <c r="Q282" s="173">
        <v>45091.0</v>
      </c>
      <c r="R282" s="214">
        <f t="shared" si="9"/>
        <v>45091</v>
      </c>
      <c r="S282" s="171" t="s">
        <v>96</v>
      </c>
      <c r="T282" s="174" t="s">
        <v>776</v>
      </c>
    </row>
    <row r="283" ht="58.5" hidden="1" customHeight="1">
      <c r="A283" s="172" t="s">
        <v>849</v>
      </c>
      <c r="B283" s="173">
        <v>45091.0</v>
      </c>
      <c r="C283" s="214">
        <f t="shared" si="10"/>
        <v>45091</v>
      </c>
      <c r="D283" s="174" t="s">
        <v>38</v>
      </c>
      <c r="E283" s="174" t="s">
        <v>33</v>
      </c>
      <c r="F283" s="174" t="s">
        <v>26</v>
      </c>
      <c r="G283" s="175" t="s">
        <v>850</v>
      </c>
      <c r="H283" s="145" t="s">
        <v>87</v>
      </c>
      <c r="I283" s="176" t="s">
        <v>61</v>
      </c>
      <c r="J283" s="259"/>
      <c r="K283" s="173"/>
      <c r="L283" s="173"/>
      <c r="M283" s="173"/>
      <c r="N283" s="244" t="s">
        <v>30</v>
      </c>
      <c r="O283" s="174"/>
      <c r="P283" s="173"/>
      <c r="Q283" s="173"/>
      <c r="R283" s="214" t="str">
        <f t="shared" si="9"/>
        <v/>
      </c>
      <c r="S283" s="144"/>
      <c r="T283" s="174"/>
    </row>
    <row r="284" ht="58.5" hidden="1" customHeight="1">
      <c r="A284" s="172" t="s">
        <v>851</v>
      </c>
      <c r="B284" s="173">
        <v>45084.0</v>
      </c>
      <c r="C284" s="214">
        <f t="shared" si="10"/>
        <v>45084</v>
      </c>
      <c r="D284" s="174" t="s">
        <v>133</v>
      </c>
      <c r="E284" s="174" t="s">
        <v>33</v>
      </c>
      <c r="F284" s="174" t="s">
        <v>26</v>
      </c>
      <c r="G284" s="175" t="s">
        <v>852</v>
      </c>
      <c r="H284" s="145" t="s">
        <v>186</v>
      </c>
      <c r="I284" s="176" t="s">
        <v>61</v>
      </c>
      <c r="J284" s="176" t="s">
        <v>41</v>
      </c>
      <c r="K284" s="173">
        <v>45084.0</v>
      </c>
      <c r="L284" s="173"/>
      <c r="M284" s="173"/>
      <c r="N284" s="244" t="s">
        <v>42</v>
      </c>
      <c r="O284" s="174"/>
      <c r="P284" s="173"/>
      <c r="Q284" s="173">
        <v>45356.0</v>
      </c>
      <c r="R284" s="214">
        <f t="shared" si="9"/>
        <v>45356</v>
      </c>
      <c r="S284" s="171" t="s">
        <v>119</v>
      </c>
      <c r="T284" s="174" t="s">
        <v>853</v>
      </c>
    </row>
    <row r="285" ht="58.5" hidden="1" customHeight="1">
      <c r="A285" s="172" t="s">
        <v>854</v>
      </c>
      <c r="B285" s="173">
        <v>45084.0</v>
      </c>
      <c r="C285" s="214">
        <f t="shared" si="10"/>
        <v>45084</v>
      </c>
      <c r="D285" s="174" t="s">
        <v>133</v>
      </c>
      <c r="E285" s="174" t="s">
        <v>33</v>
      </c>
      <c r="F285" s="174" t="s">
        <v>26</v>
      </c>
      <c r="G285" s="175" t="s">
        <v>855</v>
      </c>
      <c r="H285" s="145" t="s">
        <v>28</v>
      </c>
      <c r="I285" s="176" t="s">
        <v>36</v>
      </c>
      <c r="J285" s="176" t="s">
        <v>497</v>
      </c>
      <c r="K285" s="173">
        <v>45126.0</v>
      </c>
      <c r="L285" s="173"/>
      <c r="M285" s="173"/>
      <c r="N285" s="244" t="s">
        <v>42</v>
      </c>
      <c r="O285" s="174">
        <v>22.16</v>
      </c>
      <c r="P285" s="173"/>
      <c r="Q285" s="173">
        <v>45139.0</v>
      </c>
      <c r="R285" s="214">
        <f t="shared" si="9"/>
        <v>45139</v>
      </c>
      <c r="S285" s="171" t="s">
        <v>43</v>
      </c>
      <c r="T285" s="174" t="s">
        <v>856</v>
      </c>
    </row>
    <row r="286" ht="58.5" hidden="1" customHeight="1">
      <c r="A286" s="164" t="s">
        <v>857</v>
      </c>
      <c r="B286" s="165">
        <v>45084.0</v>
      </c>
      <c r="C286" s="260">
        <f t="shared" si="10"/>
        <v>45084</v>
      </c>
      <c r="D286" s="166" t="s">
        <v>133</v>
      </c>
      <c r="E286" s="166" t="s">
        <v>33</v>
      </c>
      <c r="F286" s="166" t="s">
        <v>26</v>
      </c>
      <c r="G286" s="167" t="s">
        <v>858</v>
      </c>
      <c r="H286" s="166" t="s">
        <v>35</v>
      </c>
      <c r="I286" s="168" t="s">
        <v>61</v>
      </c>
      <c r="J286" s="261"/>
      <c r="K286" s="165"/>
      <c r="L286" s="165"/>
      <c r="M286" s="165"/>
      <c r="N286" s="262" t="s">
        <v>30</v>
      </c>
      <c r="O286" s="166"/>
      <c r="P286" s="165"/>
      <c r="Q286" s="165"/>
      <c r="R286" s="260" t="str">
        <f t="shared" si="9"/>
        <v/>
      </c>
      <c r="S286" s="165"/>
      <c r="T286" s="166" t="s">
        <v>859</v>
      </c>
    </row>
    <row r="287" ht="58.5" hidden="1" customHeight="1">
      <c r="A287" s="149" t="s">
        <v>860</v>
      </c>
      <c r="B287" s="150">
        <v>45082.0</v>
      </c>
      <c r="C287" s="245">
        <f t="shared" si="10"/>
        <v>45082</v>
      </c>
      <c r="D287" s="151" t="s">
        <v>24</v>
      </c>
      <c r="E287" s="151" t="s">
        <v>25</v>
      </c>
      <c r="F287" s="151" t="s">
        <v>26</v>
      </c>
      <c r="G287" s="152" t="s">
        <v>861</v>
      </c>
      <c r="H287" s="151" t="s">
        <v>28</v>
      </c>
      <c r="I287" s="193" t="s">
        <v>36</v>
      </c>
      <c r="J287" s="193" t="s">
        <v>497</v>
      </c>
      <c r="K287" s="150">
        <v>45156.0</v>
      </c>
      <c r="L287" s="150"/>
      <c r="M287" s="150"/>
      <c r="N287" s="194" t="s">
        <v>343</v>
      </c>
      <c r="O287" s="151"/>
      <c r="P287" s="150"/>
      <c r="Q287" s="150"/>
      <c r="R287" s="245" t="str">
        <f t="shared" si="9"/>
        <v/>
      </c>
      <c r="S287" s="150"/>
      <c r="T287" s="151" t="s">
        <v>862</v>
      </c>
    </row>
    <row r="288" ht="58.5" hidden="1" customHeight="1">
      <c r="A288" s="172" t="s">
        <v>863</v>
      </c>
      <c r="B288" s="173">
        <v>45076.0</v>
      </c>
      <c r="C288" s="214">
        <f t="shared" si="10"/>
        <v>45076</v>
      </c>
      <c r="D288" s="174" t="s">
        <v>52</v>
      </c>
      <c r="E288" s="174" t="s">
        <v>25</v>
      </c>
      <c r="F288" s="174" t="s">
        <v>26</v>
      </c>
      <c r="G288" s="175" t="s">
        <v>864</v>
      </c>
      <c r="H288" s="145" t="s">
        <v>35</v>
      </c>
      <c r="I288" s="189" t="s">
        <v>29</v>
      </c>
      <c r="J288" s="189" t="s">
        <v>497</v>
      </c>
      <c r="K288" s="173">
        <v>45076.0</v>
      </c>
      <c r="L288" s="173"/>
      <c r="M288" s="173"/>
      <c r="N288" s="190" t="s">
        <v>42</v>
      </c>
      <c r="O288" s="202">
        <v>5087.11</v>
      </c>
      <c r="P288" s="173"/>
      <c r="Q288" s="173">
        <v>45076.0</v>
      </c>
      <c r="R288" s="214">
        <f t="shared" si="9"/>
        <v>45076</v>
      </c>
      <c r="S288" s="171" t="s">
        <v>96</v>
      </c>
      <c r="T288" s="174" t="s">
        <v>865</v>
      </c>
    </row>
    <row r="289" ht="58.5" customHeight="1">
      <c r="A289" s="172" t="s">
        <v>866</v>
      </c>
      <c r="B289" s="173">
        <v>45076.0</v>
      </c>
      <c r="C289" s="214">
        <f t="shared" si="10"/>
        <v>45076</v>
      </c>
      <c r="D289" s="174" t="s">
        <v>46</v>
      </c>
      <c r="E289" s="174" t="s">
        <v>25</v>
      </c>
      <c r="F289" s="174" t="s">
        <v>26</v>
      </c>
      <c r="G289" s="175" t="s">
        <v>867</v>
      </c>
      <c r="H289" s="145" t="s">
        <v>28</v>
      </c>
      <c r="I289" s="189" t="s">
        <v>29</v>
      </c>
      <c r="J289" s="189" t="s">
        <v>110</v>
      </c>
      <c r="K289" s="173">
        <v>45076.0</v>
      </c>
      <c r="L289" s="173"/>
      <c r="M289" s="173"/>
      <c r="N289" s="190" t="s">
        <v>42</v>
      </c>
      <c r="O289" s="202">
        <v>4083.75</v>
      </c>
      <c r="P289" s="173"/>
      <c r="Q289" s="195">
        <v>45076.0</v>
      </c>
      <c r="R289" s="214">
        <f t="shared" si="9"/>
        <v>45076</v>
      </c>
      <c r="S289" s="171" t="s">
        <v>96</v>
      </c>
      <c r="T289" s="174" t="s">
        <v>776</v>
      </c>
    </row>
    <row r="290" ht="58.5" customHeight="1">
      <c r="A290" s="172" t="s">
        <v>868</v>
      </c>
      <c r="B290" s="173">
        <v>45076.0</v>
      </c>
      <c r="C290" s="214">
        <f t="shared" si="10"/>
        <v>45076</v>
      </c>
      <c r="D290" s="174" t="s">
        <v>52</v>
      </c>
      <c r="E290" s="174" t="s">
        <v>25</v>
      </c>
      <c r="F290" s="174" t="s">
        <v>26</v>
      </c>
      <c r="G290" s="175" t="s">
        <v>869</v>
      </c>
      <c r="H290" s="145" t="s">
        <v>87</v>
      </c>
      <c r="I290" s="189" t="s">
        <v>29</v>
      </c>
      <c r="J290" s="189" t="s">
        <v>110</v>
      </c>
      <c r="K290" s="173">
        <v>45076.0</v>
      </c>
      <c r="L290" s="173"/>
      <c r="M290" s="173"/>
      <c r="N290" s="190" t="s">
        <v>42</v>
      </c>
      <c r="O290" s="174"/>
      <c r="P290" s="173"/>
      <c r="Q290" s="173">
        <v>45076.0</v>
      </c>
      <c r="R290" s="214">
        <f t="shared" si="9"/>
        <v>45076</v>
      </c>
      <c r="S290" s="171" t="s">
        <v>96</v>
      </c>
      <c r="T290" s="174" t="s">
        <v>776</v>
      </c>
    </row>
    <row r="291" ht="58.5" hidden="1" customHeight="1">
      <c r="A291" s="172" t="s">
        <v>870</v>
      </c>
      <c r="B291" s="173">
        <v>45076.0</v>
      </c>
      <c r="C291" s="214">
        <f t="shared" si="10"/>
        <v>45076</v>
      </c>
      <c r="D291" s="174" t="s">
        <v>624</v>
      </c>
      <c r="E291" s="174" t="s">
        <v>25</v>
      </c>
      <c r="F291" s="174" t="s">
        <v>26</v>
      </c>
      <c r="G291" s="175" t="s">
        <v>871</v>
      </c>
      <c r="H291" s="145" t="s">
        <v>28</v>
      </c>
      <c r="I291" s="189" t="s">
        <v>29</v>
      </c>
      <c r="J291" s="189" t="s">
        <v>128</v>
      </c>
      <c r="K291" s="173">
        <v>45154.0</v>
      </c>
      <c r="L291" s="173"/>
      <c r="M291" s="173">
        <v>45154.0</v>
      </c>
      <c r="N291" s="190" t="s">
        <v>42</v>
      </c>
      <c r="O291" s="174"/>
      <c r="P291" s="173"/>
      <c r="Q291" s="173">
        <v>45190.0</v>
      </c>
      <c r="R291" s="214">
        <f t="shared" si="9"/>
        <v>45190</v>
      </c>
      <c r="S291" s="171" t="s">
        <v>43</v>
      </c>
      <c r="T291" s="174" t="s">
        <v>872</v>
      </c>
    </row>
    <row r="292" ht="58.5" hidden="1" customHeight="1">
      <c r="A292" s="172" t="s">
        <v>873</v>
      </c>
      <c r="B292" s="173">
        <v>45547.0</v>
      </c>
      <c r="C292" s="263">
        <f t="shared" si="10"/>
        <v>45547</v>
      </c>
      <c r="D292" s="174" t="s">
        <v>133</v>
      </c>
      <c r="E292" s="174" t="s">
        <v>33</v>
      </c>
      <c r="F292" s="174" t="s">
        <v>26</v>
      </c>
      <c r="G292" s="175" t="s">
        <v>874</v>
      </c>
      <c r="H292" s="174" t="s">
        <v>28</v>
      </c>
      <c r="I292" s="196" t="s">
        <v>29</v>
      </c>
      <c r="J292" s="196" t="s">
        <v>497</v>
      </c>
      <c r="K292" s="173">
        <v>45901.0</v>
      </c>
      <c r="L292" s="173">
        <v>45905.0</v>
      </c>
      <c r="M292" s="173"/>
      <c r="N292" s="197" t="s">
        <v>42</v>
      </c>
      <c r="O292" s="174"/>
      <c r="P292" s="173"/>
      <c r="Q292" s="192">
        <v>45544.0</v>
      </c>
      <c r="R292" s="263">
        <f t="shared" si="9"/>
        <v>45544</v>
      </c>
      <c r="S292" s="178"/>
      <c r="T292" s="174" t="s">
        <v>875</v>
      </c>
    </row>
    <row r="293" ht="58.5" hidden="1" customHeight="1">
      <c r="A293" s="143" t="s">
        <v>876</v>
      </c>
      <c r="B293" s="144">
        <v>45069.0</v>
      </c>
      <c r="C293" s="214">
        <f t="shared" si="10"/>
        <v>45069</v>
      </c>
      <c r="D293" s="145" t="s">
        <v>147</v>
      </c>
      <c r="E293" s="145" t="s">
        <v>25</v>
      </c>
      <c r="F293" s="145" t="s">
        <v>26</v>
      </c>
      <c r="G293" s="146" t="s">
        <v>877</v>
      </c>
      <c r="H293" s="145" t="s">
        <v>28</v>
      </c>
      <c r="I293" s="264" t="s">
        <v>29</v>
      </c>
      <c r="J293" s="264" t="s">
        <v>128</v>
      </c>
      <c r="K293" s="144">
        <v>45135.0</v>
      </c>
      <c r="L293" s="144"/>
      <c r="M293" s="144"/>
      <c r="N293" s="265" t="s">
        <v>42</v>
      </c>
      <c r="O293" s="145">
        <v>355.15</v>
      </c>
      <c r="P293" s="144"/>
      <c r="Q293" s="266">
        <v>45246.0</v>
      </c>
      <c r="R293" s="214">
        <f t="shared" si="9"/>
        <v>45246</v>
      </c>
      <c r="S293" s="171" t="s">
        <v>43</v>
      </c>
      <c r="T293" s="145" t="s">
        <v>878</v>
      </c>
    </row>
    <row r="294" ht="58.5" hidden="1" customHeight="1">
      <c r="A294" s="143" t="s">
        <v>879</v>
      </c>
      <c r="B294" s="144">
        <v>45064.0</v>
      </c>
      <c r="C294" s="214">
        <f t="shared" si="10"/>
        <v>45064</v>
      </c>
      <c r="D294" s="145" t="s">
        <v>237</v>
      </c>
      <c r="E294" s="145" t="s">
        <v>33</v>
      </c>
      <c r="F294" s="145" t="s">
        <v>26</v>
      </c>
      <c r="G294" s="146" t="s">
        <v>880</v>
      </c>
      <c r="H294" s="145" t="s">
        <v>28</v>
      </c>
      <c r="I294" s="264" t="s">
        <v>36</v>
      </c>
      <c r="J294" s="264" t="s">
        <v>497</v>
      </c>
      <c r="K294" s="144">
        <v>45089.0</v>
      </c>
      <c r="L294" s="144"/>
      <c r="M294" s="144"/>
      <c r="N294" s="265" t="s">
        <v>42</v>
      </c>
      <c r="O294" s="145">
        <v>138.24</v>
      </c>
      <c r="P294" s="144"/>
      <c r="Q294" s="266">
        <v>45125.0</v>
      </c>
      <c r="R294" s="214">
        <f t="shared" si="9"/>
        <v>45125</v>
      </c>
      <c r="S294" s="171" t="s">
        <v>43</v>
      </c>
      <c r="T294" s="145" t="s">
        <v>881</v>
      </c>
    </row>
    <row r="295" ht="58.5" hidden="1" customHeight="1">
      <c r="A295" s="143" t="s">
        <v>882</v>
      </c>
      <c r="B295" s="144">
        <v>45050.0</v>
      </c>
      <c r="C295" s="214">
        <f t="shared" si="10"/>
        <v>45050</v>
      </c>
      <c r="D295" s="145" t="s">
        <v>633</v>
      </c>
      <c r="E295" s="145" t="s">
        <v>25</v>
      </c>
      <c r="F295" s="145" t="s">
        <v>26</v>
      </c>
      <c r="G295" s="146" t="s">
        <v>883</v>
      </c>
      <c r="H295" s="145" t="s">
        <v>28</v>
      </c>
      <c r="I295" s="264" t="s">
        <v>36</v>
      </c>
      <c r="J295" s="264" t="s">
        <v>152</v>
      </c>
      <c r="K295" s="144">
        <v>45135.0</v>
      </c>
      <c r="L295" s="144"/>
      <c r="M295" s="144"/>
      <c r="N295" s="265" t="s">
        <v>42</v>
      </c>
      <c r="O295" s="145"/>
      <c r="P295" s="144"/>
      <c r="Q295" s="266">
        <v>45154.0</v>
      </c>
      <c r="R295" s="214">
        <f t="shared" si="9"/>
        <v>45154</v>
      </c>
      <c r="S295" s="171" t="s">
        <v>227</v>
      </c>
      <c r="T295" s="145" t="s">
        <v>884</v>
      </c>
    </row>
    <row r="296" ht="58.5" hidden="1" customHeight="1">
      <c r="A296" s="143" t="s">
        <v>885</v>
      </c>
      <c r="B296" s="144">
        <v>45049.0</v>
      </c>
      <c r="C296" s="214">
        <f t="shared" si="10"/>
        <v>45049</v>
      </c>
      <c r="D296" s="145" t="s">
        <v>195</v>
      </c>
      <c r="E296" s="145" t="s">
        <v>33</v>
      </c>
      <c r="F296" s="145" t="s">
        <v>26</v>
      </c>
      <c r="G296" s="146" t="s">
        <v>843</v>
      </c>
      <c r="H296" s="145" t="s">
        <v>35</v>
      </c>
      <c r="I296" s="264" t="s">
        <v>36</v>
      </c>
      <c r="J296" s="264" t="s">
        <v>152</v>
      </c>
      <c r="K296" s="144">
        <v>45055.0</v>
      </c>
      <c r="L296" s="144"/>
      <c r="M296" s="144"/>
      <c r="N296" s="265" t="s">
        <v>42</v>
      </c>
      <c r="O296" s="145">
        <v>44.6</v>
      </c>
      <c r="P296" s="144"/>
      <c r="Q296" s="266">
        <v>45056.0</v>
      </c>
      <c r="R296" s="214">
        <f t="shared" si="9"/>
        <v>45056</v>
      </c>
      <c r="S296" s="171" t="s">
        <v>43</v>
      </c>
      <c r="T296" s="145" t="s">
        <v>886</v>
      </c>
    </row>
    <row r="297" ht="58.5" hidden="1" customHeight="1">
      <c r="A297" s="143" t="s">
        <v>873</v>
      </c>
      <c r="B297" s="144">
        <v>45049.0</v>
      </c>
      <c r="C297" s="214">
        <f t="shared" si="10"/>
        <v>45049</v>
      </c>
      <c r="D297" s="145" t="s">
        <v>133</v>
      </c>
      <c r="E297" s="145" t="s">
        <v>33</v>
      </c>
      <c r="F297" s="145" t="s">
        <v>26</v>
      </c>
      <c r="G297" s="146" t="s">
        <v>874</v>
      </c>
      <c r="H297" s="145" t="s">
        <v>28</v>
      </c>
      <c r="I297" s="264" t="s">
        <v>36</v>
      </c>
      <c r="J297" s="264" t="s">
        <v>497</v>
      </c>
      <c r="K297" s="144">
        <v>45135.0</v>
      </c>
      <c r="L297" s="144"/>
      <c r="M297" s="144"/>
      <c r="N297" s="265" t="s">
        <v>42</v>
      </c>
      <c r="O297" s="145"/>
      <c r="P297" s="144"/>
      <c r="Q297" s="266">
        <v>45544.0</v>
      </c>
      <c r="R297" s="214">
        <f t="shared" si="9"/>
        <v>45544</v>
      </c>
      <c r="S297" s="171" t="s">
        <v>119</v>
      </c>
      <c r="T297" s="145" t="s">
        <v>887</v>
      </c>
    </row>
    <row r="298" ht="58.5" customHeight="1">
      <c r="A298" s="172" t="s">
        <v>888</v>
      </c>
      <c r="B298" s="173">
        <v>45048.0</v>
      </c>
      <c r="C298" s="214">
        <f t="shared" si="10"/>
        <v>45048</v>
      </c>
      <c r="D298" s="174" t="s">
        <v>24</v>
      </c>
      <c r="E298" s="174" t="s">
        <v>25</v>
      </c>
      <c r="F298" s="174" t="s">
        <v>26</v>
      </c>
      <c r="G298" s="175" t="s">
        <v>889</v>
      </c>
      <c r="H298" s="174" t="s">
        <v>186</v>
      </c>
      <c r="I298" s="196" t="s">
        <v>36</v>
      </c>
      <c r="J298" s="196" t="s">
        <v>110</v>
      </c>
      <c r="K298" s="173"/>
      <c r="L298" s="173"/>
      <c r="M298" s="173"/>
      <c r="N298" s="197" t="s">
        <v>118</v>
      </c>
      <c r="O298" s="174"/>
      <c r="P298" s="173"/>
      <c r="Q298" s="173">
        <v>45224.0</v>
      </c>
      <c r="R298" s="214">
        <f t="shared" si="9"/>
        <v>45224</v>
      </c>
      <c r="S298" s="178" t="s">
        <v>119</v>
      </c>
      <c r="T298" s="174" t="s">
        <v>890</v>
      </c>
    </row>
    <row r="299" ht="58.5" customHeight="1">
      <c r="A299" s="172" t="s">
        <v>891</v>
      </c>
      <c r="B299" s="173">
        <v>45040.0</v>
      </c>
      <c r="C299" s="214">
        <f t="shared" si="10"/>
        <v>45040</v>
      </c>
      <c r="D299" s="174" t="s">
        <v>892</v>
      </c>
      <c r="E299" s="174" t="s">
        <v>25</v>
      </c>
      <c r="F299" s="174" t="s">
        <v>26</v>
      </c>
      <c r="G299" s="175" t="s">
        <v>893</v>
      </c>
      <c r="H299" s="174" t="s">
        <v>28</v>
      </c>
      <c r="I299" s="196" t="s">
        <v>36</v>
      </c>
      <c r="J299" s="196" t="s">
        <v>110</v>
      </c>
      <c r="K299" s="173">
        <v>45043.0</v>
      </c>
      <c r="L299" s="173"/>
      <c r="M299" s="173"/>
      <c r="N299" s="197" t="s">
        <v>42</v>
      </c>
      <c r="O299" s="174">
        <v>89.95</v>
      </c>
      <c r="P299" s="173"/>
      <c r="Q299" s="173">
        <v>45084.0</v>
      </c>
      <c r="R299" s="214">
        <f t="shared" si="9"/>
        <v>45084</v>
      </c>
      <c r="S299" s="178" t="s">
        <v>96</v>
      </c>
      <c r="T299" s="174" t="s">
        <v>894</v>
      </c>
    </row>
    <row r="300" ht="58.5" hidden="1" customHeight="1">
      <c r="A300" s="172" t="s">
        <v>895</v>
      </c>
      <c r="B300" s="173">
        <v>45034.0</v>
      </c>
      <c r="C300" s="214">
        <f t="shared" si="10"/>
        <v>45034</v>
      </c>
      <c r="D300" s="174" t="s">
        <v>133</v>
      </c>
      <c r="E300" s="174" t="s">
        <v>33</v>
      </c>
      <c r="F300" s="174" t="s">
        <v>26</v>
      </c>
      <c r="G300" s="175" t="s">
        <v>896</v>
      </c>
      <c r="H300" s="174" t="s">
        <v>28</v>
      </c>
      <c r="I300" s="196" t="s">
        <v>29</v>
      </c>
      <c r="J300" s="196" t="s">
        <v>128</v>
      </c>
      <c r="K300" s="173">
        <v>45055.0</v>
      </c>
      <c r="L300" s="173"/>
      <c r="M300" s="173"/>
      <c r="N300" s="197" t="s">
        <v>42</v>
      </c>
      <c r="O300" s="174"/>
      <c r="P300" s="173"/>
      <c r="Q300" s="173">
        <v>45105.0</v>
      </c>
      <c r="R300" s="214">
        <f t="shared" si="9"/>
        <v>45105</v>
      </c>
      <c r="S300" s="178" t="s">
        <v>96</v>
      </c>
      <c r="T300" s="174" t="s">
        <v>897</v>
      </c>
    </row>
    <row r="301" ht="58.5" hidden="1" customHeight="1">
      <c r="A301" s="172" t="s">
        <v>898</v>
      </c>
      <c r="B301" s="173">
        <v>45034.0</v>
      </c>
      <c r="C301" s="214">
        <f t="shared" si="10"/>
        <v>45034</v>
      </c>
      <c r="D301" s="174" t="s">
        <v>133</v>
      </c>
      <c r="E301" s="174" t="s">
        <v>33</v>
      </c>
      <c r="F301" s="174" t="s">
        <v>26</v>
      </c>
      <c r="G301" s="175" t="s">
        <v>899</v>
      </c>
      <c r="H301" s="174" t="s">
        <v>28</v>
      </c>
      <c r="I301" s="196" t="s">
        <v>36</v>
      </c>
      <c r="J301" s="196" t="s">
        <v>497</v>
      </c>
      <c r="K301" s="173">
        <v>45126.0</v>
      </c>
      <c r="L301" s="173"/>
      <c r="M301" s="173"/>
      <c r="N301" s="197" t="s">
        <v>42</v>
      </c>
      <c r="O301" s="174">
        <v>44.32</v>
      </c>
      <c r="P301" s="173"/>
      <c r="Q301" s="173">
        <v>45141.0</v>
      </c>
      <c r="R301" s="214">
        <f t="shared" si="9"/>
        <v>45141</v>
      </c>
      <c r="S301" s="178" t="s">
        <v>43</v>
      </c>
      <c r="T301" s="174" t="s">
        <v>900</v>
      </c>
    </row>
    <row r="302" ht="58.5" hidden="1" customHeight="1">
      <c r="A302" s="172" t="s">
        <v>901</v>
      </c>
      <c r="B302" s="173">
        <v>45026.0</v>
      </c>
      <c r="C302" s="214">
        <f t="shared" si="10"/>
        <v>45026</v>
      </c>
      <c r="D302" s="174" t="s">
        <v>902</v>
      </c>
      <c r="E302" s="174" t="s">
        <v>25</v>
      </c>
      <c r="F302" s="174" t="s">
        <v>26</v>
      </c>
      <c r="G302" s="175" t="s">
        <v>903</v>
      </c>
      <c r="H302" s="174" t="s">
        <v>28</v>
      </c>
      <c r="I302" s="196" t="s">
        <v>36</v>
      </c>
      <c r="J302" s="196" t="s">
        <v>152</v>
      </c>
      <c r="K302" s="173">
        <v>45040.0</v>
      </c>
      <c r="L302" s="173"/>
      <c r="M302" s="173"/>
      <c r="N302" s="197" t="s">
        <v>42</v>
      </c>
      <c r="O302" s="174">
        <v>43.0</v>
      </c>
      <c r="P302" s="173"/>
      <c r="Q302" s="173">
        <v>45084.0</v>
      </c>
      <c r="R302" s="214">
        <f t="shared" si="9"/>
        <v>45084</v>
      </c>
      <c r="S302" s="178" t="s">
        <v>96</v>
      </c>
      <c r="T302" s="174" t="s">
        <v>904</v>
      </c>
    </row>
    <row r="303" ht="58.5" hidden="1" customHeight="1">
      <c r="A303" s="149" t="s">
        <v>905</v>
      </c>
      <c r="B303" s="150">
        <v>45016.0</v>
      </c>
      <c r="C303" s="245">
        <f t="shared" si="10"/>
        <v>45016</v>
      </c>
      <c r="D303" s="151" t="s">
        <v>147</v>
      </c>
      <c r="E303" s="151" t="s">
        <v>25</v>
      </c>
      <c r="F303" s="151" t="s">
        <v>26</v>
      </c>
      <c r="G303" s="152" t="s">
        <v>906</v>
      </c>
      <c r="H303" s="151" t="s">
        <v>28</v>
      </c>
      <c r="I303" s="267" t="s">
        <v>61</v>
      </c>
      <c r="J303" s="267" t="s">
        <v>41</v>
      </c>
      <c r="K303" s="150">
        <v>45016.0</v>
      </c>
      <c r="L303" s="150"/>
      <c r="M303" s="150"/>
      <c r="N303" s="268" t="s">
        <v>343</v>
      </c>
      <c r="O303" s="151"/>
      <c r="P303" s="150"/>
      <c r="Q303" s="150"/>
      <c r="R303" s="245" t="str">
        <f t="shared" si="9"/>
        <v/>
      </c>
      <c r="S303" s="150"/>
      <c r="T303" s="151" t="s">
        <v>907</v>
      </c>
    </row>
    <row r="304" ht="58.5" hidden="1" customHeight="1">
      <c r="A304" s="172" t="s">
        <v>908</v>
      </c>
      <c r="B304" s="173">
        <v>45006.0</v>
      </c>
      <c r="C304" s="214">
        <f t="shared" si="10"/>
        <v>45006</v>
      </c>
      <c r="D304" s="174" t="s">
        <v>419</v>
      </c>
      <c r="E304" s="174" t="s">
        <v>33</v>
      </c>
      <c r="F304" s="174" t="s">
        <v>26</v>
      </c>
      <c r="G304" s="175" t="s">
        <v>909</v>
      </c>
      <c r="H304" s="145" t="s">
        <v>28</v>
      </c>
      <c r="I304" s="196" t="s">
        <v>36</v>
      </c>
      <c r="J304" s="196" t="s">
        <v>128</v>
      </c>
      <c r="K304" s="173">
        <v>45015.0</v>
      </c>
      <c r="L304" s="173"/>
      <c r="M304" s="173"/>
      <c r="N304" s="197" t="s">
        <v>42</v>
      </c>
      <c r="O304" s="174">
        <v>133.2</v>
      </c>
      <c r="P304" s="173"/>
      <c r="Q304" s="173">
        <v>45082.0</v>
      </c>
      <c r="R304" s="214">
        <f t="shared" si="9"/>
        <v>45082</v>
      </c>
      <c r="S304" s="171" t="s">
        <v>43</v>
      </c>
      <c r="T304" s="174" t="s">
        <v>910</v>
      </c>
    </row>
    <row r="305" ht="58.5" hidden="1" customHeight="1">
      <c r="A305" s="172" t="s">
        <v>911</v>
      </c>
      <c r="B305" s="173">
        <v>44999.0</v>
      </c>
      <c r="C305" s="214">
        <f t="shared" si="10"/>
        <v>44999</v>
      </c>
      <c r="D305" s="174" t="s">
        <v>24</v>
      </c>
      <c r="E305" s="174" t="s">
        <v>25</v>
      </c>
      <c r="F305" s="174" t="s">
        <v>26</v>
      </c>
      <c r="G305" s="175" t="s">
        <v>912</v>
      </c>
      <c r="H305" s="145" t="s">
        <v>28</v>
      </c>
      <c r="I305" s="196" t="s">
        <v>36</v>
      </c>
      <c r="J305" s="196" t="s">
        <v>497</v>
      </c>
      <c r="K305" s="173">
        <v>44999.0</v>
      </c>
      <c r="L305" s="173"/>
      <c r="M305" s="173"/>
      <c r="N305" s="197" t="s">
        <v>42</v>
      </c>
      <c r="O305" s="174"/>
      <c r="P305" s="173"/>
      <c r="Q305" s="173">
        <v>45012.0</v>
      </c>
      <c r="R305" s="214">
        <f t="shared" si="9"/>
        <v>45012</v>
      </c>
      <c r="S305" s="171" t="s">
        <v>119</v>
      </c>
      <c r="T305" s="174" t="s">
        <v>913</v>
      </c>
    </row>
    <row r="306" ht="58.5" hidden="1" customHeight="1">
      <c r="A306" s="172" t="s">
        <v>914</v>
      </c>
      <c r="B306" s="173">
        <v>44999.0</v>
      </c>
      <c r="C306" s="214">
        <f t="shared" si="10"/>
        <v>44999</v>
      </c>
      <c r="D306" s="174" t="s">
        <v>915</v>
      </c>
      <c r="E306" s="174" t="s">
        <v>25</v>
      </c>
      <c r="F306" s="174" t="s">
        <v>26</v>
      </c>
      <c r="G306" s="175" t="s">
        <v>916</v>
      </c>
      <c r="H306" s="145" t="s">
        <v>49</v>
      </c>
      <c r="I306" s="196" t="s">
        <v>61</v>
      </c>
      <c r="J306" s="196" t="s">
        <v>497</v>
      </c>
      <c r="K306" s="173">
        <v>45012.0</v>
      </c>
      <c r="L306" s="173"/>
      <c r="M306" s="173"/>
      <c r="N306" s="197" t="s">
        <v>42</v>
      </c>
      <c r="O306" s="174"/>
      <c r="P306" s="173"/>
      <c r="Q306" s="173">
        <v>45013.0</v>
      </c>
      <c r="R306" s="214">
        <f t="shared" si="9"/>
        <v>45013</v>
      </c>
      <c r="S306" s="171" t="s">
        <v>96</v>
      </c>
      <c r="T306" s="174" t="s">
        <v>917</v>
      </c>
    </row>
    <row r="307" ht="58.5" hidden="1" customHeight="1">
      <c r="A307" s="164" t="s">
        <v>918</v>
      </c>
      <c r="B307" s="165">
        <v>44998.0</v>
      </c>
      <c r="C307" s="260">
        <f t="shared" si="10"/>
        <v>44998</v>
      </c>
      <c r="D307" s="166" t="s">
        <v>919</v>
      </c>
      <c r="E307" s="166" t="s">
        <v>920</v>
      </c>
      <c r="F307" s="166" t="s">
        <v>26</v>
      </c>
      <c r="G307" s="167" t="s">
        <v>921</v>
      </c>
      <c r="H307" s="166" t="s">
        <v>28</v>
      </c>
      <c r="I307" s="234" t="s">
        <v>61</v>
      </c>
      <c r="J307" s="269"/>
      <c r="K307" s="165"/>
      <c r="L307" s="165"/>
      <c r="M307" s="165"/>
      <c r="N307" s="235" t="s">
        <v>30</v>
      </c>
      <c r="O307" s="166"/>
      <c r="P307" s="165"/>
      <c r="Q307" s="165"/>
      <c r="R307" s="260" t="str">
        <f t="shared" si="9"/>
        <v/>
      </c>
      <c r="S307" s="165"/>
      <c r="T307" s="166"/>
    </row>
    <row r="308" ht="58.5" hidden="1" customHeight="1">
      <c r="A308" s="172" t="s">
        <v>922</v>
      </c>
      <c r="B308" s="173">
        <v>44993.0</v>
      </c>
      <c r="C308" s="214">
        <f t="shared" si="10"/>
        <v>44993</v>
      </c>
      <c r="D308" s="174" t="s">
        <v>745</v>
      </c>
      <c r="E308" s="174" t="s">
        <v>25</v>
      </c>
      <c r="F308" s="174" t="s">
        <v>26</v>
      </c>
      <c r="G308" s="175" t="s">
        <v>923</v>
      </c>
      <c r="H308" s="145" t="s">
        <v>49</v>
      </c>
      <c r="I308" s="196" t="s">
        <v>61</v>
      </c>
      <c r="J308" s="196" t="s">
        <v>41</v>
      </c>
      <c r="K308" s="173">
        <v>44993.0</v>
      </c>
      <c r="L308" s="173"/>
      <c r="M308" s="178"/>
      <c r="N308" s="197" t="s">
        <v>42</v>
      </c>
      <c r="O308" s="174">
        <v>262.49</v>
      </c>
      <c r="P308" s="173"/>
      <c r="Q308" s="173">
        <v>45043.0</v>
      </c>
      <c r="R308" s="214">
        <f t="shared" si="9"/>
        <v>45043</v>
      </c>
      <c r="S308" s="171" t="s">
        <v>43</v>
      </c>
      <c r="T308" s="174" t="s">
        <v>924</v>
      </c>
    </row>
    <row r="309" ht="58.5" customHeight="1">
      <c r="A309" s="172" t="s">
        <v>925</v>
      </c>
      <c r="B309" s="173">
        <v>44993.0</v>
      </c>
      <c r="C309" s="214">
        <f t="shared" si="10"/>
        <v>44993</v>
      </c>
      <c r="D309" s="174" t="s">
        <v>285</v>
      </c>
      <c r="E309" s="174" t="s">
        <v>25</v>
      </c>
      <c r="F309" s="174" t="s">
        <v>26</v>
      </c>
      <c r="G309" s="175" t="s">
        <v>926</v>
      </c>
      <c r="H309" s="145" t="s">
        <v>28</v>
      </c>
      <c r="I309" s="196" t="s">
        <v>29</v>
      </c>
      <c r="J309" s="196" t="s">
        <v>110</v>
      </c>
      <c r="K309" s="173">
        <v>45042.0</v>
      </c>
      <c r="L309" s="173">
        <v>45800.0</v>
      </c>
      <c r="M309" s="178" t="s">
        <v>927</v>
      </c>
      <c r="N309" s="197" t="s">
        <v>42</v>
      </c>
      <c r="O309" s="174">
        <v>482.25</v>
      </c>
      <c r="P309" s="173">
        <v>45839.0</v>
      </c>
      <c r="Q309" s="173">
        <v>45839.0</v>
      </c>
      <c r="R309" s="214">
        <f t="shared" si="9"/>
        <v>45839</v>
      </c>
      <c r="S309" s="171" t="s">
        <v>797</v>
      </c>
      <c r="T309" s="174" t="s">
        <v>928</v>
      </c>
    </row>
    <row r="310" ht="58.5" hidden="1" customHeight="1">
      <c r="A310" s="143" t="s">
        <v>929</v>
      </c>
      <c r="B310" s="144">
        <v>44991.0</v>
      </c>
      <c r="C310" s="214">
        <f t="shared" si="10"/>
        <v>44991</v>
      </c>
      <c r="D310" s="145" t="s">
        <v>108</v>
      </c>
      <c r="E310" s="145" t="s">
        <v>25</v>
      </c>
      <c r="F310" s="145" t="s">
        <v>26</v>
      </c>
      <c r="G310" s="146" t="s">
        <v>930</v>
      </c>
      <c r="H310" s="145" t="s">
        <v>49</v>
      </c>
      <c r="I310" s="270" t="s">
        <v>29</v>
      </c>
      <c r="J310" s="270" t="s">
        <v>128</v>
      </c>
      <c r="K310" s="144">
        <v>44991.0</v>
      </c>
      <c r="L310" s="144"/>
      <c r="M310" s="144"/>
      <c r="N310" s="271" t="s">
        <v>42</v>
      </c>
      <c r="O310" s="145"/>
      <c r="P310" s="144"/>
      <c r="Q310" s="272">
        <v>45021.0</v>
      </c>
      <c r="R310" s="214">
        <f t="shared" si="9"/>
        <v>45021</v>
      </c>
      <c r="S310" s="171" t="s">
        <v>96</v>
      </c>
      <c r="T310" s="145" t="s">
        <v>931</v>
      </c>
    </row>
    <row r="311" ht="58.5" hidden="1" customHeight="1">
      <c r="A311" s="143" t="s">
        <v>932</v>
      </c>
      <c r="B311" s="144">
        <v>44987.0</v>
      </c>
      <c r="C311" s="214">
        <f t="shared" si="10"/>
        <v>44987</v>
      </c>
      <c r="D311" s="145" t="s">
        <v>633</v>
      </c>
      <c r="E311" s="145" t="s">
        <v>25</v>
      </c>
      <c r="F311" s="145" t="s">
        <v>26</v>
      </c>
      <c r="G311" s="146" t="s">
        <v>933</v>
      </c>
      <c r="H311" s="145" t="s">
        <v>28</v>
      </c>
      <c r="I311" s="270" t="s">
        <v>36</v>
      </c>
      <c r="J311" s="270" t="s">
        <v>75</v>
      </c>
      <c r="K311" s="144">
        <v>45019.0</v>
      </c>
      <c r="L311" s="144"/>
      <c r="M311" s="144"/>
      <c r="N311" s="271" t="s">
        <v>42</v>
      </c>
      <c r="O311" s="145">
        <v>256.7</v>
      </c>
      <c r="P311" s="144"/>
      <c r="Q311" s="144">
        <v>45210.0</v>
      </c>
      <c r="R311" s="214">
        <f t="shared" si="9"/>
        <v>45210</v>
      </c>
      <c r="S311" s="171" t="s">
        <v>227</v>
      </c>
      <c r="T311" s="145" t="s">
        <v>934</v>
      </c>
    </row>
    <row r="312" ht="58.5" hidden="1" customHeight="1">
      <c r="A312" s="143" t="s">
        <v>935</v>
      </c>
      <c r="B312" s="144">
        <v>44985.0</v>
      </c>
      <c r="C312" s="214">
        <f t="shared" si="10"/>
        <v>44985</v>
      </c>
      <c r="D312" s="145" t="s">
        <v>936</v>
      </c>
      <c r="E312" s="145" t="s">
        <v>33</v>
      </c>
      <c r="F312" s="145" t="s">
        <v>26</v>
      </c>
      <c r="G312" s="146" t="s">
        <v>937</v>
      </c>
      <c r="H312" s="145" t="s">
        <v>28</v>
      </c>
      <c r="I312" s="270" t="s">
        <v>61</v>
      </c>
      <c r="J312" s="270" t="s">
        <v>497</v>
      </c>
      <c r="K312" s="144">
        <v>45043.0</v>
      </c>
      <c r="L312" s="144"/>
      <c r="M312" s="144"/>
      <c r="N312" s="271" t="s">
        <v>42</v>
      </c>
      <c r="O312" s="145"/>
      <c r="P312" s="144"/>
      <c r="Q312" s="144">
        <v>45089.0</v>
      </c>
      <c r="R312" s="214">
        <f t="shared" si="9"/>
        <v>45089</v>
      </c>
      <c r="S312" s="171" t="s">
        <v>43</v>
      </c>
      <c r="T312" s="145" t="s">
        <v>938</v>
      </c>
    </row>
    <row r="313" ht="58.5" hidden="1" customHeight="1">
      <c r="A313" s="143" t="s">
        <v>939</v>
      </c>
      <c r="B313" s="144">
        <v>44981.0</v>
      </c>
      <c r="C313" s="214">
        <f t="shared" si="10"/>
        <v>44981</v>
      </c>
      <c r="D313" s="145" t="s">
        <v>165</v>
      </c>
      <c r="E313" s="145" t="s">
        <v>33</v>
      </c>
      <c r="F313" s="145" t="s">
        <v>26</v>
      </c>
      <c r="G313" s="146" t="s">
        <v>940</v>
      </c>
      <c r="H313" s="145" t="s">
        <v>28</v>
      </c>
      <c r="I313" s="270" t="s">
        <v>61</v>
      </c>
      <c r="J313" s="270" t="s">
        <v>497</v>
      </c>
      <c r="K313" s="144">
        <v>45156.0</v>
      </c>
      <c r="L313" s="144"/>
      <c r="M313" s="144"/>
      <c r="N313" s="271" t="s">
        <v>343</v>
      </c>
      <c r="O313" s="145"/>
      <c r="P313" s="144"/>
      <c r="Q313" s="144"/>
      <c r="R313" s="214" t="str">
        <f t="shared" si="9"/>
        <v/>
      </c>
      <c r="S313" s="144"/>
      <c r="T313" s="145" t="s">
        <v>941</v>
      </c>
    </row>
    <row r="314" ht="58.5" hidden="1" customHeight="1">
      <c r="A314" s="143" t="s">
        <v>942</v>
      </c>
      <c r="B314" s="144">
        <v>44960.0</v>
      </c>
      <c r="C314" s="214">
        <f t="shared" si="10"/>
        <v>44960</v>
      </c>
      <c r="D314" s="145" t="s">
        <v>943</v>
      </c>
      <c r="E314" s="145" t="s">
        <v>25</v>
      </c>
      <c r="F314" s="145" t="s">
        <v>26</v>
      </c>
      <c r="G314" s="146" t="s">
        <v>944</v>
      </c>
      <c r="H314" s="145" t="s">
        <v>28</v>
      </c>
      <c r="I314" s="264" t="s">
        <v>36</v>
      </c>
      <c r="J314" s="264" t="s">
        <v>75</v>
      </c>
      <c r="K314" s="144">
        <v>44960.0</v>
      </c>
      <c r="L314" s="144"/>
      <c r="M314" s="144"/>
      <c r="N314" s="265" t="s">
        <v>42</v>
      </c>
      <c r="O314" s="145"/>
      <c r="P314" s="144"/>
      <c r="Q314" s="144">
        <v>45002.0</v>
      </c>
      <c r="R314" s="214">
        <f t="shared" si="9"/>
        <v>45002</v>
      </c>
      <c r="S314" s="171" t="s">
        <v>43</v>
      </c>
      <c r="T314" s="145" t="s">
        <v>945</v>
      </c>
    </row>
    <row r="315" ht="58.5" customHeight="1">
      <c r="A315" s="273" t="s">
        <v>946</v>
      </c>
      <c r="B315" s="144">
        <v>44957.0</v>
      </c>
      <c r="C315" s="214">
        <f t="shared" si="10"/>
        <v>44957</v>
      </c>
      <c r="D315" s="145" t="s">
        <v>165</v>
      </c>
      <c r="E315" s="145" t="s">
        <v>33</v>
      </c>
      <c r="F315" s="145" t="s">
        <v>26</v>
      </c>
      <c r="G315" s="146" t="s">
        <v>947</v>
      </c>
      <c r="H315" s="145" t="s">
        <v>28</v>
      </c>
      <c r="I315" s="264" t="s">
        <v>29</v>
      </c>
      <c r="J315" s="264" t="s">
        <v>110</v>
      </c>
      <c r="K315" s="144">
        <v>44967.0</v>
      </c>
      <c r="L315" s="144"/>
      <c r="M315" s="144"/>
      <c r="N315" s="265" t="s">
        <v>42</v>
      </c>
      <c r="O315" s="145">
        <v>345.65</v>
      </c>
      <c r="P315" s="144"/>
      <c r="Q315" s="144">
        <v>45040.0</v>
      </c>
      <c r="R315" s="214">
        <f t="shared" si="9"/>
        <v>45040</v>
      </c>
      <c r="S315" s="171" t="s">
        <v>96</v>
      </c>
      <c r="T315" s="145" t="s">
        <v>948</v>
      </c>
    </row>
    <row r="316" ht="58.5" hidden="1" customHeight="1">
      <c r="A316" s="143" t="s">
        <v>949</v>
      </c>
      <c r="B316" s="144">
        <v>44946.0</v>
      </c>
      <c r="C316" s="214">
        <f t="shared" si="10"/>
        <v>44946</v>
      </c>
      <c r="D316" s="145" t="s">
        <v>24</v>
      </c>
      <c r="E316" s="145" t="s">
        <v>25</v>
      </c>
      <c r="F316" s="145" t="s">
        <v>26</v>
      </c>
      <c r="G316" s="146" t="s">
        <v>950</v>
      </c>
      <c r="H316" s="145" t="s">
        <v>28</v>
      </c>
      <c r="I316" s="264" t="s">
        <v>36</v>
      </c>
      <c r="J316" s="264" t="s">
        <v>497</v>
      </c>
      <c r="K316" s="144">
        <v>45040.0</v>
      </c>
      <c r="L316" s="144"/>
      <c r="M316" s="144"/>
      <c r="N316" s="265" t="s">
        <v>42</v>
      </c>
      <c r="O316" s="145"/>
      <c r="P316" s="144"/>
      <c r="Q316" s="144">
        <v>45357.0</v>
      </c>
      <c r="R316" s="214">
        <f t="shared" si="9"/>
        <v>45357</v>
      </c>
      <c r="S316" s="171" t="s">
        <v>43</v>
      </c>
      <c r="T316" s="145" t="s">
        <v>951</v>
      </c>
    </row>
    <row r="317" ht="58.5" hidden="1" customHeight="1">
      <c r="A317" s="149" t="s">
        <v>952</v>
      </c>
      <c r="B317" s="150">
        <v>44939.0</v>
      </c>
      <c r="C317" s="245">
        <f t="shared" si="10"/>
        <v>44939</v>
      </c>
      <c r="D317" s="151" t="s">
        <v>953</v>
      </c>
      <c r="E317" s="151" t="s">
        <v>25</v>
      </c>
      <c r="F317" s="151" t="s">
        <v>26</v>
      </c>
      <c r="G317" s="152" t="s">
        <v>954</v>
      </c>
      <c r="H317" s="151" t="s">
        <v>28</v>
      </c>
      <c r="I317" s="267" t="s">
        <v>36</v>
      </c>
      <c r="J317" s="267" t="s">
        <v>75</v>
      </c>
      <c r="K317" s="150">
        <v>44939.0</v>
      </c>
      <c r="L317" s="150"/>
      <c r="M317" s="150"/>
      <c r="N317" s="268" t="s">
        <v>118</v>
      </c>
      <c r="O317" s="151"/>
      <c r="P317" s="150"/>
      <c r="Q317" s="150">
        <v>45679.0</v>
      </c>
      <c r="R317" s="245">
        <f t="shared" si="9"/>
        <v>45679</v>
      </c>
      <c r="S317" s="156" t="s">
        <v>124</v>
      </c>
      <c r="T317" s="151" t="s">
        <v>955</v>
      </c>
    </row>
    <row r="318" ht="45.0" hidden="1" customHeight="1">
      <c r="A318" s="172" t="s">
        <v>956</v>
      </c>
      <c r="B318" s="173">
        <v>44895.0</v>
      </c>
      <c r="C318" s="214">
        <f t="shared" si="10"/>
        <v>44895</v>
      </c>
      <c r="D318" s="174" t="s">
        <v>375</v>
      </c>
      <c r="E318" s="174" t="s">
        <v>25</v>
      </c>
      <c r="F318" s="174" t="s">
        <v>26</v>
      </c>
      <c r="G318" s="175" t="s">
        <v>957</v>
      </c>
      <c r="H318" s="145" t="s">
        <v>28</v>
      </c>
      <c r="I318" s="196" t="s">
        <v>36</v>
      </c>
      <c r="J318" s="196" t="s">
        <v>128</v>
      </c>
      <c r="K318" s="173">
        <v>44963.0</v>
      </c>
      <c r="L318" s="144"/>
      <c r="M318" s="144">
        <v>45239.0</v>
      </c>
      <c r="N318" s="197" t="s">
        <v>42</v>
      </c>
      <c r="O318" s="174"/>
      <c r="P318" s="144"/>
      <c r="Q318" s="144">
        <v>45541.0</v>
      </c>
      <c r="R318" s="214">
        <f t="shared" si="9"/>
        <v>45541</v>
      </c>
      <c r="S318" s="171" t="s">
        <v>227</v>
      </c>
      <c r="T318" s="174" t="s">
        <v>958</v>
      </c>
    </row>
    <row r="319" ht="62.25" hidden="1" customHeight="1">
      <c r="A319" s="143" t="s">
        <v>959</v>
      </c>
      <c r="B319" s="144">
        <v>44956.0</v>
      </c>
      <c r="C319" s="214">
        <f t="shared" si="10"/>
        <v>44956</v>
      </c>
      <c r="D319" s="145" t="s">
        <v>960</v>
      </c>
      <c r="E319" s="145" t="s">
        <v>25</v>
      </c>
      <c r="F319" s="174" t="s">
        <v>26</v>
      </c>
      <c r="G319" s="146" t="s">
        <v>961</v>
      </c>
      <c r="H319" s="145" t="s">
        <v>28</v>
      </c>
      <c r="I319" s="274" t="s">
        <v>36</v>
      </c>
      <c r="J319" s="274" t="s">
        <v>497</v>
      </c>
      <c r="K319" s="144">
        <v>45022.0</v>
      </c>
      <c r="L319" s="144"/>
      <c r="M319" s="144"/>
      <c r="N319" s="274" t="s">
        <v>42</v>
      </c>
      <c r="O319" s="171"/>
      <c r="P319" s="144"/>
      <c r="Q319" s="144">
        <v>45569.0</v>
      </c>
      <c r="R319" s="214">
        <f t="shared" si="9"/>
        <v>45569</v>
      </c>
      <c r="S319" s="171" t="s">
        <v>119</v>
      </c>
      <c r="T319" s="145" t="s">
        <v>962</v>
      </c>
    </row>
    <row r="320" ht="56.25" hidden="1" customHeight="1">
      <c r="A320" s="172" t="s">
        <v>963</v>
      </c>
      <c r="B320" s="173">
        <v>44946.0</v>
      </c>
      <c r="C320" s="214">
        <f t="shared" si="10"/>
        <v>44946</v>
      </c>
      <c r="D320" s="174" t="s">
        <v>936</v>
      </c>
      <c r="E320" s="174" t="s">
        <v>33</v>
      </c>
      <c r="F320" s="174" t="s">
        <v>26</v>
      </c>
      <c r="G320" s="175" t="s">
        <v>964</v>
      </c>
      <c r="H320" s="145" t="s">
        <v>28</v>
      </c>
      <c r="I320" s="239" t="s">
        <v>36</v>
      </c>
      <c r="J320" s="239" t="s">
        <v>497</v>
      </c>
      <c r="K320" s="173">
        <v>45043.0</v>
      </c>
      <c r="L320" s="173"/>
      <c r="M320" s="173"/>
      <c r="N320" s="239" t="s">
        <v>42</v>
      </c>
      <c r="O320" s="178"/>
      <c r="P320" s="173"/>
      <c r="Q320" s="173">
        <v>45089.0</v>
      </c>
      <c r="R320" s="214">
        <f t="shared" si="9"/>
        <v>45089</v>
      </c>
      <c r="S320" s="171" t="s">
        <v>43</v>
      </c>
      <c r="T320" s="174" t="s">
        <v>938</v>
      </c>
    </row>
    <row r="321" ht="56.25" hidden="1" customHeight="1">
      <c r="A321" s="172" t="s">
        <v>965</v>
      </c>
      <c r="B321" s="173">
        <v>44937.0</v>
      </c>
      <c r="C321" s="214">
        <f t="shared" si="10"/>
        <v>44937</v>
      </c>
      <c r="D321" s="174" t="s">
        <v>161</v>
      </c>
      <c r="E321" s="174" t="s">
        <v>25</v>
      </c>
      <c r="F321" s="174" t="s">
        <v>26</v>
      </c>
      <c r="G321" s="175" t="s">
        <v>966</v>
      </c>
      <c r="H321" s="145" t="s">
        <v>28</v>
      </c>
      <c r="I321" s="239" t="s">
        <v>36</v>
      </c>
      <c r="J321" s="239" t="s">
        <v>128</v>
      </c>
      <c r="K321" s="173">
        <v>44939.0</v>
      </c>
      <c r="L321" s="173"/>
      <c r="M321" s="173"/>
      <c r="N321" s="239" t="s">
        <v>42</v>
      </c>
      <c r="O321" s="178">
        <v>1823.7</v>
      </c>
      <c r="P321" s="173"/>
      <c r="Q321" s="173">
        <v>44949.0</v>
      </c>
      <c r="R321" s="214">
        <f t="shared" si="9"/>
        <v>44949</v>
      </c>
      <c r="S321" s="171" t="s">
        <v>96</v>
      </c>
      <c r="T321" s="174" t="s">
        <v>967</v>
      </c>
    </row>
    <row r="322" ht="56.25" hidden="1" customHeight="1">
      <c r="A322" s="172" t="s">
        <v>968</v>
      </c>
      <c r="B322" s="173">
        <v>44935.0</v>
      </c>
      <c r="C322" s="214">
        <f t="shared" si="10"/>
        <v>44935</v>
      </c>
      <c r="D322" s="174" t="s">
        <v>427</v>
      </c>
      <c r="E322" s="174" t="s">
        <v>25</v>
      </c>
      <c r="F322" s="174" t="s">
        <v>26</v>
      </c>
      <c r="G322" s="175" t="s">
        <v>969</v>
      </c>
      <c r="H322" s="145" t="s">
        <v>28</v>
      </c>
      <c r="I322" s="239" t="s">
        <v>29</v>
      </c>
      <c r="J322" s="239" t="s">
        <v>128</v>
      </c>
      <c r="K322" s="173">
        <v>44936.0</v>
      </c>
      <c r="L322" s="173"/>
      <c r="M322" s="173"/>
      <c r="N322" s="239" t="s">
        <v>42</v>
      </c>
      <c r="O322" s="178"/>
      <c r="P322" s="173"/>
      <c r="Q322" s="173">
        <v>44938.0</v>
      </c>
      <c r="R322" s="214">
        <f t="shared" si="9"/>
        <v>44938</v>
      </c>
      <c r="S322" s="171" t="s">
        <v>43</v>
      </c>
      <c r="T322" s="174" t="s">
        <v>970</v>
      </c>
    </row>
    <row r="323" ht="56.25" hidden="1" customHeight="1">
      <c r="A323" s="172" t="s">
        <v>971</v>
      </c>
      <c r="B323" s="173">
        <v>44935.0</v>
      </c>
      <c r="C323" s="214">
        <f t="shared" si="10"/>
        <v>44935</v>
      </c>
      <c r="D323" s="174" t="s">
        <v>32</v>
      </c>
      <c r="E323" s="174" t="s">
        <v>33</v>
      </c>
      <c r="F323" s="174" t="s">
        <v>26</v>
      </c>
      <c r="G323" s="175" t="s">
        <v>972</v>
      </c>
      <c r="H323" s="145" t="s">
        <v>28</v>
      </c>
      <c r="I323" s="239" t="s">
        <v>61</v>
      </c>
      <c r="J323" s="239"/>
      <c r="K323" s="173"/>
      <c r="L323" s="173"/>
      <c r="M323" s="173"/>
      <c r="N323" s="239" t="s">
        <v>30</v>
      </c>
      <c r="O323" s="178"/>
      <c r="P323" s="173"/>
      <c r="Q323" s="173"/>
      <c r="R323" s="214" t="str">
        <f t="shared" si="9"/>
        <v/>
      </c>
      <c r="S323" s="144"/>
      <c r="T323" s="178"/>
    </row>
    <row r="324" ht="46.5" hidden="1" customHeight="1">
      <c r="A324" s="172" t="s">
        <v>973</v>
      </c>
      <c r="B324" s="173">
        <v>44914.0</v>
      </c>
      <c r="C324" s="214">
        <f t="shared" si="10"/>
        <v>44914</v>
      </c>
      <c r="D324" s="174" t="s">
        <v>974</v>
      </c>
      <c r="E324" s="174" t="s">
        <v>47</v>
      </c>
      <c r="F324" s="174" t="s">
        <v>47</v>
      </c>
      <c r="G324" s="175" t="s">
        <v>975</v>
      </c>
      <c r="H324" s="145" t="s">
        <v>49</v>
      </c>
      <c r="I324" s="239" t="s">
        <v>61</v>
      </c>
      <c r="J324" s="239" t="s">
        <v>41</v>
      </c>
      <c r="K324" s="173">
        <v>44939.0</v>
      </c>
      <c r="L324" s="173"/>
      <c r="M324" s="173"/>
      <c r="N324" s="239" t="s">
        <v>42</v>
      </c>
      <c r="O324" s="178">
        <v>48.16</v>
      </c>
      <c r="P324" s="173"/>
      <c r="Q324" s="173">
        <v>44979.0</v>
      </c>
      <c r="R324" s="214">
        <f t="shared" si="9"/>
        <v>44979</v>
      </c>
      <c r="S324" s="171" t="s">
        <v>96</v>
      </c>
      <c r="T324" s="174" t="s">
        <v>976</v>
      </c>
    </row>
    <row r="325" ht="46.5" hidden="1" customHeight="1">
      <c r="A325" s="172" t="s">
        <v>977</v>
      </c>
      <c r="B325" s="173">
        <v>44907.0</v>
      </c>
      <c r="C325" s="214">
        <f t="shared" si="10"/>
        <v>44907</v>
      </c>
      <c r="D325" s="174" t="s">
        <v>633</v>
      </c>
      <c r="E325" s="174" t="s">
        <v>25</v>
      </c>
      <c r="F325" s="174" t="s">
        <v>26</v>
      </c>
      <c r="G325" s="175" t="s">
        <v>978</v>
      </c>
      <c r="H325" s="145" t="s">
        <v>28</v>
      </c>
      <c r="I325" s="239" t="s">
        <v>36</v>
      </c>
      <c r="J325" s="239" t="s">
        <v>128</v>
      </c>
      <c r="K325" s="173">
        <v>44907.0</v>
      </c>
      <c r="L325" s="173"/>
      <c r="M325" s="173"/>
      <c r="N325" s="239" t="s">
        <v>42</v>
      </c>
      <c r="O325" s="178">
        <v>361.0</v>
      </c>
      <c r="P325" s="173"/>
      <c r="Q325" s="173">
        <v>44914.0</v>
      </c>
      <c r="R325" s="214">
        <f t="shared" si="9"/>
        <v>44914</v>
      </c>
      <c r="S325" s="171" t="s">
        <v>43</v>
      </c>
      <c r="T325" s="174" t="s">
        <v>979</v>
      </c>
    </row>
    <row r="326" ht="46.5" customHeight="1">
      <c r="A326" s="172" t="s">
        <v>980</v>
      </c>
      <c r="B326" s="173">
        <v>44903.0</v>
      </c>
      <c r="C326" s="214">
        <f t="shared" si="10"/>
        <v>44903</v>
      </c>
      <c r="D326" s="174" t="s">
        <v>981</v>
      </c>
      <c r="E326" s="174" t="s">
        <v>25</v>
      </c>
      <c r="F326" s="174" t="s">
        <v>26</v>
      </c>
      <c r="G326" s="175" t="s">
        <v>982</v>
      </c>
      <c r="H326" s="145" t="s">
        <v>28</v>
      </c>
      <c r="I326" s="239" t="s">
        <v>36</v>
      </c>
      <c r="J326" s="239" t="s">
        <v>110</v>
      </c>
      <c r="K326" s="173">
        <v>44903.0</v>
      </c>
      <c r="L326" s="173"/>
      <c r="M326" s="173"/>
      <c r="N326" s="239" t="s">
        <v>42</v>
      </c>
      <c r="O326" s="178">
        <v>126.7</v>
      </c>
      <c r="P326" s="173"/>
      <c r="Q326" s="173">
        <v>44938.0</v>
      </c>
      <c r="R326" s="214">
        <f t="shared" si="9"/>
        <v>44938</v>
      </c>
      <c r="S326" s="171" t="s">
        <v>96</v>
      </c>
      <c r="T326" s="178" t="s">
        <v>983</v>
      </c>
    </row>
    <row r="327" ht="46.5" hidden="1" customHeight="1">
      <c r="A327" s="172" t="s">
        <v>984</v>
      </c>
      <c r="B327" s="173">
        <v>44902.0</v>
      </c>
      <c r="C327" s="214">
        <f t="shared" si="10"/>
        <v>44902</v>
      </c>
      <c r="D327" s="174" t="s">
        <v>419</v>
      </c>
      <c r="E327" s="174" t="s">
        <v>33</v>
      </c>
      <c r="F327" s="174" t="s">
        <v>26</v>
      </c>
      <c r="G327" s="175" t="s">
        <v>985</v>
      </c>
      <c r="H327" s="145" t="s">
        <v>186</v>
      </c>
      <c r="I327" s="239" t="s">
        <v>61</v>
      </c>
      <c r="J327" s="239"/>
      <c r="K327" s="173"/>
      <c r="L327" s="173"/>
      <c r="M327" s="173"/>
      <c r="N327" s="239" t="s">
        <v>30</v>
      </c>
      <c r="O327" s="178"/>
      <c r="P327" s="173"/>
      <c r="Q327" s="173"/>
      <c r="R327" s="214" t="str">
        <f t="shared" si="9"/>
        <v/>
      </c>
      <c r="S327" s="144"/>
      <c r="T327" s="178"/>
    </row>
    <row r="328" ht="49.5" hidden="1" customHeight="1">
      <c r="A328" s="164" t="s">
        <v>986</v>
      </c>
      <c r="B328" s="165">
        <v>44902.0</v>
      </c>
      <c r="C328" s="260">
        <f t="shared" si="10"/>
        <v>44902</v>
      </c>
      <c r="D328" s="166" t="s">
        <v>237</v>
      </c>
      <c r="E328" s="166" t="s">
        <v>33</v>
      </c>
      <c r="F328" s="166" t="s">
        <v>26</v>
      </c>
      <c r="G328" s="167" t="s">
        <v>921</v>
      </c>
      <c r="H328" s="166" t="s">
        <v>28</v>
      </c>
      <c r="I328" s="275" t="s">
        <v>29</v>
      </c>
      <c r="J328" s="275" t="s">
        <v>497</v>
      </c>
      <c r="K328" s="165">
        <v>45484.0</v>
      </c>
      <c r="L328" s="165">
        <v>45484.0</v>
      </c>
      <c r="M328" s="165">
        <v>45484.0</v>
      </c>
      <c r="N328" s="275" t="s">
        <v>343</v>
      </c>
      <c r="O328" s="170">
        <v>980.0</v>
      </c>
      <c r="P328" s="165"/>
      <c r="Q328" s="165"/>
      <c r="R328" s="260" t="str">
        <f t="shared" si="9"/>
        <v/>
      </c>
      <c r="S328" s="165"/>
      <c r="T328" s="166" t="s">
        <v>987</v>
      </c>
    </row>
    <row r="329" ht="50.25" hidden="1" customHeight="1">
      <c r="A329" s="172" t="s">
        <v>988</v>
      </c>
      <c r="B329" s="173">
        <v>44901.0</v>
      </c>
      <c r="C329" s="214">
        <f t="shared" si="10"/>
        <v>44901</v>
      </c>
      <c r="D329" s="174" t="s">
        <v>179</v>
      </c>
      <c r="E329" s="174" t="s">
        <v>33</v>
      </c>
      <c r="F329" s="174" t="s">
        <v>26</v>
      </c>
      <c r="G329" s="175" t="s">
        <v>989</v>
      </c>
      <c r="H329" s="145" t="s">
        <v>28</v>
      </c>
      <c r="I329" s="239" t="s">
        <v>36</v>
      </c>
      <c r="J329" s="239" t="s">
        <v>128</v>
      </c>
      <c r="K329" s="173">
        <v>44939.0</v>
      </c>
      <c r="L329" s="173"/>
      <c r="M329" s="173"/>
      <c r="N329" s="239" t="s">
        <v>42</v>
      </c>
      <c r="O329" s="178"/>
      <c r="P329" s="173"/>
      <c r="Q329" s="173">
        <v>44944.0</v>
      </c>
      <c r="R329" s="214">
        <f t="shared" si="9"/>
        <v>44944</v>
      </c>
      <c r="S329" s="171" t="s">
        <v>43</v>
      </c>
      <c r="T329" s="174"/>
    </row>
    <row r="330" ht="50.25" hidden="1" customHeight="1">
      <c r="A330" s="240" t="s">
        <v>990</v>
      </c>
      <c r="B330" s="173">
        <v>44895.0</v>
      </c>
      <c r="C330" s="214">
        <f t="shared" si="10"/>
        <v>44895</v>
      </c>
      <c r="D330" s="174" t="s">
        <v>915</v>
      </c>
      <c r="E330" s="174" t="s">
        <v>25</v>
      </c>
      <c r="F330" s="174" t="s">
        <v>26</v>
      </c>
      <c r="G330" s="175" t="s">
        <v>991</v>
      </c>
      <c r="H330" s="145" t="s">
        <v>49</v>
      </c>
      <c r="I330" s="239" t="s">
        <v>36</v>
      </c>
      <c r="J330" s="239" t="s">
        <v>41</v>
      </c>
      <c r="K330" s="173">
        <v>44895.0</v>
      </c>
      <c r="L330" s="173"/>
      <c r="M330" s="173"/>
      <c r="N330" s="239" t="s">
        <v>42</v>
      </c>
      <c r="O330" s="178">
        <v>473.5</v>
      </c>
      <c r="P330" s="173"/>
      <c r="Q330" s="173">
        <v>44915.0</v>
      </c>
      <c r="R330" s="214">
        <f t="shared" si="9"/>
        <v>44915</v>
      </c>
      <c r="S330" s="171" t="s">
        <v>43</v>
      </c>
      <c r="T330" s="174" t="s">
        <v>992</v>
      </c>
    </row>
    <row r="331" ht="50.25" hidden="1" customHeight="1">
      <c r="A331" s="172" t="s">
        <v>993</v>
      </c>
      <c r="B331" s="173">
        <v>44869.0</v>
      </c>
      <c r="C331" s="214">
        <f t="shared" si="10"/>
        <v>44869</v>
      </c>
      <c r="D331" s="174" t="s">
        <v>81</v>
      </c>
      <c r="E331" s="174" t="s">
        <v>25</v>
      </c>
      <c r="F331" s="174" t="s">
        <v>26</v>
      </c>
      <c r="G331" s="175" t="s">
        <v>994</v>
      </c>
      <c r="H331" s="145" t="s">
        <v>49</v>
      </c>
      <c r="I331" s="239" t="s">
        <v>61</v>
      </c>
      <c r="J331" s="239"/>
      <c r="K331" s="173"/>
      <c r="L331" s="173"/>
      <c r="M331" s="173"/>
      <c r="N331" s="239" t="s">
        <v>30</v>
      </c>
      <c r="O331" s="178"/>
      <c r="P331" s="173"/>
      <c r="Q331" s="173"/>
      <c r="R331" s="214" t="str">
        <f t="shared" si="9"/>
        <v/>
      </c>
      <c r="S331" s="144"/>
      <c r="T331" s="178"/>
    </row>
    <row r="332" ht="50.25" hidden="1" customHeight="1">
      <c r="A332" s="172" t="s">
        <v>995</v>
      </c>
      <c r="B332" s="173">
        <v>44869.0</v>
      </c>
      <c r="C332" s="214">
        <f t="shared" si="10"/>
        <v>44869</v>
      </c>
      <c r="D332" s="174" t="s">
        <v>723</v>
      </c>
      <c r="E332" s="174" t="s">
        <v>25</v>
      </c>
      <c r="F332" s="174" t="s">
        <v>26</v>
      </c>
      <c r="G332" s="175" t="s">
        <v>996</v>
      </c>
      <c r="H332" s="145" t="s">
        <v>28</v>
      </c>
      <c r="I332" s="239" t="s">
        <v>61</v>
      </c>
      <c r="J332" s="239"/>
      <c r="K332" s="173"/>
      <c r="L332" s="173"/>
      <c r="M332" s="173"/>
      <c r="N332" s="239" t="s">
        <v>118</v>
      </c>
      <c r="O332" s="178"/>
      <c r="P332" s="173"/>
      <c r="Q332" s="173">
        <v>45660.0</v>
      </c>
      <c r="R332" s="214">
        <f t="shared" si="9"/>
        <v>45660</v>
      </c>
      <c r="S332" s="171" t="s">
        <v>124</v>
      </c>
      <c r="T332" s="178" t="s">
        <v>997</v>
      </c>
    </row>
    <row r="333" ht="50.25" hidden="1" customHeight="1">
      <c r="A333" s="172" t="s">
        <v>998</v>
      </c>
      <c r="B333" s="173">
        <v>44866.0</v>
      </c>
      <c r="C333" s="214">
        <f t="shared" si="10"/>
        <v>44866</v>
      </c>
      <c r="D333" s="174" t="s">
        <v>133</v>
      </c>
      <c r="E333" s="174" t="s">
        <v>33</v>
      </c>
      <c r="F333" s="174" t="s">
        <v>26</v>
      </c>
      <c r="G333" s="175" t="s">
        <v>999</v>
      </c>
      <c r="H333" s="145" t="s">
        <v>28</v>
      </c>
      <c r="I333" s="239" t="s">
        <v>61</v>
      </c>
      <c r="J333" s="239" t="s">
        <v>41</v>
      </c>
      <c r="K333" s="173"/>
      <c r="L333" s="173"/>
      <c r="M333" s="173"/>
      <c r="N333" s="239" t="s">
        <v>64</v>
      </c>
      <c r="O333" s="178"/>
      <c r="P333" s="173"/>
      <c r="Q333" s="173"/>
      <c r="R333" s="214" t="str">
        <f t="shared" si="9"/>
        <v/>
      </c>
      <c r="S333" s="144"/>
      <c r="T333" s="178"/>
    </row>
    <row r="334" ht="72.0" customHeight="1">
      <c r="A334" s="143" t="s">
        <v>1000</v>
      </c>
      <c r="B334" s="144">
        <v>44852.0</v>
      </c>
      <c r="C334" s="214">
        <f t="shared" si="10"/>
        <v>44852</v>
      </c>
      <c r="D334" s="145" t="s">
        <v>213</v>
      </c>
      <c r="E334" s="145" t="s">
        <v>25</v>
      </c>
      <c r="F334" s="174" t="s">
        <v>26</v>
      </c>
      <c r="G334" s="146" t="s">
        <v>1001</v>
      </c>
      <c r="H334" s="145" t="s">
        <v>28</v>
      </c>
      <c r="I334" s="274" t="s">
        <v>36</v>
      </c>
      <c r="J334" s="274" t="s">
        <v>110</v>
      </c>
      <c r="K334" s="144">
        <v>45233.0</v>
      </c>
      <c r="L334" s="144"/>
      <c r="M334" s="144"/>
      <c r="N334" s="274" t="s">
        <v>42</v>
      </c>
      <c r="O334" s="171"/>
      <c r="P334" s="144"/>
      <c r="Q334" s="144">
        <v>45265.0</v>
      </c>
      <c r="R334" s="214">
        <f t="shared" si="9"/>
        <v>45265</v>
      </c>
      <c r="S334" s="171" t="s">
        <v>43</v>
      </c>
      <c r="T334" s="174" t="s">
        <v>1002</v>
      </c>
    </row>
    <row r="335" ht="72.0" hidden="1" customHeight="1">
      <c r="A335" s="143" t="s">
        <v>1003</v>
      </c>
      <c r="B335" s="144">
        <v>44840.0</v>
      </c>
      <c r="C335" s="214">
        <f t="shared" si="10"/>
        <v>44840</v>
      </c>
      <c r="D335" s="145" t="s">
        <v>52</v>
      </c>
      <c r="E335" s="145" t="s">
        <v>33</v>
      </c>
      <c r="F335" s="174" t="s">
        <v>26</v>
      </c>
      <c r="G335" s="146" t="s">
        <v>1004</v>
      </c>
      <c r="H335" s="145" t="s">
        <v>54</v>
      </c>
      <c r="I335" s="274" t="s">
        <v>36</v>
      </c>
      <c r="J335" s="274" t="s">
        <v>41</v>
      </c>
      <c r="K335" s="144">
        <v>44840.0</v>
      </c>
      <c r="L335" s="144"/>
      <c r="M335" s="144"/>
      <c r="N335" s="274" t="s">
        <v>42</v>
      </c>
      <c r="O335" s="171"/>
      <c r="P335" s="144"/>
      <c r="Q335" s="144">
        <v>44841.0</v>
      </c>
      <c r="R335" s="214">
        <f t="shared" si="9"/>
        <v>44841</v>
      </c>
      <c r="S335" s="171" t="s">
        <v>124</v>
      </c>
      <c r="T335" s="145" t="s">
        <v>1005</v>
      </c>
    </row>
    <row r="336" ht="72.0" hidden="1" customHeight="1">
      <c r="A336" s="143" t="s">
        <v>1006</v>
      </c>
      <c r="B336" s="144">
        <v>44804.0</v>
      </c>
      <c r="C336" s="214">
        <f t="shared" si="10"/>
        <v>44804</v>
      </c>
      <c r="D336" s="145" t="s">
        <v>375</v>
      </c>
      <c r="E336" s="145" t="s">
        <v>25</v>
      </c>
      <c r="F336" s="174" t="s">
        <v>26</v>
      </c>
      <c r="G336" s="146" t="s">
        <v>1007</v>
      </c>
      <c r="H336" s="145" t="s">
        <v>28</v>
      </c>
      <c r="I336" s="274" t="s">
        <v>36</v>
      </c>
      <c r="J336" s="274" t="s">
        <v>128</v>
      </c>
      <c r="K336" s="144">
        <v>44874.0</v>
      </c>
      <c r="L336" s="144"/>
      <c r="M336" s="144">
        <v>44874.0</v>
      </c>
      <c r="N336" s="274" t="s">
        <v>118</v>
      </c>
      <c r="O336" s="171"/>
      <c r="P336" s="144"/>
      <c r="Q336" s="144">
        <v>45239.0</v>
      </c>
      <c r="R336" s="214">
        <f t="shared" si="9"/>
        <v>45239</v>
      </c>
      <c r="S336" s="171" t="s">
        <v>124</v>
      </c>
      <c r="T336" s="145" t="s">
        <v>1008</v>
      </c>
    </row>
    <row r="337" ht="44.25" hidden="1" customHeight="1">
      <c r="A337" s="172" t="s">
        <v>1009</v>
      </c>
      <c r="B337" s="173">
        <v>44797.0</v>
      </c>
      <c r="C337" s="214">
        <f t="shared" si="10"/>
        <v>44797</v>
      </c>
      <c r="D337" s="174" t="s">
        <v>723</v>
      </c>
      <c r="E337" s="174" t="s">
        <v>25</v>
      </c>
      <c r="F337" s="174" t="s">
        <v>26</v>
      </c>
      <c r="G337" s="175" t="s">
        <v>1010</v>
      </c>
      <c r="H337" s="145" t="s">
        <v>35</v>
      </c>
      <c r="I337" s="239" t="s">
        <v>36</v>
      </c>
      <c r="J337" s="239" t="s">
        <v>128</v>
      </c>
      <c r="K337" s="173">
        <v>45135.0</v>
      </c>
      <c r="L337" s="173"/>
      <c r="M337" s="173"/>
      <c r="N337" s="239" t="s">
        <v>118</v>
      </c>
      <c r="O337" s="178"/>
      <c r="P337" s="173"/>
      <c r="Q337" s="173">
        <v>45148.0</v>
      </c>
      <c r="R337" s="214">
        <f t="shared" si="9"/>
        <v>45148</v>
      </c>
      <c r="S337" s="171" t="s">
        <v>124</v>
      </c>
      <c r="T337" s="178" t="s">
        <v>1011</v>
      </c>
    </row>
    <row r="338" ht="44.25" hidden="1" customHeight="1">
      <c r="A338" s="172" t="s">
        <v>1012</v>
      </c>
      <c r="B338" s="173">
        <v>44790.0</v>
      </c>
      <c r="C338" s="214">
        <f t="shared" si="10"/>
        <v>44790</v>
      </c>
      <c r="D338" s="174" t="s">
        <v>237</v>
      </c>
      <c r="E338" s="174" t="s">
        <v>33</v>
      </c>
      <c r="F338" s="174" t="s">
        <v>26</v>
      </c>
      <c r="G338" s="175" t="s">
        <v>1013</v>
      </c>
      <c r="H338" s="145" t="s">
        <v>28</v>
      </c>
      <c r="I338" s="239" t="s">
        <v>29</v>
      </c>
      <c r="J338" s="239" t="s">
        <v>75</v>
      </c>
      <c r="K338" s="173">
        <v>44795.0</v>
      </c>
      <c r="L338" s="173"/>
      <c r="M338" s="173"/>
      <c r="N338" s="239" t="s">
        <v>42</v>
      </c>
      <c r="O338" s="178"/>
      <c r="P338" s="173"/>
      <c r="Q338" s="173">
        <v>44868.0</v>
      </c>
      <c r="R338" s="214">
        <f t="shared" si="9"/>
        <v>44868</v>
      </c>
      <c r="S338" s="171" t="s">
        <v>43</v>
      </c>
      <c r="T338" s="178" t="s">
        <v>1014</v>
      </c>
    </row>
    <row r="339" ht="44.25" customHeight="1">
      <c r="A339" s="172" t="s">
        <v>1015</v>
      </c>
      <c r="B339" s="173">
        <v>44781.0</v>
      </c>
      <c r="C339" s="214">
        <f t="shared" si="10"/>
        <v>44781</v>
      </c>
      <c r="D339" s="174" t="s">
        <v>91</v>
      </c>
      <c r="E339" s="174" t="s">
        <v>25</v>
      </c>
      <c r="F339" s="174" t="s">
        <v>26</v>
      </c>
      <c r="G339" s="175" t="s">
        <v>1016</v>
      </c>
      <c r="H339" s="145" t="s">
        <v>60</v>
      </c>
      <c r="I339" s="239" t="s">
        <v>29</v>
      </c>
      <c r="J339" s="239" t="s">
        <v>110</v>
      </c>
      <c r="K339" s="173">
        <v>44806.0</v>
      </c>
      <c r="L339" s="173"/>
      <c r="M339" s="173"/>
      <c r="N339" s="239" t="s">
        <v>42</v>
      </c>
      <c r="O339" s="178">
        <v>800.3</v>
      </c>
      <c r="P339" s="173"/>
      <c r="Q339" s="173">
        <v>45253.0</v>
      </c>
      <c r="R339" s="214">
        <f t="shared" si="9"/>
        <v>45253</v>
      </c>
      <c r="S339" s="171" t="s">
        <v>96</v>
      </c>
      <c r="T339" s="174" t="s">
        <v>1017</v>
      </c>
    </row>
    <row r="340" ht="44.25" hidden="1" customHeight="1">
      <c r="A340" s="172" t="s">
        <v>1018</v>
      </c>
      <c r="B340" s="173">
        <v>44781.0</v>
      </c>
      <c r="C340" s="214">
        <f t="shared" si="10"/>
        <v>44781</v>
      </c>
      <c r="D340" s="174" t="s">
        <v>38</v>
      </c>
      <c r="E340" s="174" t="s">
        <v>33</v>
      </c>
      <c r="F340" s="174" t="s">
        <v>26</v>
      </c>
      <c r="G340" s="175" t="s">
        <v>1019</v>
      </c>
      <c r="H340" s="145" t="s">
        <v>49</v>
      </c>
      <c r="I340" s="239" t="s">
        <v>61</v>
      </c>
      <c r="J340" s="239"/>
      <c r="K340" s="173"/>
      <c r="L340" s="173"/>
      <c r="M340" s="173"/>
      <c r="N340" s="239" t="s">
        <v>30</v>
      </c>
      <c r="O340" s="178"/>
      <c r="P340" s="173"/>
      <c r="Q340" s="173"/>
      <c r="R340" s="214" t="str">
        <f t="shared" si="9"/>
        <v/>
      </c>
      <c r="S340" s="144"/>
      <c r="T340" s="178"/>
    </row>
    <row r="341" ht="48.0" hidden="1" customHeight="1">
      <c r="A341" s="248" t="s">
        <v>1020</v>
      </c>
      <c r="B341" s="249">
        <v>44778.0</v>
      </c>
      <c r="C341" s="250">
        <f t="shared" si="10"/>
        <v>44778</v>
      </c>
      <c r="D341" s="251" t="s">
        <v>91</v>
      </c>
      <c r="E341" s="251" t="s">
        <v>25</v>
      </c>
      <c r="F341" s="251" t="s">
        <v>26</v>
      </c>
      <c r="G341" s="252" t="s">
        <v>1021</v>
      </c>
      <c r="H341" s="251" t="s">
        <v>28</v>
      </c>
      <c r="I341" s="276" t="s">
        <v>61</v>
      </c>
      <c r="J341" s="276"/>
      <c r="K341" s="249"/>
      <c r="L341" s="249"/>
      <c r="M341" s="249"/>
      <c r="N341" s="276" t="s">
        <v>30</v>
      </c>
      <c r="O341" s="277"/>
      <c r="P341" s="249"/>
      <c r="Q341" s="249"/>
      <c r="R341" s="250" t="str">
        <f t="shared" si="9"/>
        <v/>
      </c>
      <c r="S341" s="249"/>
      <c r="T341" s="277" t="s">
        <v>1022</v>
      </c>
    </row>
    <row r="342" ht="58.5" hidden="1" customHeight="1">
      <c r="A342" s="172" t="s">
        <v>1023</v>
      </c>
      <c r="B342" s="173">
        <v>44830.0</v>
      </c>
      <c r="C342" s="214">
        <f t="shared" si="10"/>
        <v>44830</v>
      </c>
      <c r="D342" s="174" t="s">
        <v>402</v>
      </c>
      <c r="E342" s="174" t="s">
        <v>25</v>
      </c>
      <c r="F342" s="174" t="s">
        <v>26</v>
      </c>
      <c r="G342" s="175" t="s">
        <v>1024</v>
      </c>
      <c r="H342" s="145" t="s">
        <v>49</v>
      </c>
      <c r="I342" s="239" t="s">
        <v>61</v>
      </c>
      <c r="J342" s="239" t="s">
        <v>152</v>
      </c>
      <c r="K342" s="173">
        <v>44873.0</v>
      </c>
      <c r="L342" s="173"/>
      <c r="M342" s="173"/>
      <c r="N342" s="239" t="s">
        <v>42</v>
      </c>
      <c r="O342" s="178"/>
      <c r="P342" s="173"/>
      <c r="Q342" s="173">
        <v>44894.0</v>
      </c>
      <c r="R342" s="214">
        <f t="shared" si="9"/>
        <v>44894</v>
      </c>
      <c r="S342" s="171" t="s">
        <v>124</v>
      </c>
      <c r="T342" s="174" t="s">
        <v>1025</v>
      </c>
    </row>
    <row r="343" ht="58.5" hidden="1" customHeight="1">
      <c r="A343" s="172" t="s">
        <v>1026</v>
      </c>
      <c r="B343" s="173">
        <v>44830.0</v>
      </c>
      <c r="C343" s="214">
        <f t="shared" si="10"/>
        <v>44830</v>
      </c>
      <c r="D343" s="174" t="s">
        <v>133</v>
      </c>
      <c r="E343" s="174" t="s">
        <v>33</v>
      </c>
      <c r="F343" s="174" t="s">
        <v>26</v>
      </c>
      <c r="G343" s="175" t="s">
        <v>1027</v>
      </c>
      <c r="H343" s="145" t="s">
        <v>472</v>
      </c>
      <c r="I343" s="239" t="s">
        <v>61</v>
      </c>
      <c r="J343" s="239"/>
      <c r="K343" s="173"/>
      <c r="L343" s="173"/>
      <c r="M343" s="173"/>
      <c r="N343" s="239" t="s">
        <v>30</v>
      </c>
      <c r="O343" s="178"/>
      <c r="P343" s="173"/>
      <c r="Q343" s="173"/>
      <c r="R343" s="214" t="str">
        <f t="shared" si="9"/>
        <v/>
      </c>
      <c r="S343" s="144"/>
      <c r="T343" s="178"/>
    </row>
    <row r="344" ht="38.25" hidden="1" customHeight="1">
      <c r="A344" s="172" t="s">
        <v>1028</v>
      </c>
      <c r="B344" s="173">
        <v>44830.0</v>
      </c>
      <c r="C344" s="214">
        <f t="shared" si="10"/>
        <v>44830</v>
      </c>
      <c r="D344" s="174" t="s">
        <v>1029</v>
      </c>
      <c r="E344" s="174" t="s">
        <v>1030</v>
      </c>
      <c r="F344" s="174" t="s">
        <v>1030</v>
      </c>
      <c r="G344" s="175" t="s">
        <v>1031</v>
      </c>
      <c r="H344" s="145" t="s">
        <v>28</v>
      </c>
      <c r="I344" s="239" t="s">
        <v>36</v>
      </c>
      <c r="J344" s="239" t="s">
        <v>152</v>
      </c>
      <c r="K344" s="173">
        <v>44838.0</v>
      </c>
      <c r="L344" s="173"/>
      <c r="M344" s="173"/>
      <c r="N344" s="239" t="s">
        <v>42</v>
      </c>
      <c r="O344" s="178">
        <v>24.0</v>
      </c>
      <c r="P344" s="173"/>
      <c r="Q344" s="173">
        <v>44866.0</v>
      </c>
      <c r="R344" s="214">
        <f t="shared" si="9"/>
        <v>44866</v>
      </c>
      <c r="S344" s="171" t="s">
        <v>43</v>
      </c>
      <c r="T344" s="178" t="s">
        <v>1032</v>
      </c>
    </row>
    <row r="345" ht="38.25" hidden="1" customHeight="1">
      <c r="A345" s="172" t="s">
        <v>1033</v>
      </c>
      <c r="B345" s="173">
        <v>44825.0</v>
      </c>
      <c r="C345" s="214">
        <f t="shared" si="10"/>
        <v>44825</v>
      </c>
      <c r="D345" s="174" t="s">
        <v>723</v>
      </c>
      <c r="E345" s="174"/>
      <c r="F345" s="174" t="s">
        <v>26</v>
      </c>
      <c r="G345" s="175" t="s">
        <v>1034</v>
      </c>
      <c r="H345" s="145" t="s">
        <v>186</v>
      </c>
      <c r="I345" s="239" t="s">
        <v>61</v>
      </c>
      <c r="J345" s="239"/>
      <c r="K345" s="173"/>
      <c r="L345" s="173"/>
      <c r="M345" s="173"/>
      <c r="N345" s="239" t="s">
        <v>118</v>
      </c>
      <c r="O345" s="178"/>
      <c r="P345" s="173"/>
      <c r="Q345" s="173">
        <v>45660.0</v>
      </c>
      <c r="R345" s="214">
        <f t="shared" si="9"/>
        <v>45660</v>
      </c>
      <c r="S345" s="171" t="s">
        <v>124</v>
      </c>
      <c r="T345" s="178" t="s">
        <v>997</v>
      </c>
    </row>
    <row r="346" ht="47.25" hidden="1" customHeight="1">
      <c r="A346" s="172" t="s">
        <v>1035</v>
      </c>
      <c r="B346" s="173">
        <v>44817.0</v>
      </c>
      <c r="C346" s="214">
        <f t="shared" si="10"/>
        <v>44817</v>
      </c>
      <c r="D346" s="174" t="s">
        <v>133</v>
      </c>
      <c r="E346" s="174" t="s">
        <v>33</v>
      </c>
      <c r="F346" s="174" t="s">
        <v>26</v>
      </c>
      <c r="G346" s="175" t="s">
        <v>1036</v>
      </c>
      <c r="H346" s="145" t="s">
        <v>28</v>
      </c>
      <c r="I346" s="196" t="s">
        <v>36</v>
      </c>
      <c r="J346" s="196" t="s">
        <v>41</v>
      </c>
      <c r="K346" s="173">
        <v>44817.0</v>
      </c>
      <c r="L346" s="173"/>
      <c r="M346" s="173"/>
      <c r="N346" s="196" t="s">
        <v>42</v>
      </c>
      <c r="O346" s="178">
        <v>48.39</v>
      </c>
      <c r="P346" s="173"/>
      <c r="Q346" s="173">
        <v>44872.0</v>
      </c>
      <c r="R346" s="214">
        <f t="shared" si="9"/>
        <v>44872</v>
      </c>
      <c r="S346" s="171" t="s">
        <v>96</v>
      </c>
      <c r="T346" s="174" t="s">
        <v>1037</v>
      </c>
    </row>
    <row r="347" ht="47.25" hidden="1" customHeight="1">
      <c r="A347" s="172" t="s">
        <v>1038</v>
      </c>
      <c r="B347" s="173">
        <v>44813.0</v>
      </c>
      <c r="C347" s="214">
        <f t="shared" si="10"/>
        <v>44813</v>
      </c>
      <c r="D347" s="174" t="s">
        <v>723</v>
      </c>
      <c r="E347" s="174" t="s">
        <v>25</v>
      </c>
      <c r="F347" s="174" t="s">
        <v>26</v>
      </c>
      <c r="G347" s="175" t="s">
        <v>1039</v>
      </c>
      <c r="H347" s="145" t="s">
        <v>28</v>
      </c>
      <c r="I347" s="196" t="s">
        <v>29</v>
      </c>
      <c r="J347" s="196" t="s">
        <v>128</v>
      </c>
      <c r="K347" s="173">
        <v>45135.0</v>
      </c>
      <c r="L347" s="173"/>
      <c r="M347" s="173"/>
      <c r="N347" s="196" t="s">
        <v>42</v>
      </c>
      <c r="O347" s="178">
        <v>250.76</v>
      </c>
      <c r="P347" s="173"/>
      <c r="Q347" s="173">
        <v>45145.0</v>
      </c>
      <c r="R347" s="214">
        <f t="shared" si="9"/>
        <v>45145</v>
      </c>
      <c r="S347" s="171" t="s">
        <v>227</v>
      </c>
      <c r="T347" s="174" t="s">
        <v>1040</v>
      </c>
    </row>
    <row r="348" ht="47.25" hidden="1" customHeight="1">
      <c r="A348" s="172" t="s">
        <v>1041</v>
      </c>
      <c r="B348" s="173">
        <v>44813.0</v>
      </c>
      <c r="C348" s="214">
        <f t="shared" si="10"/>
        <v>44813</v>
      </c>
      <c r="D348" s="174" t="s">
        <v>1042</v>
      </c>
      <c r="E348" s="174" t="s">
        <v>33</v>
      </c>
      <c r="F348" s="174" t="s">
        <v>26</v>
      </c>
      <c r="G348" s="175" t="s">
        <v>1043</v>
      </c>
      <c r="H348" s="145" t="s">
        <v>49</v>
      </c>
      <c r="I348" s="196" t="s">
        <v>61</v>
      </c>
      <c r="J348" s="196" t="s">
        <v>75</v>
      </c>
      <c r="K348" s="173">
        <v>44838.0</v>
      </c>
      <c r="L348" s="173"/>
      <c r="M348" s="173"/>
      <c r="N348" s="196" t="s">
        <v>118</v>
      </c>
      <c r="O348" s="178"/>
      <c r="P348" s="173"/>
      <c r="Q348" s="173">
        <v>45660.0</v>
      </c>
      <c r="R348" s="214">
        <f t="shared" si="9"/>
        <v>45660</v>
      </c>
      <c r="S348" s="171" t="s">
        <v>124</v>
      </c>
      <c r="T348" s="178" t="s">
        <v>997</v>
      </c>
    </row>
    <row r="349" ht="39.0" hidden="1" customHeight="1">
      <c r="A349" s="172" t="s">
        <v>1044</v>
      </c>
      <c r="B349" s="173">
        <v>44810.0</v>
      </c>
      <c r="C349" s="214">
        <f t="shared" si="10"/>
        <v>44810</v>
      </c>
      <c r="D349" s="174" t="s">
        <v>427</v>
      </c>
      <c r="E349" s="174" t="s">
        <v>25</v>
      </c>
      <c r="F349" s="174" t="s">
        <v>26</v>
      </c>
      <c r="G349" s="175" t="s">
        <v>1045</v>
      </c>
      <c r="H349" s="145" t="s">
        <v>28</v>
      </c>
      <c r="I349" s="239" t="s">
        <v>36</v>
      </c>
      <c r="J349" s="239" t="s">
        <v>128</v>
      </c>
      <c r="K349" s="173">
        <v>44839.0</v>
      </c>
      <c r="L349" s="173"/>
      <c r="M349" s="173"/>
      <c r="N349" s="239" t="s">
        <v>42</v>
      </c>
      <c r="O349" s="178"/>
      <c r="P349" s="173"/>
      <c r="Q349" s="173">
        <v>44890.0</v>
      </c>
      <c r="R349" s="214">
        <f t="shared" si="9"/>
        <v>44890</v>
      </c>
      <c r="S349" s="171" t="s">
        <v>43</v>
      </c>
      <c r="T349" s="174" t="s">
        <v>1046</v>
      </c>
    </row>
    <row r="350" ht="39.0" hidden="1" customHeight="1">
      <c r="A350" s="172" t="s">
        <v>1047</v>
      </c>
      <c r="B350" s="173">
        <v>44810.0</v>
      </c>
      <c r="C350" s="214">
        <f t="shared" si="10"/>
        <v>44810</v>
      </c>
      <c r="D350" s="174" t="s">
        <v>116</v>
      </c>
      <c r="E350" s="174" t="s">
        <v>25</v>
      </c>
      <c r="F350" s="174" t="s">
        <v>26</v>
      </c>
      <c r="G350" s="175" t="s">
        <v>1048</v>
      </c>
      <c r="H350" s="145" t="s">
        <v>28</v>
      </c>
      <c r="I350" s="239" t="s">
        <v>36</v>
      </c>
      <c r="J350" s="239" t="s">
        <v>152</v>
      </c>
      <c r="K350" s="173">
        <v>44873.0</v>
      </c>
      <c r="L350" s="173"/>
      <c r="M350" s="173"/>
      <c r="N350" s="239" t="s">
        <v>118</v>
      </c>
      <c r="O350" s="178"/>
      <c r="P350" s="173"/>
      <c r="Q350" s="173">
        <v>44894.0</v>
      </c>
      <c r="R350" s="214">
        <f t="shared" si="9"/>
        <v>44894</v>
      </c>
      <c r="S350" s="171" t="s">
        <v>124</v>
      </c>
      <c r="T350" s="178" t="s">
        <v>1049</v>
      </c>
    </row>
    <row r="351" ht="39.0" hidden="1" customHeight="1">
      <c r="A351" s="172" t="s">
        <v>1050</v>
      </c>
      <c r="B351" s="173">
        <v>44799.0</v>
      </c>
      <c r="C351" s="214">
        <f t="shared" si="10"/>
        <v>44799</v>
      </c>
      <c r="D351" s="174" t="s">
        <v>91</v>
      </c>
      <c r="E351" s="174" t="s">
        <v>25</v>
      </c>
      <c r="F351" s="174" t="s">
        <v>26</v>
      </c>
      <c r="G351" s="175" t="s">
        <v>1051</v>
      </c>
      <c r="H351" s="145" t="s">
        <v>472</v>
      </c>
      <c r="I351" s="239" t="s">
        <v>61</v>
      </c>
      <c r="J351" s="239" t="s">
        <v>255</v>
      </c>
      <c r="K351" s="173">
        <v>45565.0</v>
      </c>
      <c r="L351" s="173"/>
      <c r="M351" s="173"/>
      <c r="N351" s="239" t="s">
        <v>42</v>
      </c>
      <c r="O351" s="178"/>
      <c r="P351" s="173"/>
      <c r="Q351" s="173">
        <v>45623.0</v>
      </c>
      <c r="R351" s="214">
        <f t="shared" si="9"/>
        <v>45623</v>
      </c>
      <c r="S351" s="171" t="s">
        <v>227</v>
      </c>
      <c r="T351" s="178" t="s">
        <v>1052</v>
      </c>
    </row>
    <row r="352" ht="42.75" hidden="1" customHeight="1">
      <c r="A352" s="172" t="s">
        <v>1053</v>
      </c>
      <c r="B352" s="173">
        <v>44789.0</v>
      </c>
      <c r="C352" s="214">
        <f t="shared" si="10"/>
        <v>44789</v>
      </c>
      <c r="D352" s="174" t="s">
        <v>823</v>
      </c>
      <c r="E352" s="174" t="s">
        <v>33</v>
      </c>
      <c r="F352" s="174" t="s">
        <v>26</v>
      </c>
      <c r="G352" s="175" t="s">
        <v>1054</v>
      </c>
      <c r="H352" s="145" t="s">
        <v>28</v>
      </c>
      <c r="I352" s="189" t="s">
        <v>36</v>
      </c>
      <c r="J352" s="189" t="s">
        <v>128</v>
      </c>
      <c r="K352" s="173">
        <v>44789.0</v>
      </c>
      <c r="L352" s="173"/>
      <c r="M352" s="173"/>
      <c r="N352" s="189" t="s">
        <v>42</v>
      </c>
      <c r="O352" s="178">
        <v>25.78</v>
      </c>
      <c r="P352" s="173"/>
      <c r="Q352" s="173">
        <v>44799.0</v>
      </c>
      <c r="R352" s="214">
        <f t="shared" si="9"/>
        <v>44799</v>
      </c>
      <c r="S352" s="171" t="s">
        <v>96</v>
      </c>
      <c r="T352" s="240" t="s">
        <v>1055</v>
      </c>
    </row>
    <row r="353" ht="42.75" hidden="1" customHeight="1">
      <c r="A353" s="172" t="s">
        <v>1056</v>
      </c>
      <c r="B353" s="173">
        <v>44783.0</v>
      </c>
      <c r="C353" s="214">
        <f t="shared" si="10"/>
        <v>44783</v>
      </c>
      <c r="D353" s="174" t="s">
        <v>936</v>
      </c>
      <c r="E353" s="174" t="s">
        <v>33</v>
      </c>
      <c r="F353" s="174" t="s">
        <v>26</v>
      </c>
      <c r="G353" s="175" t="s">
        <v>1057</v>
      </c>
      <c r="H353" s="145" t="s">
        <v>28</v>
      </c>
      <c r="I353" s="189" t="s">
        <v>36</v>
      </c>
      <c r="J353" s="189" t="s">
        <v>152</v>
      </c>
      <c r="K353" s="173">
        <v>44795.0</v>
      </c>
      <c r="L353" s="173"/>
      <c r="M353" s="173"/>
      <c r="N353" s="189" t="s">
        <v>42</v>
      </c>
      <c r="O353" s="178">
        <v>122.54</v>
      </c>
      <c r="P353" s="173"/>
      <c r="Q353" s="173">
        <v>44803.0</v>
      </c>
      <c r="R353" s="214">
        <f t="shared" si="9"/>
        <v>44803</v>
      </c>
      <c r="S353" s="171" t="s">
        <v>43</v>
      </c>
      <c r="T353" s="240" t="s">
        <v>1058</v>
      </c>
    </row>
    <row r="354" ht="42.75" hidden="1" customHeight="1">
      <c r="A354" s="172" t="s">
        <v>1059</v>
      </c>
      <c r="B354" s="173">
        <v>44771.0</v>
      </c>
      <c r="C354" s="214">
        <f t="shared" si="10"/>
        <v>44771</v>
      </c>
      <c r="D354" s="174" t="s">
        <v>195</v>
      </c>
      <c r="E354" s="174" t="s">
        <v>25</v>
      </c>
      <c r="F354" s="174" t="s">
        <v>26</v>
      </c>
      <c r="G354" s="175" t="s">
        <v>1060</v>
      </c>
      <c r="H354" s="145" t="s">
        <v>28</v>
      </c>
      <c r="I354" s="189" t="s">
        <v>61</v>
      </c>
      <c r="J354" s="189" t="s">
        <v>152</v>
      </c>
      <c r="K354" s="173">
        <v>44771.0</v>
      </c>
      <c r="L354" s="173"/>
      <c r="M354" s="173"/>
      <c r="N354" s="189" t="s">
        <v>42</v>
      </c>
      <c r="O354" s="178">
        <v>108.89</v>
      </c>
      <c r="P354" s="173"/>
      <c r="Q354" s="173">
        <v>44795.0</v>
      </c>
      <c r="R354" s="214">
        <f t="shared" si="9"/>
        <v>44795</v>
      </c>
      <c r="S354" s="171" t="s">
        <v>96</v>
      </c>
      <c r="T354" s="240" t="s">
        <v>1061</v>
      </c>
    </row>
    <row r="355" ht="42.75" hidden="1" customHeight="1">
      <c r="A355" s="172" t="s">
        <v>1062</v>
      </c>
      <c r="B355" s="173">
        <v>44771.0</v>
      </c>
      <c r="C355" s="214">
        <f t="shared" si="10"/>
        <v>44771</v>
      </c>
      <c r="D355" s="174" t="s">
        <v>66</v>
      </c>
      <c r="E355" s="174" t="s">
        <v>25</v>
      </c>
      <c r="F355" s="174" t="s">
        <v>26</v>
      </c>
      <c r="G355" s="175" t="s">
        <v>1063</v>
      </c>
      <c r="H355" s="145" t="s">
        <v>28</v>
      </c>
      <c r="I355" s="189" t="s">
        <v>36</v>
      </c>
      <c r="J355" s="189" t="s">
        <v>128</v>
      </c>
      <c r="K355" s="173">
        <v>44771.0</v>
      </c>
      <c r="L355" s="173"/>
      <c r="M355" s="173"/>
      <c r="N355" s="189" t="s">
        <v>42</v>
      </c>
      <c r="O355" s="178"/>
      <c r="P355" s="173"/>
      <c r="Q355" s="173">
        <v>44907.0</v>
      </c>
      <c r="R355" s="214">
        <f t="shared" si="9"/>
        <v>44907</v>
      </c>
      <c r="S355" s="171" t="s">
        <v>119</v>
      </c>
      <c r="T355" s="174" t="s">
        <v>1064</v>
      </c>
    </row>
    <row r="356" ht="42.75" hidden="1" customHeight="1">
      <c r="A356" s="172" t="s">
        <v>1065</v>
      </c>
      <c r="B356" s="173">
        <v>44769.0</v>
      </c>
      <c r="C356" s="214">
        <f t="shared" si="10"/>
        <v>44769</v>
      </c>
      <c r="D356" s="174" t="s">
        <v>195</v>
      </c>
      <c r="E356" s="174" t="s">
        <v>33</v>
      </c>
      <c r="F356" s="174" t="s">
        <v>26</v>
      </c>
      <c r="G356" s="175" t="s">
        <v>1066</v>
      </c>
      <c r="H356" s="145" t="s">
        <v>28</v>
      </c>
      <c r="I356" s="189" t="s">
        <v>36</v>
      </c>
      <c r="J356" s="189" t="s">
        <v>152</v>
      </c>
      <c r="K356" s="173">
        <v>44771.0</v>
      </c>
      <c r="L356" s="173"/>
      <c r="M356" s="173"/>
      <c r="N356" s="189" t="s">
        <v>42</v>
      </c>
      <c r="O356" s="178"/>
      <c r="P356" s="173"/>
      <c r="Q356" s="173">
        <v>45029.0</v>
      </c>
      <c r="R356" s="214">
        <f t="shared" si="9"/>
        <v>45029</v>
      </c>
      <c r="S356" s="171" t="s">
        <v>96</v>
      </c>
      <c r="T356" s="174" t="s">
        <v>1067</v>
      </c>
    </row>
    <row r="357" ht="42.75" hidden="1" customHeight="1">
      <c r="A357" s="172" t="s">
        <v>1068</v>
      </c>
      <c r="B357" s="173">
        <v>44757.0</v>
      </c>
      <c r="C357" s="214">
        <f t="shared" si="10"/>
        <v>44757</v>
      </c>
      <c r="D357" s="174" t="s">
        <v>81</v>
      </c>
      <c r="E357" s="174" t="s">
        <v>25</v>
      </c>
      <c r="F357" s="174" t="s">
        <v>26</v>
      </c>
      <c r="G357" s="175" t="s">
        <v>1069</v>
      </c>
      <c r="H357" s="145" t="s">
        <v>186</v>
      </c>
      <c r="I357" s="189" t="s">
        <v>36</v>
      </c>
      <c r="J357" s="189" t="s">
        <v>152</v>
      </c>
      <c r="K357" s="173">
        <v>44939.0</v>
      </c>
      <c r="L357" s="173"/>
      <c r="M357" s="173"/>
      <c r="N357" s="189" t="s">
        <v>343</v>
      </c>
      <c r="O357" s="178"/>
      <c r="P357" s="173"/>
      <c r="Q357" s="173"/>
      <c r="R357" s="214" t="str">
        <f t="shared" si="9"/>
        <v/>
      </c>
      <c r="S357" s="144"/>
      <c r="T357" s="174" t="s">
        <v>1070</v>
      </c>
    </row>
    <row r="358" ht="39.0" customHeight="1">
      <c r="A358" s="172" t="s">
        <v>1071</v>
      </c>
      <c r="B358" s="173">
        <v>44756.0</v>
      </c>
      <c r="C358" s="214">
        <f t="shared" si="10"/>
        <v>44756</v>
      </c>
      <c r="D358" s="174" t="s">
        <v>38</v>
      </c>
      <c r="E358" s="174" t="s">
        <v>33</v>
      </c>
      <c r="F358" s="174" t="s">
        <v>26</v>
      </c>
      <c r="G358" s="175" t="s">
        <v>1072</v>
      </c>
      <c r="H358" s="145" t="s">
        <v>28</v>
      </c>
      <c r="I358" s="239" t="s">
        <v>36</v>
      </c>
      <c r="J358" s="239" t="s">
        <v>110</v>
      </c>
      <c r="K358" s="173">
        <v>44771.0</v>
      </c>
      <c r="L358" s="173"/>
      <c r="M358" s="173"/>
      <c r="N358" s="239" t="s">
        <v>42</v>
      </c>
      <c r="O358" s="178">
        <v>54.25</v>
      </c>
      <c r="P358" s="173"/>
      <c r="Q358" s="192">
        <v>44825.0</v>
      </c>
      <c r="R358" s="214">
        <f t="shared" si="9"/>
        <v>44825</v>
      </c>
      <c r="S358" s="171" t="s">
        <v>96</v>
      </c>
      <c r="T358" s="240" t="s">
        <v>1073</v>
      </c>
    </row>
    <row r="359" ht="39.0" hidden="1" customHeight="1">
      <c r="A359" s="172" t="s">
        <v>1074</v>
      </c>
      <c r="B359" s="173">
        <v>44750.0</v>
      </c>
      <c r="C359" s="214">
        <f t="shared" si="10"/>
        <v>44750</v>
      </c>
      <c r="D359" s="174" t="s">
        <v>561</v>
      </c>
      <c r="E359" s="174" t="s">
        <v>25</v>
      </c>
      <c r="F359" s="174" t="s">
        <v>26</v>
      </c>
      <c r="G359" s="175" t="s">
        <v>1075</v>
      </c>
      <c r="H359" s="145" t="s">
        <v>28</v>
      </c>
      <c r="I359" s="239" t="s">
        <v>36</v>
      </c>
      <c r="J359" s="239" t="s">
        <v>152</v>
      </c>
      <c r="K359" s="173">
        <v>44750.0</v>
      </c>
      <c r="L359" s="173"/>
      <c r="M359" s="173"/>
      <c r="N359" s="239" t="s">
        <v>42</v>
      </c>
      <c r="O359" s="178">
        <v>105.0</v>
      </c>
      <c r="P359" s="173"/>
      <c r="Q359" s="195">
        <v>44789.0</v>
      </c>
      <c r="R359" s="214">
        <f t="shared" si="9"/>
        <v>44789</v>
      </c>
      <c r="S359" s="171" t="s">
        <v>96</v>
      </c>
      <c r="T359" s="240" t="s">
        <v>1076</v>
      </c>
    </row>
    <row r="360" ht="39.0" hidden="1" customHeight="1">
      <c r="A360" s="172" t="s">
        <v>1077</v>
      </c>
      <c r="B360" s="173">
        <v>44748.0</v>
      </c>
      <c r="C360" s="214">
        <f t="shared" si="10"/>
        <v>44748</v>
      </c>
      <c r="D360" s="174" t="s">
        <v>981</v>
      </c>
      <c r="E360" s="174" t="s">
        <v>33</v>
      </c>
      <c r="F360" s="174" t="s">
        <v>26</v>
      </c>
      <c r="G360" s="175" t="s">
        <v>1078</v>
      </c>
      <c r="H360" s="145" t="s">
        <v>28</v>
      </c>
      <c r="I360" s="239" t="s">
        <v>36</v>
      </c>
      <c r="J360" s="239" t="s">
        <v>152</v>
      </c>
      <c r="K360" s="173">
        <v>44748.0</v>
      </c>
      <c r="L360" s="173"/>
      <c r="M360" s="173"/>
      <c r="N360" s="239" t="s">
        <v>42</v>
      </c>
      <c r="O360" s="178">
        <v>122.9</v>
      </c>
      <c r="P360" s="173"/>
      <c r="Q360" s="195">
        <v>44764.0</v>
      </c>
      <c r="R360" s="214">
        <f t="shared" si="9"/>
        <v>44764</v>
      </c>
      <c r="S360" s="171" t="s">
        <v>119</v>
      </c>
      <c r="T360" s="240" t="s">
        <v>1079</v>
      </c>
    </row>
    <row r="361" ht="39.0" hidden="1" customHeight="1">
      <c r="A361" s="172" t="s">
        <v>1080</v>
      </c>
      <c r="B361" s="173">
        <v>44717.0</v>
      </c>
      <c r="C361" s="214">
        <f t="shared" si="10"/>
        <v>44717</v>
      </c>
      <c r="D361" s="174" t="s">
        <v>116</v>
      </c>
      <c r="E361" s="174" t="s">
        <v>25</v>
      </c>
      <c r="F361" s="174" t="s">
        <v>26</v>
      </c>
      <c r="G361" s="175" t="s">
        <v>1081</v>
      </c>
      <c r="H361" s="145" t="s">
        <v>28</v>
      </c>
      <c r="I361" s="239" t="s">
        <v>36</v>
      </c>
      <c r="J361" s="239" t="s">
        <v>1082</v>
      </c>
      <c r="K361" s="173">
        <v>44722.0</v>
      </c>
      <c r="L361" s="173"/>
      <c r="M361" s="173"/>
      <c r="N361" s="239" t="s">
        <v>42</v>
      </c>
      <c r="O361" s="178"/>
      <c r="P361" s="173"/>
      <c r="Q361" s="173">
        <v>44818.0</v>
      </c>
      <c r="R361" s="214">
        <f t="shared" si="9"/>
        <v>44818</v>
      </c>
      <c r="S361" s="171" t="s">
        <v>797</v>
      </c>
      <c r="T361" s="240"/>
    </row>
    <row r="362" ht="39.0" hidden="1" customHeight="1">
      <c r="A362" s="172" t="s">
        <v>1083</v>
      </c>
      <c r="B362" s="173">
        <v>44715.0</v>
      </c>
      <c r="C362" s="214">
        <f t="shared" si="10"/>
        <v>44715</v>
      </c>
      <c r="D362" s="174" t="s">
        <v>66</v>
      </c>
      <c r="E362" s="174" t="s">
        <v>25</v>
      </c>
      <c r="F362" s="174" t="s">
        <v>26</v>
      </c>
      <c r="G362" s="175" t="s">
        <v>1084</v>
      </c>
      <c r="H362" s="145" t="s">
        <v>28</v>
      </c>
      <c r="I362" s="239" t="s">
        <v>61</v>
      </c>
      <c r="J362" s="239" t="s">
        <v>128</v>
      </c>
      <c r="K362" s="173">
        <v>44722.0</v>
      </c>
      <c r="L362" s="173"/>
      <c r="M362" s="173"/>
      <c r="N362" s="239" t="s">
        <v>42</v>
      </c>
      <c r="O362" s="178"/>
      <c r="P362" s="173"/>
      <c r="Q362" s="173">
        <v>44746.0</v>
      </c>
      <c r="R362" s="214">
        <f t="shared" si="9"/>
        <v>44746</v>
      </c>
      <c r="S362" s="171" t="s">
        <v>119</v>
      </c>
      <c r="T362" s="240" t="s">
        <v>1085</v>
      </c>
    </row>
    <row r="363" ht="39.0" hidden="1" customHeight="1">
      <c r="A363" s="172" t="s">
        <v>1086</v>
      </c>
      <c r="B363" s="173">
        <v>45065.0</v>
      </c>
      <c r="C363" s="214">
        <f t="shared" si="10"/>
        <v>45065</v>
      </c>
      <c r="D363" s="174" t="s">
        <v>91</v>
      </c>
      <c r="E363" s="174" t="s">
        <v>25</v>
      </c>
      <c r="F363" s="174" t="s">
        <v>26</v>
      </c>
      <c r="G363" s="175" t="s">
        <v>1087</v>
      </c>
      <c r="H363" s="145" t="s">
        <v>28</v>
      </c>
      <c r="I363" s="239" t="s">
        <v>36</v>
      </c>
      <c r="J363" s="239" t="s">
        <v>152</v>
      </c>
      <c r="K363" s="173">
        <v>44722.0</v>
      </c>
      <c r="L363" s="173"/>
      <c r="M363" s="173"/>
      <c r="N363" s="239" t="s">
        <v>42</v>
      </c>
      <c r="O363" s="178">
        <v>220.0</v>
      </c>
      <c r="P363" s="173"/>
      <c r="Q363" s="173">
        <v>45090.0</v>
      </c>
      <c r="R363" s="214">
        <f t="shared" si="9"/>
        <v>45090</v>
      </c>
      <c r="S363" s="171" t="s">
        <v>43</v>
      </c>
      <c r="T363" s="174" t="s">
        <v>1088</v>
      </c>
    </row>
    <row r="364" ht="39.0" hidden="1" customHeight="1">
      <c r="A364" s="172" t="s">
        <v>1089</v>
      </c>
      <c r="B364" s="173">
        <v>44700.0</v>
      </c>
      <c r="C364" s="214">
        <f t="shared" si="10"/>
        <v>44700</v>
      </c>
      <c r="D364" s="174" t="s">
        <v>375</v>
      </c>
      <c r="E364" s="174" t="s">
        <v>25</v>
      </c>
      <c r="F364" s="174" t="s">
        <v>26</v>
      </c>
      <c r="G364" s="175" t="s">
        <v>1090</v>
      </c>
      <c r="H364" s="145" t="s">
        <v>28</v>
      </c>
      <c r="I364" s="239" t="s">
        <v>61</v>
      </c>
      <c r="J364" s="239" t="s">
        <v>152</v>
      </c>
      <c r="K364" s="173">
        <v>44722.0</v>
      </c>
      <c r="L364" s="173"/>
      <c r="M364" s="173"/>
      <c r="N364" s="239" t="s">
        <v>42</v>
      </c>
      <c r="O364" s="178">
        <v>77.2</v>
      </c>
      <c r="P364" s="173"/>
      <c r="Q364" s="173">
        <v>45061.0</v>
      </c>
      <c r="R364" s="214">
        <f t="shared" si="9"/>
        <v>45061</v>
      </c>
      <c r="S364" s="171" t="s">
        <v>43</v>
      </c>
      <c r="T364" s="174" t="s">
        <v>1091</v>
      </c>
    </row>
    <row r="365" ht="39.0" hidden="1" customHeight="1">
      <c r="A365" s="172" t="s">
        <v>1092</v>
      </c>
      <c r="B365" s="173">
        <v>44699.0</v>
      </c>
      <c r="C365" s="214">
        <f t="shared" si="10"/>
        <v>44699</v>
      </c>
      <c r="D365" s="174" t="s">
        <v>375</v>
      </c>
      <c r="E365" s="174" t="s">
        <v>25</v>
      </c>
      <c r="F365" s="174" t="s">
        <v>26</v>
      </c>
      <c r="G365" s="175" t="s">
        <v>1093</v>
      </c>
      <c r="H365" s="145" t="s">
        <v>35</v>
      </c>
      <c r="I365" s="239" t="s">
        <v>61</v>
      </c>
      <c r="J365" s="239" t="s">
        <v>152</v>
      </c>
      <c r="K365" s="173"/>
      <c r="L365" s="173"/>
      <c r="M365" s="173"/>
      <c r="N365" s="239" t="s">
        <v>343</v>
      </c>
      <c r="O365" s="178"/>
      <c r="P365" s="173"/>
      <c r="Q365" s="173"/>
      <c r="R365" s="214" t="str">
        <f t="shared" si="9"/>
        <v/>
      </c>
      <c r="S365" s="144"/>
      <c r="T365" s="178"/>
    </row>
    <row r="366" ht="39.0" hidden="1" customHeight="1">
      <c r="A366" s="172" t="s">
        <v>1094</v>
      </c>
      <c r="B366" s="278">
        <v>44697.0</v>
      </c>
      <c r="C366" s="214">
        <f t="shared" si="10"/>
        <v>44697</v>
      </c>
      <c r="D366" s="174" t="s">
        <v>161</v>
      </c>
      <c r="E366" s="174" t="s">
        <v>25</v>
      </c>
      <c r="F366" s="201" t="s">
        <v>26</v>
      </c>
      <c r="G366" s="175" t="s">
        <v>880</v>
      </c>
      <c r="H366" s="145" t="s">
        <v>35</v>
      </c>
      <c r="I366" s="239" t="s">
        <v>36</v>
      </c>
      <c r="J366" s="239" t="s">
        <v>152</v>
      </c>
      <c r="K366" s="173">
        <v>44697.0</v>
      </c>
      <c r="L366" s="173"/>
      <c r="M366" s="173"/>
      <c r="N366" s="240" t="s">
        <v>42</v>
      </c>
      <c r="O366" s="174"/>
      <c r="P366" s="173"/>
      <c r="Q366" s="173">
        <v>45057.0</v>
      </c>
      <c r="R366" s="214">
        <f>R367</f>
        <v>44784</v>
      </c>
      <c r="S366" s="171" t="s">
        <v>43</v>
      </c>
      <c r="T366" s="174" t="s">
        <v>1095</v>
      </c>
    </row>
    <row r="367" ht="39.0" hidden="1" customHeight="1">
      <c r="A367" s="240" t="s">
        <v>1096</v>
      </c>
      <c r="B367" s="278">
        <v>44697.0</v>
      </c>
      <c r="C367" s="214">
        <f t="shared" si="10"/>
        <v>44697</v>
      </c>
      <c r="D367" s="174" t="s">
        <v>1097</v>
      </c>
      <c r="E367" s="174" t="s">
        <v>33</v>
      </c>
      <c r="F367" s="201" t="s">
        <v>26</v>
      </c>
      <c r="G367" s="175" t="s">
        <v>1098</v>
      </c>
      <c r="H367" s="145" t="s">
        <v>28</v>
      </c>
      <c r="I367" s="239" t="s">
        <v>61</v>
      </c>
      <c r="J367" s="239" t="s">
        <v>152</v>
      </c>
      <c r="K367" s="173">
        <v>44719.0</v>
      </c>
      <c r="L367" s="173"/>
      <c r="M367" s="173"/>
      <c r="N367" s="240" t="s">
        <v>42</v>
      </c>
      <c r="O367" s="174"/>
      <c r="P367" s="173"/>
      <c r="Q367" s="173"/>
      <c r="R367" s="214">
        <f t="shared" ref="R367:R368" si="11">R369</f>
        <v>44784</v>
      </c>
      <c r="S367" s="171"/>
      <c r="T367" s="174"/>
    </row>
    <row r="368" ht="39.0" hidden="1" customHeight="1">
      <c r="A368" s="172" t="s">
        <v>1099</v>
      </c>
      <c r="B368" s="278">
        <v>44695.0</v>
      </c>
      <c r="C368" s="214">
        <f t="shared" si="10"/>
        <v>44695</v>
      </c>
      <c r="D368" s="174" t="s">
        <v>1100</v>
      </c>
      <c r="E368" s="174" t="s">
        <v>33</v>
      </c>
      <c r="F368" s="201" t="s">
        <v>26</v>
      </c>
      <c r="G368" s="175" t="s">
        <v>1101</v>
      </c>
      <c r="H368" s="145" t="s">
        <v>28</v>
      </c>
      <c r="I368" s="239" t="s">
        <v>29</v>
      </c>
      <c r="J368" s="239" t="s">
        <v>41</v>
      </c>
      <c r="K368" s="173"/>
      <c r="L368" s="173"/>
      <c r="M368" s="173"/>
      <c r="N368" s="240" t="s">
        <v>118</v>
      </c>
      <c r="O368" s="174"/>
      <c r="P368" s="173"/>
      <c r="Q368" s="173">
        <v>44732.0</v>
      </c>
      <c r="R368" s="214">
        <f t="shared" si="11"/>
        <v>44707</v>
      </c>
      <c r="S368" s="171" t="s">
        <v>124</v>
      </c>
      <c r="T368" s="240" t="s">
        <v>1102</v>
      </c>
    </row>
    <row r="369" ht="39.0" hidden="1" customHeight="1">
      <c r="A369" s="172" t="s">
        <v>1103</v>
      </c>
      <c r="B369" s="278">
        <v>44693.0</v>
      </c>
      <c r="C369" s="214">
        <f t="shared" si="10"/>
        <v>44693</v>
      </c>
      <c r="D369" s="174" t="s">
        <v>147</v>
      </c>
      <c r="E369" s="174" t="s">
        <v>25</v>
      </c>
      <c r="F369" s="201" t="s">
        <v>26</v>
      </c>
      <c r="G369" s="175" t="s">
        <v>1104</v>
      </c>
      <c r="H369" s="145" t="s">
        <v>28</v>
      </c>
      <c r="I369" s="239" t="s">
        <v>29</v>
      </c>
      <c r="J369" s="239" t="s">
        <v>128</v>
      </c>
      <c r="K369" s="173">
        <v>44693.0</v>
      </c>
      <c r="L369" s="173"/>
      <c r="M369" s="173"/>
      <c r="N369" s="240" t="s">
        <v>42</v>
      </c>
      <c r="O369" s="174">
        <v>16.47</v>
      </c>
      <c r="P369" s="173"/>
      <c r="Q369" s="173">
        <v>44784.0</v>
      </c>
      <c r="R369" s="214">
        <f>Q369</f>
        <v>44784</v>
      </c>
      <c r="S369" s="171" t="s">
        <v>119</v>
      </c>
      <c r="T369" s="240" t="s">
        <v>1105</v>
      </c>
    </row>
    <row r="370" ht="39.0" customHeight="1">
      <c r="A370" s="172" t="s">
        <v>1106</v>
      </c>
      <c r="B370" s="278">
        <v>44687.0</v>
      </c>
      <c r="C370" s="214">
        <f t="shared" si="10"/>
        <v>44687</v>
      </c>
      <c r="D370" s="174" t="s">
        <v>116</v>
      </c>
      <c r="E370" s="174" t="s">
        <v>25</v>
      </c>
      <c r="F370" s="201" t="s">
        <v>26</v>
      </c>
      <c r="G370" s="175" t="s">
        <v>1107</v>
      </c>
      <c r="H370" s="145" t="s">
        <v>60</v>
      </c>
      <c r="I370" s="239" t="s">
        <v>29</v>
      </c>
      <c r="J370" s="239" t="s">
        <v>110</v>
      </c>
      <c r="K370" s="173"/>
      <c r="L370" s="173"/>
      <c r="M370" s="173"/>
      <c r="N370" s="240" t="s">
        <v>42</v>
      </c>
      <c r="O370" s="174"/>
      <c r="P370" s="173"/>
      <c r="Q370" s="173"/>
      <c r="R370" s="214">
        <f>R371</f>
        <v>44707</v>
      </c>
      <c r="S370" s="171" t="s">
        <v>96</v>
      </c>
      <c r="T370" s="174"/>
    </row>
    <row r="371" ht="39.0" hidden="1" customHeight="1">
      <c r="A371" s="172" t="s">
        <v>1108</v>
      </c>
      <c r="B371" s="278">
        <v>44685.0</v>
      </c>
      <c r="C371" s="214">
        <f t="shared" si="10"/>
        <v>44685</v>
      </c>
      <c r="D371" s="174" t="s">
        <v>195</v>
      </c>
      <c r="E371" s="174" t="s">
        <v>33</v>
      </c>
      <c r="F371" s="201" t="s">
        <v>26</v>
      </c>
      <c r="G371" s="175" t="s">
        <v>1109</v>
      </c>
      <c r="H371" s="145" t="s">
        <v>28</v>
      </c>
      <c r="I371" s="239" t="s">
        <v>29</v>
      </c>
      <c r="J371" s="239" t="s">
        <v>41</v>
      </c>
      <c r="K371" s="173">
        <v>44685.0</v>
      </c>
      <c r="L371" s="173"/>
      <c r="M371" s="173"/>
      <c r="N371" s="279" t="s">
        <v>42</v>
      </c>
      <c r="O371" s="174"/>
      <c r="P371" s="173"/>
      <c r="Q371" s="195">
        <v>44707.0</v>
      </c>
      <c r="R371" s="214">
        <f t="shared" ref="R371:R373" si="12">Q371</f>
        <v>44707</v>
      </c>
      <c r="S371" s="171" t="s">
        <v>96</v>
      </c>
      <c r="T371" s="174"/>
    </row>
    <row r="372" ht="39.0" hidden="1" customHeight="1">
      <c r="A372" s="172" t="s">
        <v>1110</v>
      </c>
      <c r="B372" s="278">
        <v>44676.0</v>
      </c>
      <c r="C372" s="110">
        <f t="shared" si="10"/>
        <v>44676</v>
      </c>
      <c r="D372" s="174" t="s">
        <v>91</v>
      </c>
      <c r="E372" s="174" t="s">
        <v>25</v>
      </c>
      <c r="F372" s="201" t="s">
        <v>26</v>
      </c>
      <c r="G372" s="175" t="s">
        <v>1111</v>
      </c>
      <c r="H372" s="145" t="s">
        <v>28</v>
      </c>
      <c r="I372" s="239" t="s">
        <v>36</v>
      </c>
      <c r="J372" s="239" t="s">
        <v>152</v>
      </c>
      <c r="K372" s="173">
        <v>44676.0</v>
      </c>
      <c r="L372" s="173"/>
      <c r="M372" s="173"/>
      <c r="N372" s="240" t="s">
        <v>42</v>
      </c>
      <c r="O372" s="174">
        <v>5.78</v>
      </c>
      <c r="P372" s="173"/>
      <c r="Q372" s="173">
        <v>44684.0</v>
      </c>
      <c r="R372" s="214">
        <f t="shared" si="12"/>
        <v>44684</v>
      </c>
      <c r="S372" s="171" t="s">
        <v>119</v>
      </c>
      <c r="T372" s="174" t="s">
        <v>1112</v>
      </c>
    </row>
    <row r="373" ht="39.0" hidden="1" customHeight="1">
      <c r="A373" s="172" t="s">
        <v>1092</v>
      </c>
      <c r="B373" s="278">
        <v>44669.0</v>
      </c>
      <c r="C373" s="110">
        <f t="shared" si="10"/>
        <v>44669</v>
      </c>
      <c r="D373" s="174" t="s">
        <v>375</v>
      </c>
      <c r="E373" s="174" t="s">
        <v>25</v>
      </c>
      <c r="F373" s="201" t="s">
        <v>26</v>
      </c>
      <c r="G373" s="175" t="s">
        <v>1113</v>
      </c>
      <c r="H373" s="145" t="s">
        <v>35</v>
      </c>
      <c r="I373" s="239" t="s">
        <v>61</v>
      </c>
      <c r="J373" s="239"/>
      <c r="K373" s="173"/>
      <c r="L373" s="173"/>
      <c r="M373" s="173"/>
      <c r="N373" s="240" t="s">
        <v>30</v>
      </c>
      <c r="O373" s="174"/>
      <c r="P373" s="173"/>
      <c r="Q373" s="173"/>
      <c r="R373" s="214" t="str">
        <f t="shared" si="12"/>
        <v/>
      </c>
      <c r="S373" s="144"/>
      <c r="T373" s="174"/>
    </row>
    <row r="374" ht="39.0" hidden="1" customHeight="1">
      <c r="A374" s="240" t="s">
        <v>76</v>
      </c>
      <c r="B374" s="278"/>
      <c r="C374" s="110">
        <f t="shared" ref="C374:C375" si="13">C373</f>
        <v>44669</v>
      </c>
      <c r="D374" s="174"/>
      <c r="E374" s="174" t="s">
        <v>25</v>
      </c>
      <c r="F374" s="201" t="s">
        <v>26</v>
      </c>
      <c r="G374" s="175" t="s">
        <v>1114</v>
      </c>
      <c r="H374" s="145" t="s">
        <v>35</v>
      </c>
      <c r="I374" s="239" t="s">
        <v>29</v>
      </c>
      <c r="J374" s="239" t="s">
        <v>75</v>
      </c>
      <c r="K374" s="173"/>
      <c r="L374" s="173"/>
      <c r="M374" s="173"/>
      <c r="N374" s="240" t="s">
        <v>42</v>
      </c>
      <c r="O374" s="174"/>
      <c r="P374" s="173"/>
      <c r="Q374" s="173"/>
      <c r="R374" s="214">
        <f>R372</f>
        <v>44684</v>
      </c>
      <c r="S374" s="171" t="s">
        <v>96</v>
      </c>
      <c r="T374" s="280"/>
    </row>
    <row r="375" ht="39.0" hidden="1" customHeight="1">
      <c r="A375" s="240" t="s">
        <v>76</v>
      </c>
      <c r="B375" s="278"/>
      <c r="C375" s="110">
        <f t="shared" si="13"/>
        <v>44669</v>
      </c>
      <c r="D375" s="174"/>
      <c r="E375" s="174" t="s">
        <v>25</v>
      </c>
      <c r="F375" s="201" t="s">
        <v>26</v>
      </c>
      <c r="G375" s="175" t="s">
        <v>1115</v>
      </c>
      <c r="H375" s="145" t="s">
        <v>28</v>
      </c>
      <c r="I375" s="239" t="s">
        <v>36</v>
      </c>
      <c r="J375" s="239" t="s">
        <v>75</v>
      </c>
      <c r="K375" s="173"/>
      <c r="L375" s="173"/>
      <c r="M375" s="173"/>
      <c r="N375" s="240" t="s">
        <v>42</v>
      </c>
      <c r="O375" s="174"/>
      <c r="P375" s="173"/>
      <c r="Q375" s="173"/>
      <c r="R375" s="214">
        <f>R374</f>
        <v>44684</v>
      </c>
      <c r="S375" s="171" t="s">
        <v>96</v>
      </c>
      <c r="T375" s="280"/>
    </row>
    <row r="376" ht="39.0" hidden="1" customHeight="1">
      <c r="A376" s="172" t="s">
        <v>1116</v>
      </c>
      <c r="B376" s="278">
        <v>44663.0</v>
      </c>
      <c r="C376" s="110">
        <f t="shared" ref="C376:C410" si="14">B376</f>
        <v>44663</v>
      </c>
      <c r="D376" s="174" t="s">
        <v>91</v>
      </c>
      <c r="E376" s="174" t="s">
        <v>25</v>
      </c>
      <c r="F376" s="201" t="s">
        <v>26</v>
      </c>
      <c r="G376" s="175" t="s">
        <v>1117</v>
      </c>
      <c r="H376" s="145" t="s">
        <v>87</v>
      </c>
      <c r="I376" s="239" t="s">
        <v>61</v>
      </c>
      <c r="J376" s="239" t="s">
        <v>152</v>
      </c>
      <c r="K376" s="173">
        <v>44663.0</v>
      </c>
      <c r="L376" s="173"/>
      <c r="M376" s="173"/>
      <c r="N376" s="240" t="s">
        <v>42</v>
      </c>
      <c r="O376" s="174">
        <v>6.4</v>
      </c>
      <c r="P376" s="173"/>
      <c r="Q376" s="173">
        <v>44683.0</v>
      </c>
      <c r="R376" s="125">
        <f t="shared" ref="R376:R410" si="15">Q376</f>
        <v>44683</v>
      </c>
      <c r="S376" s="171" t="s">
        <v>119</v>
      </c>
      <c r="T376" s="280" t="s">
        <v>1118</v>
      </c>
    </row>
    <row r="377" ht="39.0" hidden="1" customHeight="1">
      <c r="A377" s="172" t="s">
        <v>1119</v>
      </c>
      <c r="B377" s="278">
        <v>44657.0</v>
      </c>
      <c r="C377" s="110">
        <f t="shared" si="14"/>
        <v>44657</v>
      </c>
      <c r="D377" s="174" t="s">
        <v>24</v>
      </c>
      <c r="E377" s="174" t="s">
        <v>25</v>
      </c>
      <c r="F377" s="201" t="s">
        <v>26</v>
      </c>
      <c r="G377" s="175" t="s">
        <v>1120</v>
      </c>
      <c r="H377" s="145" t="s">
        <v>28</v>
      </c>
      <c r="I377" s="239" t="s">
        <v>36</v>
      </c>
      <c r="J377" s="239" t="s">
        <v>152</v>
      </c>
      <c r="K377" s="173">
        <v>44686.0</v>
      </c>
      <c r="L377" s="173"/>
      <c r="M377" s="173"/>
      <c r="N377" s="240" t="s">
        <v>42</v>
      </c>
      <c r="O377" s="174">
        <v>14.32</v>
      </c>
      <c r="P377" s="173"/>
      <c r="Q377" s="173">
        <v>44782.0</v>
      </c>
      <c r="R377" s="125">
        <f t="shared" si="15"/>
        <v>44782</v>
      </c>
      <c r="S377" s="171" t="s">
        <v>119</v>
      </c>
      <c r="T377" s="281" t="s">
        <v>1121</v>
      </c>
    </row>
    <row r="378" ht="39.0" hidden="1" customHeight="1">
      <c r="A378" s="172" t="s">
        <v>1122</v>
      </c>
      <c r="B378" s="278">
        <v>44657.0</v>
      </c>
      <c r="C378" s="110">
        <f t="shared" si="14"/>
        <v>44657</v>
      </c>
      <c r="D378" s="174" t="s">
        <v>133</v>
      </c>
      <c r="E378" s="174" t="s">
        <v>33</v>
      </c>
      <c r="F378" s="201" t="s">
        <v>26</v>
      </c>
      <c r="G378" s="175" t="s">
        <v>1123</v>
      </c>
      <c r="H378" s="145" t="s">
        <v>49</v>
      </c>
      <c r="I378" s="239" t="s">
        <v>61</v>
      </c>
      <c r="J378" s="239"/>
      <c r="K378" s="173"/>
      <c r="L378" s="173"/>
      <c r="M378" s="173"/>
      <c r="N378" s="240" t="s">
        <v>30</v>
      </c>
      <c r="O378" s="174"/>
      <c r="P378" s="173"/>
      <c r="Q378" s="173"/>
      <c r="R378" s="125" t="str">
        <f t="shared" si="15"/>
        <v/>
      </c>
      <c r="S378" s="144"/>
      <c r="T378" s="174"/>
    </row>
    <row r="379" ht="39.0" hidden="1" customHeight="1">
      <c r="A379" s="172" t="s">
        <v>1124</v>
      </c>
      <c r="B379" s="278">
        <v>44657.0</v>
      </c>
      <c r="C379" s="110">
        <f t="shared" si="14"/>
        <v>44657</v>
      </c>
      <c r="D379" s="174" t="s">
        <v>1125</v>
      </c>
      <c r="E379" s="174" t="s">
        <v>25</v>
      </c>
      <c r="F379" s="201" t="s">
        <v>26</v>
      </c>
      <c r="G379" s="175" t="s">
        <v>1126</v>
      </c>
      <c r="H379" s="145" t="s">
        <v>49</v>
      </c>
      <c r="I379" s="189" t="s">
        <v>61</v>
      </c>
      <c r="J379" s="189" t="s">
        <v>1082</v>
      </c>
      <c r="K379" s="173">
        <v>44683.0</v>
      </c>
      <c r="L379" s="173"/>
      <c r="M379" s="173"/>
      <c r="N379" s="190" t="s">
        <v>343</v>
      </c>
      <c r="O379" s="174"/>
      <c r="P379" s="173"/>
      <c r="Q379" s="173"/>
      <c r="R379" s="125" t="str">
        <f t="shared" si="15"/>
        <v/>
      </c>
      <c r="S379" s="144"/>
      <c r="T379" s="174" t="s">
        <v>941</v>
      </c>
    </row>
    <row r="380" ht="39.0" hidden="1" customHeight="1">
      <c r="A380" s="172" t="s">
        <v>1127</v>
      </c>
      <c r="B380" s="278">
        <v>44652.0</v>
      </c>
      <c r="C380" s="110">
        <f t="shared" si="14"/>
        <v>44652</v>
      </c>
      <c r="D380" s="174" t="s">
        <v>213</v>
      </c>
      <c r="E380" s="174" t="s">
        <v>25</v>
      </c>
      <c r="F380" s="201" t="s">
        <v>26</v>
      </c>
      <c r="G380" s="175" t="s">
        <v>1128</v>
      </c>
      <c r="H380" s="174" t="s">
        <v>87</v>
      </c>
      <c r="I380" s="189" t="s">
        <v>61</v>
      </c>
      <c r="J380" s="189" t="s">
        <v>152</v>
      </c>
      <c r="K380" s="173">
        <v>44873.0</v>
      </c>
      <c r="L380" s="173"/>
      <c r="M380" s="173"/>
      <c r="N380" s="190" t="s">
        <v>42</v>
      </c>
      <c r="O380" s="174"/>
      <c r="P380" s="173"/>
      <c r="Q380" s="173">
        <v>44676.0</v>
      </c>
      <c r="R380" s="125">
        <f t="shared" si="15"/>
        <v>44676</v>
      </c>
      <c r="S380" s="178" t="s">
        <v>124</v>
      </c>
      <c r="T380" s="174" t="s">
        <v>1129</v>
      </c>
    </row>
    <row r="381" ht="39.0" customHeight="1">
      <c r="A381" s="248" t="s">
        <v>1130</v>
      </c>
      <c r="B381" s="282">
        <v>44645.0</v>
      </c>
      <c r="C381" s="283">
        <f t="shared" si="14"/>
        <v>44645</v>
      </c>
      <c r="D381" s="251" t="s">
        <v>32</v>
      </c>
      <c r="E381" s="251" t="s">
        <v>33</v>
      </c>
      <c r="F381" s="284" t="s">
        <v>26</v>
      </c>
      <c r="G381" s="252" t="s">
        <v>1131</v>
      </c>
      <c r="H381" s="251" t="s">
        <v>28</v>
      </c>
      <c r="I381" s="285" t="s">
        <v>61</v>
      </c>
      <c r="J381" s="285" t="s">
        <v>110</v>
      </c>
      <c r="K381" s="249">
        <v>44662.0</v>
      </c>
      <c r="L381" s="249">
        <v>46209.0</v>
      </c>
      <c r="M381" s="249">
        <v>46209.0</v>
      </c>
      <c r="N381" s="286" t="s">
        <v>55</v>
      </c>
      <c r="O381" s="251">
        <v>476.35</v>
      </c>
      <c r="P381" s="249">
        <v>46295.0</v>
      </c>
      <c r="Q381" s="249"/>
      <c r="R381" s="287" t="str">
        <f t="shared" si="15"/>
        <v/>
      </c>
      <c r="S381" s="249"/>
      <c r="T381" s="251" t="s">
        <v>1132</v>
      </c>
    </row>
    <row r="382" ht="39.0" hidden="1" customHeight="1">
      <c r="A382" s="143" t="s">
        <v>1133</v>
      </c>
      <c r="B382" s="144">
        <v>45016.0</v>
      </c>
      <c r="C382" s="110">
        <f t="shared" si="14"/>
        <v>45016</v>
      </c>
      <c r="D382" s="145" t="s">
        <v>419</v>
      </c>
      <c r="E382" s="145" t="s">
        <v>33</v>
      </c>
      <c r="F382" s="201" t="s">
        <v>26</v>
      </c>
      <c r="G382" s="146" t="s">
        <v>1134</v>
      </c>
      <c r="H382" s="145" t="s">
        <v>35</v>
      </c>
      <c r="I382" s="274" t="s">
        <v>61</v>
      </c>
      <c r="J382" s="274" t="s">
        <v>128</v>
      </c>
      <c r="K382" s="144">
        <v>45049.0</v>
      </c>
      <c r="L382" s="144"/>
      <c r="M382" s="144"/>
      <c r="N382" s="273" t="s">
        <v>42</v>
      </c>
      <c r="O382" s="145"/>
      <c r="P382" s="144"/>
      <c r="Q382" s="144">
        <v>45057.0</v>
      </c>
      <c r="R382" s="125">
        <f t="shared" si="15"/>
        <v>45057</v>
      </c>
      <c r="S382" s="171" t="s">
        <v>43</v>
      </c>
      <c r="T382" s="145" t="s">
        <v>1135</v>
      </c>
    </row>
    <row r="383" ht="39.0" hidden="1" customHeight="1">
      <c r="A383" s="143" t="s">
        <v>1136</v>
      </c>
      <c r="B383" s="144">
        <v>44651.0</v>
      </c>
      <c r="C383" s="110">
        <f t="shared" si="14"/>
        <v>44651</v>
      </c>
      <c r="D383" s="145" t="s">
        <v>46</v>
      </c>
      <c r="E383" s="145" t="s">
        <v>25</v>
      </c>
      <c r="F383" s="201" t="s">
        <v>26</v>
      </c>
      <c r="G383" s="146" t="s">
        <v>1137</v>
      </c>
      <c r="H383" s="145" t="s">
        <v>49</v>
      </c>
      <c r="I383" s="274" t="s">
        <v>36</v>
      </c>
      <c r="J383" s="274" t="s">
        <v>41</v>
      </c>
      <c r="K383" s="144"/>
      <c r="L383" s="144"/>
      <c r="M383" s="144"/>
      <c r="N383" s="273" t="s">
        <v>118</v>
      </c>
      <c r="O383" s="145"/>
      <c r="P383" s="144"/>
      <c r="Q383" s="144">
        <v>44659.0</v>
      </c>
      <c r="R383" s="125">
        <f t="shared" si="15"/>
        <v>44659</v>
      </c>
      <c r="S383" s="171" t="s">
        <v>124</v>
      </c>
      <c r="T383" s="145" t="s">
        <v>1138</v>
      </c>
    </row>
    <row r="384" ht="39.0" hidden="1" customHeight="1">
      <c r="A384" s="143" t="s">
        <v>1139</v>
      </c>
      <c r="B384" s="144">
        <v>44651.0</v>
      </c>
      <c r="C384" s="110">
        <f t="shared" si="14"/>
        <v>44651</v>
      </c>
      <c r="D384" s="145" t="s">
        <v>91</v>
      </c>
      <c r="E384" s="145" t="s">
        <v>25</v>
      </c>
      <c r="F384" s="201" t="s">
        <v>26</v>
      </c>
      <c r="G384" s="146" t="s">
        <v>1140</v>
      </c>
      <c r="H384" s="145" t="s">
        <v>35</v>
      </c>
      <c r="I384" s="274" t="s">
        <v>61</v>
      </c>
      <c r="J384" s="274" t="s">
        <v>41</v>
      </c>
      <c r="K384" s="144">
        <v>44651.0</v>
      </c>
      <c r="L384" s="144"/>
      <c r="M384" s="144"/>
      <c r="N384" s="273" t="s">
        <v>42</v>
      </c>
      <c r="O384" s="145"/>
      <c r="P384" s="144"/>
      <c r="Q384" s="144">
        <v>45569.0</v>
      </c>
      <c r="R384" s="125">
        <f t="shared" si="15"/>
        <v>45569</v>
      </c>
      <c r="S384" s="171" t="s">
        <v>119</v>
      </c>
      <c r="T384" s="145" t="s">
        <v>1141</v>
      </c>
    </row>
    <row r="385" ht="39.0" hidden="1" customHeight="1">
      <c r="A385" s="172" t="s">
        <v>1142</v>
      </c>
      <c r="B385" s="173">
        <v>44643.0</v>
      </c>
      <c r="C385" s="110">
        <f t="shared" si="14"/>
        <v>44643</v>
      </c>
      <c r="D385" s="174" t="s">
        <v>1143</v>
      </c>
      <c r="E385" s="174" t="s">
        <v>33</v>
      </c>
      <c r="F385" s="201" t="s">
        <v>26</v>
      </c>
      <c r="G385" s="175" t="s">
        <v>1144</v>
      </c>
      <c r="H385" s="145" t="s">
        <v>35</v>
      </c>
      <c r="I385" s="239" t="s">
        <v>61</v>
      </c>
      <c r="J385" s="239"/>
      <c r="K385" s="173"/>
      <c r="L385" s="173"/>
      <c r="M385" s="173"/>
      <c r="N385" s="240" t="s">
        <v>118</v>
      </c>
      <c r="O385" s="174"/>
      <c r="P385" s="173"/>
      <c r="Q385" s="173">
        <v>45659.0</v>
      </c>
      <c r="R385" s="125">
        <f t="shared" si="15"/>
        <v>45659</v>
      </c>
      <c r="S385" s="171" t="s">
        <v>124</v>
      </c>
      <c r="T385" s="174" t="s">
        <v>997</v>
      </c>
    </row>
    <row r="386" ht="39.0" hidden="1" customHeight="1">
      <c r="A386" s="172" t="s">
        <v>1145</v>
      </c>
      <c r="B386" s="278">
        <v>44643.0</v>
      </c>
      <c r="C386" s="110">
        <f t="shared" si="14"/>
        <v>44643</v>
      </c>
      <c r="D386" s="174" t="s">
        <v>902</v>
      </c>
      <c r="E386" s="174" t="s">
        <v>25</v>
      </c>
      <c r="F386" s="201" t="s">
        <v>26</v>
      </c>
      <c r="G386" s="175" t="s">
        <v>1146</v>
      </c>
      <c r="H386" s="145" t="s">
        <v>28</v>
      </c>
      <c r="I386" s="239" t="s">
        <v>36</v>
      </c>
      <c r="J386" s="239" t="s">
        <v>152</v>
      </c>
      <c r="K386" s="173">
        <v>44662.0</v>
      </c>
      <c r="L386" s="173"/>
      <c r="M386" s="173"/>
      <c r="N386" s="240" t="s">
        <v>42</v>
      </c>
      <c r="O386" s="174"/>
      <c r="P386" s="173"/>
      <c r="Q386" s="173">
        <v>44686.0</v>
      </c>
      <c r="R386" s="125">
        <f t="shared" si="15"/>
        <v>44686</v>
      </c>
      <c r="S386" s="171" t="s">
        <v>96</v>
      </c>
      <c r="T386" s="240" t="s">
        <v>1147</v>
      </c>
    </row>
    <row r="387" ht="39.0" hidden="1" customHeight="1">
      <c r="A387" s="172" t="s">
        <v>1148</v>
      </c>
      <c r="B387" s="278">
        <v>44636.0</v>
      </c>
      <c r="C387" s="110">
        <f t="shared" si="14"/>
        <v>44636</v>
      </c>
      <c r="D387" s="174" t="s">
        <v>116</v>
      </c>
      <c r="E387" s="174" t="s">
        <v>25</v>
      </c>
      <c r="F387" s="201" t="s">
        <v>26</v>
      </c>
      <c r="G387" s="175" t="s">
        <v>1149</v>
      </c>
      <c r="H387" s="145" t="s">
        <v>49</v>
      </c>
      <c r="I387" s="239" t="s">
        <v>36</v>
      </c>
      <c r="J387" s="239" t="s">
        <v>41</v>
      </c>
      <c r="K387" s="173"/>
      <c r="L387" s="173"/>
      <c r="M387" s="173"/>
      <c r="N387" s="240" t="s">
        <v>42</v>
      </c>
      <c r="O387" s="174"/>
      <c r="P387" s="173"/>
      <c r="Q387" s="173">
        <v>44738.0</v>
      </c>
      <c r="R387" s="125">
        <f t="shared" si="15"/>
        <v>44738</v>
      </c>
      <c r="S387" s="171" t="s">
        <v>43</v>
      </c>
      <c r="T387" s="240" t="s">
        <v>1150</v>
      </c>
    </row>
    <row r="388" ht="39.0" hidden="1" customHeight="1">
      <c r="A388" s="172" t="s">
        <v>1151</v>
      </c>
      <c r="B388" s="278">
        <v>44636.0</v>
      </c>
      <c r="C388" s="110">
        <f t="shared" si="14"/>
        <v>44636</v>
      </c>
      <c r="D388" s="174" t="s">
        <v>77</v>
      </c>
      <c r="E388" s="174" t="s">
        <v>25</v>
      </c>
      <c r="F388" s="201" t="s">
        <v>26</v>
      </c>
      <c r="G388" s="175" t="s">
        <v>1152</v>
      </c>
      <c r="H388" s="145" t="s">
        <v>28</v>
      </c>
      <c r="I388" s="239" t="s">
        <v>36</v>
      </c>
      <c r="J388" s="239" t="s">
        <v>41</v>
      </c>
      <c r="K388" s="173"/>
      <c r="L388" s="173"/>
      <c r="M388" s="173"/>
      <c r="N388" s="240" t="s">
        <v>42</v>
      </c>
      <c r="O388" s="174"/>
      <c r="P388" s="173"/>
      <c r="Q388" s="173">
        <v>44692.0</v>
      </c>
      <c r="R388" s="125">
        <f t="shared" si="15"/>
        <v>44692</v>
      </c>
      <c r="S388" s="171" t="s">
        <v>96</v>
      </c>
      <c r="T388" s="240" t="s">
        <v>1153</v>
      </c>
    </row>
    <row r="389" ht="39.0" hidden="1" customHeight="1">
      <c r="A389" s="172" t="s">
        <v>1154</v>
      </c>
      <c r="B389" s="278">
        <v>44614.0</v>
      </c>
      <c r="C389" s="110">
        <f t="shared" si="14"/>
        <v>44614</v>
      </c>
      <c r="D389" s="174" t="s">
        <v>24</v>
      </c>
      <c r="E389" s="174" t="s">
        <v>25</v>
      </c>
      <c r="F389" s="201" t="s">
        <v>26</v>
      </c>
      <c r="G389" s="175" t="s">
        <v>1155</v>
      </c>
      <c r="H389" s="145" t="s">
        <v>28</v>
      </c>
      <c r="I389" s="239" t="s">
        <v>61</v>
      </c>
      <c r="J389" s="239"/>
      <c r="K389" s="173"/>
      <c r="L389" s="173"/>
      <c r="M389" s="173"/>
      <c r="N389" s="240" t="s">
        <v>30</v>
      </c>
      <c r="O389" s="174"/>
      <c r="P389" s="173"/>
      <c r="Q389" s="173"/>
      <c r="R389" s="125" t="str">
        <f t="shared" si="15"/>
        <v/>
      </c>
      <c r="S389" s="171"/>
      <c r="T389" s="174"/>
    </row>
    <row r="390" ht="39.0" hidden="1" customHeight="1">
      <c r="A390" s="288" t="s">
        <v>1156</v>
      </c>
      <c r="B390" s="289">
        <v>44609.0</v>
      </c>
      <c r="C390" s="290">
        <f t="shared" si="14"/>
        <v>44609</v>
      </c>
      <c r="D390" s="291" t="s">
        <v>52</v>
      </c>
      <c r="E390" s="291"/>
      <c r="F390" s="291" t="s">
        <v>26</v>
      </c>
      <c r="G390" s="292" t="s">
        <v>1157</v>
      </c>
      <c r="H390" s="291" t="s">
        <v>54</v>
      </c>
      <c r="I390" s="293" t="s">
        <v>36</v>
      </c>
      <c r="J390" s="293" t="s">
        <v>41</v>
      </c>
      <c r="K390" s="289">
        <v>44609.0</v>
      </c>
      <c r="L390" s="289"/>
      <c r="M390" s="289"/>
      <c r="N390" s="294" t="s">
        <v>42</v>
      </c>
      <c r="O390" s="291"/>
      <c r="P390" s="289"/>
      <c r="Q390" s="289">
        <v>45569.0</v>
      </c>
      <c r="R390" s="295">
        <f t="shared" si="15"/>
        <v>45569</v>
      </c>
      <c r="S390" s="296" t="s">
        <v>124</v>
      </c>
      <c r="T390" s="291" t="s">
        <v>1158</v>
      </c>
    </row>
    <row r="391" ht="39.0" hidden="1" customHeight="1">
      <c r="A391" s="172" t="s">
        <v>1159</v>
      </c>
      <c r="B391" s="278">
        <v>44581.0</v>
      </c>
      <c r="C391" s="110">
        <f t="shared" si="14"/>
        <v>44581</v>
      </c>
      <c r="D391" s="174" t="s">
        <v>46</v>
      </c>
      <c r="E391" s="174" t="s">
        <v>25</v>
      </c>
      <c r="F391" s="201" t="s">
        <v>26</v>
      </c>
      <c r="G391" s="175" t="s">
        <v>1160</v>
      </c>
      <c r="H391" s="145" t="s">
        <v>186</v>
      </c>
      <c r="I391" s="239" t="s">
        <v>29</v>
      </c>
      <c r="J391" s="239" t="s">
        <v>41</v>
      </c>
      <c r="K391" s="173">
        <v>44581.0</v>
      </c>
      <c r="L391" s="173"/>
      <c r="M391" s="173"/>
      <c r="N391" s="240" t="s">
        <v>42</v>
      </c>
      <c r="O391" s="174"/>
      <c r="P391" s="173"/>
      <c r="Q391" s="173">
        <v>44833.0</v>
      </c>
      <c r="R391" s="125">
        <f t="shared" si="15"/>
        <v>44833</v>
      </c>
      <c r="S391" s="171" t="s">
        <v>119</v>
      </c>
      <c r="T391" s="281" t="s">
        <v>1161</v>
      </c>
    </row>
    <row r="392" ht="39.0" hidden="1" customHeight="1">
      <c r="A392" s="172" t="s">
        <v>1162</v>
      </c>
      <c r="B392" s="278">
        <v>44533.0</v>
      </c>
      <c r="C392" s="110">
        <f t="shared" si="14"/>
        <v>44533</v>
      </c>
      <c r="D392" s="174" t="s">
        <v>24</v>
      </c>
      <c r="E392" s="174" t="s">
        <v>25</v>
      </c>
      <c r="F392" s="201" t="s">
        <v>26</v>
      </c>
      <c r="G392" s="175" t="s">
        <v>1163</v>
      </c>
      <c r="H392" s="145" t="s">
        <v>186</v>
      </c>
      <c r="I392" s="239" t="s">
        <v>61</v>
      </c>
      <c r="J392" s="239"/>
      <c r="K392" s="173"/>
      <c r="L392" s="173"/>
      <c r="M392" s="173"/>
      <c r="N392" s="240" t="s">
        <v>118</v>
      </c>
      <c r="O392" s="174"/>
      <c r="P392" s="173"/>
      <c r="Q392" s="173">
        <v>45659.0</v>
      </c>
      <c r="R392" s="125">
        <f t="shared" si="15"/>
        <v>45659</v>
      </c>
      <c r="S392" s="171" t="s">
        <v>124</v>
      </c>
      <c r="T392" s="174" t="s">
        <v>997</v>
      </c>
    </row>
    <row r="393" ht="39.0" hidden="1" customHeight="1">
      <c r="A393" s="172" t="s">
        <v>1164</v>
      </c>
      <c r="B393" s="278">
        <v>44474.0</v>
      </c>
      <c r="C393" s="110">
        <f t="shared" si="14"/>
        <v>44474</v>
      </c>
      <c r="D393" s="174" t="s">
        <v>237</v>
      </c>
      <c r="E393" s="174" t="s">
        <v>33</v>
      </c>
      <c r="F393" s="201" t="s">
        <v>26</v>
      </c>
      <c r="G393" s="175" t="s">
        <v>1165</v>
      </c>
      <c r="H393" s="145" t="s">
        <v>28</v>
      </c>
      <c r="I393" s="239" t="s">
        <v>61</v>
      </c>
      <c r="J393" s="239"/>
      <c r="K393" s="173"/>
      <c r="L393" s="173"/>
      <c r="M393" s="173"/>
      <c r="N393" s="240" t="s">
        <v>118</v>
      </c>
      <c r="O393" s="174"/>
      <c r="P393" s="173"/>
      <c r="Q393" s="173">
        <v>45659.0</v>
      </c>
      <c r="R393" s="125">
        <f t="shared" si="15"/>
        <v>45659</v>
      </c>
      <c r="S393" s="171" t="s">
        <v>124</v>
      </c>
      <c r="T393" s="174" t="s">
        <v>997</v>
      </c>
    </row>
    <row r="394" ht="39.0" hidden="1" customHeight="1">
      <c r="A394" s="172" t="s">
        <v>1166</v>
      </c>
      <c r="B394" s="278">
        <v>44460.0</v>
      </c>
      <c r="C394" s="110">
        <f t="shared" si="14"/>
        <v>44460</v>
      </c>
      <c r="D394" s="174" t="s">
        <v>38</v>
      </c>
      <c r="E394" s="174" t="s">
        <v>33</v>
      </c>
      <c r="F394" s="201" t="s">
        <v>26</v>
      </c>
      <c r="G394" s="175" t="s">
        <v>1167</v>
      </c>
      <c r="H394" s="145" t="s">
        <v>60</v>
      </c>
      <c r="I394" s="239" t="s">
        <v>61</v>
      </c>
      <c r="J394" s="239" t="s">
        <v>128</v>
      </c>
      <c r="K394" s="173">
        <v>44533.0</v>
      </c>
      <c r="L394" s="173"/>
      <c r="M394" s="173"/>
      <c r="N394" s="240" t="s">
        <v>118</v>
      </c>
      <c r="O394" s="174"/>
      <c r="P394" s="173"/>
      <c r="Q394" s="173">
        <v>45569.0</v>
      </c>
      <c r="R394" s="125">
        <f t="shared" si="15"/>
        <v>45569</v>
      </c>
      <c r="S394" s="171" t="s">
        <v>124</v>
      </c>
      <c r="T394" s="174" t="s">
        <v>1168</v>
      </c>
    </row>
    <row r="395" ht="39.0" hidden="1" customHeight="1">
      <c r="A395" s="172" t="s">
        <v>1169</v>
      </c>
      <c r="B395" s="278">
        <v>44434.0</v>
      </c>
      <c r="C395" s="110">
        <f t="shared" si="14"/>
        <v>44434</v>
      </c>
      <c r="D395" s="174" t="s">
        <v>689</v>
      </c>
      <c r="E395" s="174" t="s">
        <v>25</v>
      </c>
      <c r="F395" s="201" t="s">
        <v>26</v>
      </c>
      <c r="G395" s="175" t="s">
        <v>1170</v>
      </c>
      <c r="H395" s="145" t="s">
        <v>40</v>
      </c>
      <c r="I395" s="239" t="s">
        <v>36</v>
      </c>
      <c r="J395" s="239"/>
      <c r="K395" s="173"/>
      <c r="L395" s="173"/>
      <c r="M395" s="173"/>
      <c r="N395" s="240" t="s">
        <v>118</v>
      </c>
      <c r="O395" s="174"/>
      <c r="P395" s="173"/>
      <c r="Q395" s="173">
        <v>45659.0</v>
      </c>
      <c r="R395" s="125">
        <f t="shared" si="15"/>
        <v>45659</v>
      </c>
      <c r="S395" s="171" t="s">
        <v>124</v>
      </c>
      <c r="T395" s="174" t="s">
        <v>997</v>
      </c>
    </row>
    <row r="396" ht="39.0" hidden="1" customHeight="1">
      <c r="A396" s="172" t="s">
        <v>1171</v>
      </c>
      <c r="B396" s="278">
        <v>44412.0</v>
      </c>
      <c r="C396" s="110">
        <f t="shared" si="14"/>
        <v>44412</v>
      </c>
      <c r="D396" s="174" t="s">
        <v>52</v>
      </c>
      <c r="E396" s="174"/>
      <c r="F396" s="201" t="s">
        <v>26</v>
      </c>
      <c r="G396" s="175" t="s">
        <v>1172</v>
      </c>
      <c r="H396" s="145" t="s">
        <v>186</v>
      </c>
      <c r="I396" s="239" t="s">
        <v>36</v>
      </c>
      <c r="J396" s="239" t="s">
        <v>41</v>
      </c>
      <c r="K396" s="173"/>
      <c r="L396" s="173"/>
      <c r="M396" s="173"/>
      <c r="N396" s="240" t="s">
        <v>118</v>
      </c>
      <c r="O396" s="174"/>
      <c r="P396" s="173"/>
      <c r="Q396" s="195">
        <v>45659.0</v>
      </c>
      <c r="R396" s="125">
        <f t="shared" si="15"/>
        <v>45659</v>
      </c>
      <c r="S396" s="171" t="s">
        <v>124</v>
      </c>
      <c r="T396" s="174" t="s">
        <v>997</v>
      </c>
    </row>
    <row r="397" ht="39.0" hidden="1" customHeight="1">
      <c r="A397" s="172" t="s">
        <v>1173</v>
      </c>
      <c r="B397" s="278">
        <v>44369.0</v>
      </c>
      <c r="C397" s="110">
        <f t="shared" si="14"/>
        <v>44369</v>
      </c>
      <c r="D397" s="174" t="s">
        <v>52</v>
      </c>
      <c r="E397" s="174" t="s">
        <v>25</v>
      </c>
      <c r="F397" s="201" t="s">
        <v>26</v>
      </c>
      <c r="G397" s="175" t="s">
        <v>1174</v>
      </c>
      <c r="H397" s="145" t="s">
        <v>40</v>
      </c>
      <c r="I397" s="239" t="s">
        <v>61</v>
      </c>
      <c r="J397" s="239" t="s">
        <v>41</v>
      </c>
      <c r="K397" s="173"/>
      <c r="L397" s="173"/>
      <c r="M397" s="173"/>
      <c r="N397" s="240" t="s">
        <v>118</v>
      </c>
      <c r="O397" s="174"/>
      <c r="P397" s="173"/>
      <c r="Q397" s="173">
        <v>45644.0</v>
      </c>
      <c r="R397" s="125">
        <f t="shared" si="15"/>
        <v>45644</v>
      </c>
      <c r="S397" s="171" t="s">
        <v>124</v>
      </c>
      <c r="T397" s="174" t="s">
        <v>997</v>
      </c>
    </row>
    <row r="398" ht="39.0" hidden="1" customHeight="1">
      <c r="A398" s="172" t="s">
        <v>1175</v>
      </c>
      <c r="B398" s="278">
        <v>44369.0</v>
      </c>
      <c r="C398" s="110">
        <f t="shared" si="14"/>
        <v>44369</v>
      </c>
      <c r="D398" s="174" t="s">
        <v>52</v>
      </c>
      <c r="E398" s="174" t="s">
        <v>25</v>
      </c>
      <c r="F398" s="201" t="s">
        <v>26</v>
      </c>
      <c r="G398" s="175" t="s">
        <v>1176</v>
      </c>
      <c r="H398" s="145" t="s">
        <v>40</v>
      </c>
      <c r="I398" s="239" t="s">
        <v>61</v>
      </c>
      <c r="J398" s="239" t="s">
        <v>41</v>
      </c>
      <c r="K398" s="173"/>
      <c r="L398" s="173"/>
      <c r="M398" s="173"/>
      <c r="N398" s="240" t="s">
        <v>343</v>
      </c>
      <c r="O398" s="174"/>
      <c r="P398" s="173"/>
      <c r="Q398" s="173"/>
      <c r="R398" s="125" t="str">
        <f t="shared" si="15"/>
        <v/>
      </c>
      <c r="S398" s="144"/>
      <c r="T398" s="174"/>
    </row>
    <row r="399" ht="39.0" hidden="1" customHeight="1">
      <c r="A399" s="172" t="s">
        <v>1177</v>
      </c>
      <c r="B399" s="278">
        <v>44504.0</v>
      </c>
      <c r="C399" s="110">
        <f t="shared" si="14"/>
        <v>44504</v>
      </c>
      <c r="D399" s="174" t="s">
        <v>165</v>
      </c>
      <c r="E399" s="174" t="s">
        <v>33</v>
      </c>
      <c r="F399" s="201" t="s">
        <v>26</v>
      </c>
      <c r="G399" s="175" t="s">
        <v>1178</v>
      </c>
      <c r="H399" s="145" t="s">
        <v>35</v>
      </c>
      <c r="I399" s="190" t="s">
        <v>61</v>
      </c>
      <c r="J399" s="190" t="s">
        <v>1082</v>
      </c>
      <c r="K399" s="278">
        <v>44939.0</v>
      </c>
      <c r="L399" s="278"/>
      <c r="M399" s="278"/>
      <c r="N399" s="190" t="s">
        <v>343</v>
      </c>
      <c r="O399" s="174"/>
      <c r="P399" s="278"/>
      <c r="Q399" s="278"/>
      <c r="R399" s="125" t="str">
        <f t="shared" si="15"/>
        <v/>
      </c>
      <c r="S399" s="144"/>
      <c r="T399" s="174"/>
    </row>
    <row r="400" ht="39.0" hidden="1" customHeight="1">
      <c r="A400" s="172" t="s">
        <v>1164</v>
      </c>
      <c r="B400" s="278">
        <v>44505.0</v>
      </c>
      <c r="C400" s="110">
        <f t="shared" si="14"/>
        <v>44505</v>
      </c>
      <c r="D400" s="174" t="s">
        <v>1179</v>
      </c>
      <c r="E400" s="174" t="s">
        <v>920</v>
      </c>
      <c r="F400" s="201" t="s">
        <v>26</v>
      </c>
      <c r="G400" s="175" t="s">
        <v>1165</v>
      </c>
      <c r="H400" s="145" t="s">
        <v>28</v>
      </c>
      <c r="I400" s="240" t="s">
        <v>61</v>
      </c>
      <c r="J400" s="240" t="s">
        <v>41</v>
      </c>
      <c r="K400" s="278"/>
      <c r="L400" s="278"/>
      <c r="M400" s="278"/>
      <c r="N400" s="240" t="s">
        <v>343</v>
      </c>
      <c r="O400" s="174"/>
      <c r="P400" s="278"/>
      <c r="Q400" s="278"/>
      <c r="R400" s="125" t="str">
        <f t="shared" si="15"/>
        <v/>
      </c>
      <c r="S400" s="144"/>
      <c r="T400" s="174"/>
    </row>
    <row r="401" ht="43.5" customHeight="1">
      <c r="A401" s="172" t="s">
        <v>1180</v>
      </c>
      <c r="B401" s="278">
        <v>44504.0</v>
      </c>
      <c r="C401" s="110">
        <f t="shared" si="14"/>
        <v>44504</v>
      </c>
      <c r="D401" s="174" t="s">
        <v>1181</v>
      </c>
      <c r="E401" s="174" t="s">
        <v>25</v>
      </c>
      <c r="F401" s="201" t="s">
        <v>26</v>
      </c>
      <c r="G401" s="175" t="s">
        <v>1182</v>
      </c>
      <c r="H401" s="145" t="s">
        <v>60</v>
      </c>
      <c r="I401" s="240" t="s">
        <v>36</v>
      </c>
      <c r="J401" s="240" t="s">
        <v>110</v>
      </c>
      <c r="K401" s="278">
        <v>44509.0</v>
      </c>
      <c r="L401" s="278"/>
      <c r="M401" s="278"/>
      <c r="N401" s="240" t="s">
        <v>118</v>
      </c>
      <c r="O401" s="174"/>
      <c r="P401" s="278"/>
      <c r="Q401" s="278">
        <v>45579.0</v>
      </c>
      <c r="R401" s="125">
        <f t="shared" si="15"/>
        <v>45579</v>
      </c>
      <c r="S401" s="171" t="s">
        <v>124</v>
      </c>
      <c r="T401" s="174" t="s">
        <v>1183</v>
      </c>
    </row>
    <row r="402" ht="39.0" hidden="1" customHeight="1">
      <c r="A402" s="172" t="s">
        <v>1184</v>
      </c>
      <c r="B402" s="278">
        <v>44453.0</v>
      </c>
      <c r="C402" s="110">
        <f t="shared" si="14"/>
        <v>44453</v>
      </c>
      <c r="D402" s="174" t="s">
        <v>279</v>
      </c>
      <c r="E402" s="174" t="s">
        <v>25</v>
      </c>
      <c r="F402" s="201" t="s">
        <v>26</v>
      </c>
      <c r="G402" s="175" t="s">
        <v>1185</v>
      </c>
      <c r="H402" s="145" t="s">
        <v>49</v>
      </c>
      <c r="I402" s="240" t="s">
        <v>29</v>
      </c>
      <c r="J402" s="240" t="s">
        <v>41</v>
      </c>
      <c r="K402" s="278">
        <v>44453.0</v>
      </c>
      <c r="L402" s="278"/>
      <c r="M402" s="278"/>
      <c r="N402" s="240" t="s">
        <v>42</v>
      </c>
      <c r="O402" s="174"/>
      <c r="P402" s="278"/>
      <c r="Q402" s="278">
        <v>45051.0</v>
      </c>
      <c r="R402" s="125">
        <f t="shared" si="15"/>
        <v>45051</v>
      </c>
      <c r="S402" s="171" t="s">
        <v>119</v>
      </c>
      <c r="T402" s="174" t="s">
        <v>1186</v>
      </c>
    </row>
    <row r="403" ht="39.0" hidden="1" customHeight="1">
      <c r="A403" s="172" t="s">
        <v>1187</v>
      </c>
      <c r="B403" s="278">
        <v>44453.0</v>
      </c>
      <c r="C403" s="110">
        <f t="shared" si="14"/>
        <v>44453</v>
      </c>
      <c r="D403" s="174" t="s">
        <v>682</v>
      </c>
      <c r="E403" s="174" t="s">
        <v>25</v>
      </c>
      <c r="F403" s="201" t="s">
        <v>26</v>
      </c>
      <c r="G403" s="175" t="s">
        <v>1188</v>
      </c>
      <c r="H403" s="145" t="s">
        <v>28</v>
      </c>
      <c r="I403" s="240" t="s">
        <v>36</v>
      </c>
      <c r="J403" s="240" t="s">
        <v>152</v>
      </c>
      <c r="K403" s="278"/>
      <c r="L403" s="278"/>
      <c r="M403" s="278"/>
      <c r="N403" s="240" t="s">
        <v>42</v>
      </c>
      <c r="O403" s="174">
        <v>115.0</v>
      </c>
      <c r="P403" s="278"/>
      <c r="Q403" s="278">
        <v>44469.0</v>
      </c>
      <c r="R403" s="125">
        <f t="shared" si="15"/>
        <v>44469</v>
      </c>
      <c r="S403" s="171" t="s">
        <v>96</v>
      </c>
      <c r="T403" s="174"/>
    </row>
    <row r="404" ht="39.0" hidden="1" customHeight="1">
      <c r="A404" s="172" t="s">
        <v>1189</v>
      </c>
      <c r="B404" s="278">
        <v>44214.0</v>
      </c>
      <c r="C404" s="110">
        <f t="shared" si="14"/>
        <v>44214</v>
      </c>
      <c r="D404" s="174" t="s">
        <v>52</v>
      </c>
      <c r="E404" s="174"/>
      <c r="F404" s="201" t="s">
        <v>26</v>
      </c>
      <c r="G404" s="175" t="s">
        <v>1190</v>
      </c>
      <c r="H404" s="145" t="s">
        <v>54</v>
      </c>
      <c r="I404" s="240" t="s">
        <v>36</v>
      </c>
      <c r="J404" s="240" t="s">
        <v>41</v>
      </c>
      <c r="K404" s="278"/>
      <c r="L404" s="278"/>
      <c r="M404" s="278"/>
      <c r="N404" s="240" t="s">
        <v>118</v>
      </c>
      <c r="O404" s="174"/>
      <c r="P404" s="278"/>
      <c r="Q404" s="278">
        <v>45644.0</v>
      </c>
      <c r="R404" s="125">
        <f t="shared" si="15"/>
        <v>45644</v>
      </c>
      <c r="S404" s="171" t="s">
        <v>124</v>
      </c>
      <c r="T404" s="174" t="s">
        <v>997</v>
      </c>
    </row>
    <row r="405" ht="39.0" hidden="1" customHeight="1">
      <c r="A405" s="172" t="s">
        <v>1191</v>
      </c>
      <c r="B405" s="278">
        <v>43958.0</v>
      </c>
      <c r="C405" s="110">
        <f t="shared" si="14"/>
        <v>43958</v>
      </c>
      <c r="D405" s="174" t="s">
        <v>24</v>
      </c>
      <c r="E405" s="174" t="s">
        <v>25</v>
      </c>
      <c r="F405" s="201" t="s">
        <v>26</v>
      </c>
      <c r="G405" s="175" t="s">
        <v>1192</v>
      </c>
      <c r="H405" s="145" t="s">
        <v>28</v>
      </c>
      <c r="I405" s="240" t="s">
        <v>36</v>
      </c>
      <c r="J405" s="240" t="s">
        <v>41</v>
      </c>
      <c r="K405" s="278"/>
      <c r="L405" s="278"/>
      <c r="M405" s="278"/>
      <c r="N405" s="240" t="s">
        <v>118</v>
      </c>
      <c r="O405" s="174"/>
      <c r="P405" s="278"/>
      <c r="Q405" s="278">
        <v>45644.0</v>
      </c>
      <c r="R405" s="125">
        <f t="shared" si="15"/>
        <v>45644</v>
      </c>
      <c r="S405" s="171" t="s">
        <v>124</v>
      </c>
      <c r="T405" s="185" t="s">
        <v>1193</v>
      </c>
    </row>
    <row r="406" ht="39.0" hidden="1" customHeight="1">
      <c r="A406" s="172" t="s">
        <v>1194</v>
      </c>
      <c r="B406" s="278">
        <v>43740.0</v>
      </c>
      <c r="C406" s="110">
        <f t="shared" si="14"/>
        <v>43740</v>
      </c>
      <c r="D406" s="174" t="s">
        <v>81</v>
      </c>
      <c r="E406" s="174" t="s">
        <v>25</v>
      </c>
      <c r="F406" s="201" t="s">
        <v>26</v>
      </c>
      <c r="G406" s="175" t="s">
        <v>1195</v>
      </c>
      <c r="H406" s="145" t="s">
        <v>28</v>
      </c>
      <c r="I406" s="240" t="s">
        <v>36</v>
      </c>
      <c r="J406" s="240"/>
      <c r="K406" s="278"/>
      <c r="L406" s="278"/>
      <c r="M406" s="278"/>
      <c r="N406" s="240" t="s">
        <v>118</v>
      </c>
      <c r="O406" s="174"/>
      <c r="P406" s="278"/>
      <c r="Q406" s="278">
        <v>45636.0</v>
      </c>
      <c r="R406" s="125">
        <f t="shared" si="15"/>
        <v>45636</v>
      </c>
      <c r="S406" s="171" t="s">
        <v>124</v>
      </c>
      <c r="T406" s="174" t="s">
        <v>997</v>
      </c>
    </row>
    <row r="407" ht="39.0" hidden="1" customHeight="1">
      <c r="A407" s="172" t="s">
        <v>1196</v>
      </c>
      <c r="B407" s="173">
        <v>43734.0</v>
      </c>
      <c r="C407" s="110">
        <f t="shared" si="14"/>
        <v>43734</v>
      </c>
      <c r="D407" s="174" t="s">
        <v>147</v>
      </c>
      <c r="E407" s="174" t="s">
        <v>25</v>
      </c>
      <c r="F407" s="201" t="s">
        <v>26</v>
      </c>
      <c r="G407" s="175" t="s">
        <v>1197</v>
      </c>
      <c r="H407" s="145" t="s">
        <v>28</v>
      </c>
      <c r="I407" s="239" t="s">
        <v>61</v>
      </c>
      <c r="J407" s="239"/>
      <c r="K407" s="173"/>
      <c r="L407" s="173"/>
      <c r="M407" s="173"/>
      <c r="N407" s="240" t="s">
        <v>118</v>
      </c>
      <c r="O407" s="174"/>
      <c r="P407" s="173"/>
      <c r="Q407" s="173">
        <v>45636.0</v>
      </c>
      <c r="R407" s="125">
        <f t="shared" si="15"/>
        <v>45636</v>
      </c>
      <c r="S407" s="171" t="s">
        <v>124</v>
      </c>
      <c r="T407" s="174" t="s">
        <v>997</v>
      </c>
    </row>
    <row r="408" ht="39.0" hidden="1" customHeight="1">
      <c r="A408" s="172" t="s">
        <v>1198</v>
      </c>
      <c r="B408" s="173">
        <v>43761.0</v>
      </c>
      <c r="C408" s="110">
        <f t="shared" si="14"/>
        <v>43761</v>
      </c>
      <c r="D408" s="174" t="s">
        <v>116</v>
      </c>
      <c r="E408" s="174" t="s">
        <v>25</v>
      </c>
      <c r="F408" s="201" t="s">
        <v>26</v>
      </c>
      <c r="G408" s="297" t="s">
        <v>1199</v>
      </c>
      <c r="H408" s="145" t="s">
        <v>35</v>
      </c>
      <c r="I408" s="239" t="s">
        <v>61</v>
      </c>
      <c r="J408" s="239"/>
      <c r="K408" s="173"/>
      <c r="L408" s="173"/>
      <c r="M408" s="173"/>
      <c r="N408" s="240" t="s">
        <v>118</v>
      </c>
      <c r="O408" s="174"/>
      <c r="P408" s="173"/>
      <c r="Q408" s="173">
        <v>45636.0</v>
      </c>
      <c r="R408" s="125">
        <f t="shared" si="15"/>
        <v>45636</v>
      </c>
      <c r="S408" s="171" t="s">
        <v>124</v>
      </c>
      <c r="T408" s="174" t="s">
        <v>997</v>
      </c>
    </row>
    <row r="409" ht="39.0" hidden="1" customHeight="1">
      <c r="A409" s="172" t="s">
        <v>1200</v>
      </c>
      <c r="B409" s="278">
        <v>43700.0</v>
      </c>
      <c r="C409" s="110">
        <f t="shared" si="14"/>
        <v>43700</v>
      </c>
      <c r="D409" s="174" t="s">
        <v>1143</v>
      </c>
      <c r="E409" s="174" t="s">
        <v>33</v>
      </c>
      <c r="F409" s="201" t="s">
        <v>26</v>
      </c>
      <c r="G409" s="175" t="s">
        <v>1201</v>
      </c>
      <c r="H409" s="145" t="s">
        <v>87</v>
      </c>
      <c r="I409" s="239" t="s">
        <v>61</v>
      </c>
      <c r="J409" s="239"/>
      <c r="K409" s="173"/>
      <c r="L409" s="173"/>
      <c r="M409" s="173"/>
      <c r="N409" s="240" t="s">
        <v>30</v>
      </c>
      <c r="O409" s="174"/>
      <c r="P409" s="173"/>
      <c r="Q409" s="173"/>
      <c r="R409" s="125" t="str">
        <f t="shared" si="15"/>
        <v/>
      </c>
      <c r="S409" s="144"/>
      <c r="T409" s="174"/>
    </row>
    <row r="410" ht="39.0" hidden="1" customHeight="1">
      <c r="A410" s="172" t="s">
        <v>1202</v>
      </c>
      <c r="B410" s="278">
        <v>43585.0</v>
      </c>
      <c r="C410" s="110">
        <f t="shared" si="14"/>
        <v>43585</v>
      </c>
      <c r="D410" s="174" t="s">
        <v>1203</v>
      </c>
      <c r="E410" s="174" t="s">
        <v>25</v>
      </c>
      <c r="F410" s="201" t="s">
        <v>26</v>
      </c>
      <c r="G410" s="175" t="s">
        <v>1204</v>
      </c>
      <c r="H410" s="145" t="s">
        <v>49</v>
      </c>
      <c r="I410" s="239" t="s">
        <v>61</v>
      </c>
      <c r="J410" s="239" t="s">
        <v>41</v>
      </c>
      <c r="K410" s="173"/>
      <c r="L410" s="173"/>
      <c r="M410" s="173"/>
      <c r="N410" s="240" t="s">
        <v>118</v>
      </c>
      <c r="O410" s="174"/>
      <c r="P410" s="173"/>
      <c r="Q410" s="173">
        <v>45127.0</v>
      </c>
      <c r="R410" s="125">
        <f t="shared" si="15"/>
        <v>45127</v>
      </c>
      <c r="S410" s="171" t="s">
        <v>124</v>
      </c>
      <c r="T410" s="174"/>
    </row>
    <row r="411" ht="39.0" customHeight="1"/>
    <row r="412" ht="15.75" customHeight="1">
      <c r="G412" s="298"/>
      <c r="H412" s="298"/>
      <c r="I412" s="299"/>
      <c r="J412" s="299"/>
      <c r="K412" s="299"/>
      <c r="L412" s="299"/>
      <c r="M412" s="299"/>
      <c r="N412" s="299"/>
      <c r="O412" s="299"/>
      <c r="P412" s="299"/>
      <c r="Q412" s="299"/>
      <c r="R412" s="299"/>
      <c r="S412" s="299"/>
      <c r="T412" s="299"/>
    </row>
    <row r="413" ht="15.75" customHeight="1">
      <c r="G413" s="298"/>
      <c r="H413" s="298"/>
      <c r="I413" s="299"/>
      <c r="J413" s="299"/>
      <c r="K413" s="299"/>
      <c r="L413" s="299"/>
      <c r="M413" s="299"/>
      <c r="N413" s="299"/>
      <c r="O413" s="299"/>
      <c r="P413" s="299"/>
      <c r="Q413" s="299"/>
      <c r="R413" s="299"/>
      <c r="S413" s="299"/>
      <c r="T413" s="299"/>
    </row>
    <row r="414" ht="15.75" customHeight="1">
      <c r="G414" s="298"/>
      <c r="H414" s="298"/>
      <c r="I414" s="299"/>
      <c r="J414" s="299"/>
      <c r="K414" s="299"/>
      <c r="L414" s="299"/>
      <c r="M414" s="299"/>
      <c r="N414" s="299"/>
      <c r="O414" s="299"/>
      <c r="P414" s="299"/>
      <c r="Q414" s="299"/>
      <c r="R414" s="299"/>
      <c r="S414" s="299"/>
      <c r="T414" s="299"/>
    </row>
    <row r="415" ht="15.75" customHeight="1">
      <c r="G415" s="298"/>
      <c r="H415" s="298"/>
      <c r="I415" s="299"/>
      <c r="J415" s="299"/>
      <c r="K415" s="299"/>
      <c r="L415" s="299"/>
      <c r="M415" s="299"/>
      <c r="N415" s="299"/>
      <c r="O415" s="299"/>
      <c r="P415" s="299"/>
      <c r="Q415" s="299"/>
      <c r="R415" s="299"/>
      <c r="S415" s="299"/>
      <c r="T415" s="299"/>
    </row>
    <row r="416" ht="15.75" customHeight="1">
      <c r="G416" s="298"/>
      <c r="H416" s="298"/>
      <c r="I416" s="299"/>
      <c r="J416" s="299"/>
      <c r="K416" s="299"/>
      <c r="L416" s="299"/>
      <c r="M416" s="299"/>
      <c r="N416" s="299"/>
      <c r="O416" s="299"/>
      <c r="P416" s="299"/>
      <c r="Q416" s="299"/>
      <c r="R416" s="299"/>
      <c r="S416" s="299"/>
      <c r="T416" s="299"/>
    </row>
    <row r="417" ht="15.75" customHeight="1">
      <c r="G417" s="298"/>
      <c r="H417" s="298"/>
      <c r="I417" s="299"/>
      <c r="J417" s="299"/>
      <c r="K417" s="299"/>
      <c r="L417" s="299"/>
      <c r="M417" s="299"/>
      <c r="N417" s="299"/>
      <c r="O417" s="299"/>
      <c r="P417" s="299"/>
      <c r="Q417" s="299"/>
      <c r="R417" s="299"/>
      <c r="S417" s="299"/>
      <c r="T417" s="299"/>
    </row>
    <row r="418" ht="15.75" customHeight="1">
      <c r="G418" s="298"/>
      <c r="H418" s="298"/>
      <c r="I418" s="299"/>
      <c r="J418" s="299"/>
      <c r="K418" s="299"/>
      <c r="L418" s="299"/>
      <c r="M418" s="299"/>
      <c r="N418" s="299"/>
      <c r="O418" s="299"/>
      <c r="P418" s="299"/>
      <c r="Q418" s="299"/>
      <c r="R418" s="299"/>
      <c r="S418" s="299"/>
      <c r="T418" s="299"/>
    </row>
    <row r="419" ht="15.75" customHeight="1">
      <c r="G419" s="298"/>
      <c r="H419" s="298"/>
      <c r="I419" s="299"/>
      <c r="J419" s="299"/>
      <c r="K419" s="299"/>
      <c r="L419" s="299"/>
      <c r="M419" s="299"/>
      <c r="N419" s="299"/>
      <c r="O419" s="299"/>
      <c r="P419" s="299"/>
      <c r="Q419" s="299"/>
      <c r="R419" s="299"/>
      <c r="S419" s="299"/>
      <c r="T419" s="299"/>
    </row>
    <row r="420" ht="15.75" customHeight="1">
      <c r="G420" s="298"/>
      <c r="H420" s="298"/>
      <c r="I420" s="299"/>
      <c r="J420" s="299"/>
      <c r="K420" s="299"/>
      <c r="L420" s="299"/>
      <c r="M420" s="299"/>
      <c r="N420" s="299"/>
      <c r="O420" s="299"/>
      <c r="P420" s="299"/>
      <c r="Q420" s="299"/>
      <c r="R420" s="299"/>
      <c r="S420" s="299"/>
      <c r="T420" s="299"/>
    </row>
    <row r="421" ht="15.75" customHeight="1">
      <c r="G421" s="298"/>
      <c r="H421" s="298"/>
      <c r="I421" s="299"/>
      <c r="J421" s="299"/>
      <c r="K421" s="299"/>
      <c r="L421" s="299"/>
      <c r="M421" s="299"/>
      <c r="N421" s="299"/>
      <c r="O421" s="299"/>
      <c r="P421" s="299"/>
      <c r="Q421" s="299"/>
      <c r="R421" s="299"/>
      <c r="S421" s="299"/>
      <c r="T421" s="299"/>
    </row>
    <row r="422" ht="15.75" customHeight="1">
      <c r="G422" s="298"/>
      <c r="H422" s="298"/>
      <c r="I422" s="299"/>
      <c r="J422" s="299"/>
      <c r="K422" s="299"/>
      <c r="L422" s="299"/>
      <c r="M422" s="299"/>
      <c r="N422" s="299"/>
      <c r="O422" s="299"/>
      <c r="P422" s="299"/>
      <c r="Q422" s="299"/>
      <c r="R422" s="299"/>
      <c r="S422" s="299"/>
      <c r="T422" s="299"/>
    </row>
    <row r="423" ht="15.75" customHeight="1">
      <c r="G423" s="298"/>
      <c r="H423" s="298"/>
      <c r="I423" s="299"/>
      <c r="J423" s="299"/>
      <c r="K423" s="299"/>
      <c r="L423" s="299"/>
      <c r="M423" s="299"/>
      <c r="N423" s="299"/>
      <c r="O423" s="299"/>
      <c r="P423" s="299"/>
      <c r="Q423" s="299"/>
      <c r="R423" s="299"/>
      <c r="S423" s="299"/>
      <c r="T423" s="299"/>
    </row>
    <row r="424" ht="15.75" customHeight="1">
      <c r="G424" s="298"/>
      <c r="H424" s="298"/>
      <c r="I424" s="299"/>
      <c r="J424" s="299"/>
      <c r="K424" s="299"/>
      <c r="L424" s="299"/>
      <c r="M424" s="299"/>
      <c r="N424" s="299"/>
      <c r="O424" s="299"/>
      <c r="P424" s="299"/>
      <c r="Q424" s="299"/>
      <c r="R424" s="299"/>
      <c r="S424" s="299"/>
      <c r="T424" s="299"/>
    </row>
    <row r="425" ht="15.75" customHeight="1">
      <c r="G425" s="298"/>
      <c r="H425" s="298"/>
      <c r="I425" s="299"/>
      <c r="J425" s="299"/>
      <c r="K425" s="299"/>
      <c r="L425" s="299"/>
      <c r="M425" s="299"/>
      <c r="N425" s="299"/>
      <c r="O425" s="299"/>
      <c r="P425" s="299"/>
      <c r="Q425" s="299"/>
      <c r="R425" s="299"/>
      <c r="S425" s="299"/>
      <c r="T425" s="299"/>
    </row>
    <row r="426" ht="15.75" customHeight="1">
      <c r="G426" s="298"/>
      <c r="H426" s="298"/>
      <c r="I426" s="299"/>
      <c r="J426" s="299"/>
      <c r="K426" s="299"/>
      <c r="L426" s="299"/>
      <c r="M426" s="299"/>
      <c r="N426" s="299"/>
      <c r="O426" s="299"/>
      <c r="P426" s="299"/>
      <c r="Q426" s="299"/>
      <c r="R426" s="299"/>
      <c r="S426" s="299"/>
      <c r="T426" s="299"/>
    </row>
    <row r="427" ht="15.75" customHeight="1">
      <c r="G427" s="298"/>
      <c r="H427" s="298"/>
      <c r="I427" s="299"/>
      <c r="J427" s="299"/>
      <c r="K427" s="299"/>
      <c r="L427" s="299"/>
      <c r="M427" s="299"/>
      <c r="N427" s="299"/>
      <c r="O427" s="299"/>
      <c r="P427" s="299"/>
      <c r="Q427" s="299"/>
      <c r="R427" s="299"/>
      <c r="S427" s="299"/>
      <c r="T427" s="299"/>
    </row>
    <row r="428" ht="15.75" customHeight="1">
      <c r="G428" s="298"/>
      <c r="H428" s="298"/>
      <c r="I428" s="299"/>
      <c r="J428" s="299"/>
      <c r="K428" s="299"/>
      <c r="L428" s="299"/>
      <c r="M428" s="299"/>
      <c r="N428" s="299"/>
      <c r="O428" s="299"/>
      <c r="P428" s="299"/>
      <c r="Q428" s="299"/>
      <c r="R428" s="299"/>
      <c r="S428" s="299"/>
      <c r="T428" s="299"/>
    </row>
    <row r="429" ht="15.75" customHeight="1">
      <c r="G429" s="298"/>
      <c r="H429" s="298"/>
      <c r="I429" s="299"/>
      <c r="J429" s="299"/>
      <c r="K429" s="299"/>
      <c r="L429" s="299"/>
      <c r="M429" s="299"/>
      <c r="N429" s="299"/>
      <c r="O429" s="299"/>
      <c r="P429" s="299"/>
      <c r="Q429" s="299"/>
      <c r="R429" s="299"/>
      <c r="S429" s="299"/>
      <c r="T429" s="299"/>
    </row>
    <row r="430" ht="15.75" customHeight="1">
      <c r="G430" s="298"/>
      <c r="H430" s="298"/>
      <c r="I430" s="299"/>
      <c r="J430" s="299"/>
      <c r="K430" s="299"/>
      <c r="L430" s="299"/>
      <c r="M430" s="299"/>
      <c r="N430" s="299"/>
      <c r="O430" s="299"/>
      <c r="P430" s="299"/>
      <c r="Q430" s="299"/>
      <c r="R430" s="299"/>
      <c r="S430" s="299"/>
      <c r="T430" s="299"/>
    </row>
    <row r="431" ht="15.75" customHeight="1">
      <c r="G431" s="298"/>
      <c r="H431" s="298"/>
      <c r="I431" s="299"/>
      <c r="J431" s="299"/>
      <c r="K431" s="299"/>
      <c r="L431" s="299"/>
      <c r="M431" s="299"/>
      <c r="N431" s="299"/>
      <c r="O431" s="299"/>
      <c r="P431" s="299"/>
      <c r="Q431" s="299"/>
      <c r="R431" s="299"/>
      <c r="S431" s="299"/>
      <c r="T431" s="299"/>
    </row>
    <row r="432" ht="15.75" customHeight="1">
      <c r="G432" s="298"/>
      <c r="H432" s="298"/>
      <c r="I432" s="299"/>
      <c r="J432" s="299"/>
      <c r="K432" s="299"/>
      <c r="L432" s="299"/>
      <c r="M432" s="299"/>
      <c r="N432" s="299"/>
      <c r="O432" s="299"/>
      <c r="P432" s="299"/>
      <c r="Q432" s="299"/>
      <c r="R432" s="299"/>
      <c r="S432" s="299"/>
      <c r="T432" s="299"/>
    </row>
    <row r="433" ht="15.75" customHeight="1">
      <c r="G433" s="298"/>
      <c r="H433" s="298"/>
      <c r="I433" s="299"/>
      <c r="J433" s="299"/>
      <c r="K433" s="299"/>
      <c r="L433" s="299"/>
      <c r="M433" s="299"/>
      <c r="N433" s="299"/>
      <c r="O433" s="299"/>
      <c r="P433" s="299"/>
      <c r="Q433" s="299"/>
      <c r="R433" s="299"/>
      <c r="S433" s="299"/>
      <c r="T433" s="299"/>
    </row>
    <row r="434" ht="15.75" customHeight="1">
      <c r="G434" s="298"/>
      <c r="H434" s="298"/>
      <c r="I434" s="299"/>
      <c r="J434" s="299"/>
      <c r="K434" s="299"/>
      <c r="L434" s="299"/>
      <c r="M434" s="299"/>
      <c r="N434" s="299"/>
      <c r="O434" s="299"/>
      <c r="P434" s="299"/>
      <c r="Q434" s="299"/>
      <c r="R434" s="299"/>
      <c r="S434" s="299"/>
      <c r="T434" s="299"/>
    </row>
    <row r="435" ht="15.75" customHeight="1">
      <c r="G435" s="298"/>
      <c r="H435" s="298"/>
      <c r="I435" s="299"/>
      <c r="J435" s="299"/>
      <c r="K435" s="299"/>
      <c r="L435" s="299"/>
      <c r="M435" s="299"/>
      <c r="N435" s="299"/>
      <c r="O435" s="299"/>
      <c r="P435" s="299"/>
      <c r="Q435" s="299"/>
      <c r="R435" s="299"/>
      <c r="S435" s="299"/>
      <c r="T435" s="299"/>
    </row>
    <row r="436" ht="15.75" customHeight="1">
      <c r="G436" s="298"/>
      <c r="H436" s="298"/>
      <c r="I436" s="299"/>
      <c r="J436" s="299"/>
      <c r="K436" s="299"/>
      <c r="L436" s="299"/>
      <c r="M436" s="299"/>
      <c r="N436" s="299"/>
      <c r="O436" s="299"/>
      <c r="P436" s="299"/>
      <c r="Q436" s="299"/>
      <c r="R436" s="299"/>
      <c r="S436" s="299"/>
      <c r="T436" s="299"/>
    </row>
    <row r="437" ht="15.75" customHeight="1">
      <c r="G437" s="298"/>
      <c r="H437" s="298"/>
      <c r="I437" s="299"/>
      <c r="J437" s="299"/>
      <c r="K437" s="299"/>
      <c r="L437" s="299"/>
      <c r="M437" s="299"/>
      <c r="N437" s="299"/>
      <c r="O437" s="299"/>
      <c r="P437" s="299"/>
      <c r="Q437" s="299"/>
      <c r="R437" s="299"/>
      <c r="S437" s="299"/>
      <c r="T437" s="299"/>
    </row>
    <row r="438" ht="15.75" customHeight="1">
      <c r="G438" s="298"/>
      <c r="H438" s="298"/>
      <c r="I438" s="299"/>
      <c r="J438" s="299"/>
      <c r="K438" s="299"/>
      <c r="L438" s="299"/>
      <c r="M438" s="299"/>
      <c r="N438" s="299"/>
      <c r="O438" s="299"/>
      <c r="P438" s="299"/>
      <c r="Q438" s="299"/>
      <c r="R438" s="299"/>
      <c r="S438" s="299"/>
      <c r="T438" s="299"/>
    </row>
    <row r="439" ht="15.75" customHeight="1">
      <c r="G439" s="298"/>
      <c r="H439" s="298"/>
      <c r="I439" s="299"/>
      <c r="J439" s="299"/>
      <c r="K439" s="299"/>
      <c r="L439" s="299"/>
      <c r="M439" s="299"/>
      <c r="N439" s="299"/>
      <c r="O439" s="299"/>
      <c r="P439" s="299"/>
      <c r="Q439" s="299"/>
      <c r="R439" s="299"/>
      <c r="S439" s="299"/>
      <c r="T439" s="299"/>
    </row>
    <row r="440" ht="15.75" customHeight="1">
      <c r="G440" s="298"/>
      <c r="H440" s="298"/>
      <c r="I440" s="299"/>
      <c r="J440" s="299"/>
      <c r="K440" s="299"/>
      <c r="L440" s="299"/>
      <c r="M440" s="299"/>
      <c r="N440" s="299"/>
      <c r="O440" s="299"/>
      <c r="P440" s="299"/>
      <c r="Q440" s="299"/>
      <c r="R440" s="299"/>
      <c r="S440" s="299"/>
      <c r="T440" s="299"/>
    </row>
    <row r="441" ht="15.75" customHeight="1">
      <c r="G441" s="298"/>
      <c r="H441" s="298"/>
      <c r="I441" s="299"/>
      <c r="J441" s="299"/>
      <c r="K441" s="299"/>
      <c r="L441" s="299"/>
      <c r="M441" s="299"/>
      <c r="N441" s="299"/>
      <c r="O441" s="299"/>
      <c r="P441" s="299"/>
      <c r="Q441" s="299"/>
      <c r="R441" s="299"/>
      <c r="S441" s="299"/>
      <c r="T441" s="299"/>
    </row>
    <row r="442" ht="15.75" customHeight="1">
      <c r="G442" s="298"/>
      <c r="H442" s="298"/>
      <c r="I442" s="299"/>
      <c r="J442" s="299"/>
      <c r="K442" s="299"/>
      <c r="L442" s="299"/>
      <c r="M442" s="299"/>
      <c r="N442" s="299"/>
      <c r="O442" s="299"/>
      <c r="P442" s="299"/>
      <c r="Q442" s="299"/>
      <c r="R442" s="299"/>
      <c r="S442" s="299"/>
      <c r="T442" s="299"/>
    </row>
    <row r="443" ht="15.75" customHeight="1">
      <c r="G443" s="298"/>
      <c r="H443" s="298"/>
      <c r="I443" s="299"/>
      <c r="J443" s="299"/>
      <c r="K443" s="299"/>
      <c r="L443" s="299"/>
      <c r="M443" s="299"/>
      <c r="N443" s="299"/>
      <c r="O443" s="299"/>
      <c r="P443" s="299"/>
      <c r="Q443" s="299"/>
      <c r="R443" s="299"/>
      <c r="S443" s="299"/>
      <c r="T443" s="299"/>
    </row>
    <row r="444" ht="15.75" customHeight="1">
      <c r="G444" s="298"/>
      <c r="H444" s="298"/>
      <c r="I444" s="299"/>
      <c r="J444" s="299"/>
      <c r="K444" s="299"/>
      <c r="L444" s="299"/>
      <c r="M444" s="299"/>
      <c r="N444" s="299"/>
      <c r="O444" s="299"/>
      <c r="P444" s="299"/>
      <c r="Q444" s="299"/>
      <c r="R444" s="299"/>
      <c r="S444" s="299"/>
      <c r="T444" s="299"/>
    </row>
    <row r="445" ht="15.75" customHeight="1">
      <c r="G445" s="298"/>
      <c r="H445" s="298"/>
      <c r="I445" s="299"/>
      <c r="J445" s="299"/>
      <c r="K445" s="299"/>
      <c r="L445" s="299"/>
      <c r="M445" s="299"/>
      <c r="N445" s="299"/>
      <c r="O445" s="299"/>
      <c r="P445" s="299"/>
      <c r="Q445" s="299"/>
      <c r="R445" s="299"/>
      <c r="S445" s="299"/>
      <c r="T445" s="299"/>
    </row>
    <row r="446" ht="15.75" customHeight="1">
      <c r="G446" s="298"/>
      <c r="H446" s="298"/>
      <c r="I446" s="299"/>
      <c r="J446" s="299"/>
      <c r="K446" s="299"/>
      <c r="L446" s="299"/>
      <c r="M446" s="299"/>
      <c r="N446" s="299"/>
      <c r="O446" s="299"/>
      <c r="P446" s="299"/>
      <c r="Q446" s="299"/>
      <c r="R446" s="299"/>
      <c r="S446" s="299"/>
      <c r="T446" s="299"/>
    </row>
    <row r="447" ht="15.75" customHeight="1">
      <c r="G447" s="298"/>
      <c r="H447" s="298"/>
      <c r="I447" s="299"/>
      <c r="J447" s="299"/>
      <c r="K447" s="299"/>
      <c r="L447" s="299"/>
      <c r="M447" s="299"/>
      <c r="N447" s="299"/>
      <c r="O447" s="299"/>
      <c r="P447" s="299"/>
      <c r="Q447" s="299"/>
      <c r="R447" s="299"/>
      <c r="S447" s="299"/>
      <c r="T447" s="299"/>
    </row>
    <row r="448" ht="15.75" customHeight="1">
      <c r="G448" s="298"/>
      <c r="H448" s="298"/>
      <c r="I448" s="299"/>
      <c r="J448" s="299"/>
      <c r="K448" s="299"/>
      <c r="L448" s="299"/>
      <c r="M448" s="299"/>
      <c r="N448" s="299"/>
      <c r="O448" s="299"/>
      <c r="P448" s="299"/>
      <c r="Q448" s="299"/>
      <c r="R448" s="299"/>
      <c r="S448" s="299"/>
      <c r="T448" s="299"/>
    </row>
    <row r="449" ht="15.75" customHeight="1">
      <c r="G449" s="298"/>
      <c r="H449" s="298"/>
      <c r="I449" s="299"/>
      <c r="J449" s="299"/>
      <c r="K449" s="299"/>
      <c r="L449" s="299"/>
      <c r="M449" s="299"/>
      <c r="N449" s="299"/>
      <c r="O449" s="299"/>
      <c r="P449" s="299"/>
      <c r="Q449" s="299"/>
      <c r="R449" s="299"/>
      <c r="S449" s="299"/>
      <c r="T449" s="299"/>
    </row>
    <row r="450" ht="15.75" customHeight="1">
      <c r="G450" s="298"/>
      <c r="H450" s="298"/>
      <c r="I450" s="299"/>
      <c r="J450" s="299"/>
      <c r="K450" s="299"/>
      <c r="L450" s="299"/>
      <c r="M450" s="299"/>
      <c r="N450" s="299"/>
      <c r="O450" s="299"/>
      <c r="P450" s="299"/>
      <c r="Q450" s="299"/>
      <c r="R450" s="299"/>
      <c r="S450" s="299"/>
      <c r="T450" s="299"/>
    </row>
    <row r="451" ht="15.75" customHeight="1">
      <c r="G451" s="298"/>
      <c r="H451" s="298"/>
      <c r="I451" s="299"/>
      <c r="J451" s="299"/>
      <c r="K451" s="299"/>
      <c r="L451" s="299"/>
      <c r="M451" s="299"/>
      <c r="N451" s="299"/>
      <c r="O451" s="299"/>
      <c r="P451" s="299"/>
      <c r="Q451" s="299"/>
      <c r="R451" s="299"/>
      <c r="S451" s="299"/>
      <c r="T451" s="299"/>
    </row>
    <row r="452" ht="15.75" customHeight="1">
      <c r="G452" s="298"/>
      <c r="H452" s="298"/>
      <c r="I452" s="299"/>
      <c r="J452" s="299"/>
      <c r="K452" s="299"/>
      <c r="L452" s="299"/>
      <c r="M452" s="299"/>
      <c r="N452" s="299"/>
      <c r="O452" s="299"/>
      <c r="P452" s="299"/>
      <c r="Q452" s="299"/>
      <c r="R452" s="299"/>
      <c r="S452" s="299"/>
      <c r="T452" s="299"/>
    </row>
    <row r="453" ht="15.75" customHeight="1">
      <c r="G453" s="298"/>
      <c r="H453" s="298"/>
      <c r="I453" s="299"/>
      <c r="J453" s="299"/>
      <c r="K453" s="299"/>
      <c r="L453" s="299"/>
      <c r="M453" s="299"/>
      <c r="N453" s="299"/>
      <c r="O453" s="299"/>
      <c r="P453" s="299"/>
      <c r="Q453" s="299"/>
      <c r="R453" s="299"/>
      <c r="S453" s="299"/>
      <c r="T453" s="299"/>
    </row>
    <row r="454" ht="15.75" customHeight="1">
      <c r="G454" s="298"/>
      <c r="H454" s="298"/>
      <c r="I454" s="299"/>
      <c r="J454" s="299"/>
      <c r="K454" s="299"/>
      <c r="L454" s="299"/>
      <c r="M454" s="299"/>
      <c r="N454" s="299"/>
      <c r="O454" s="299"/>
      <c r="P454" s="299"/>
      <c r="Q454" s="299"/>
      <c r="R454" s="299"/>
      <c r="S454" s="299"/>
      <c r="T454" s="299"/>
    </row>
    <row r="455" ht="15.75" customHeight="1">
      <c r="G455" s="298"/>
      <c r="H455" s="298"/>
      <c r="I455" s="299"/>
      <c r="J455" s="299"/>
      <c r="K455" s="299"/>
      <c r="L455" s="299"/>
      <c r="M455" s="299"/>
      <c r="N455" s="299"/>
      <c r="O455" s="299"/>
      <c r="P455" s="299"/>
      <c r="Q455" s="299"/>
      <c r="R455" s="299"/>
      <c r="S455" s="299"/>
      <c r="T455" s="299"/>
    </row>
    <row r="456" ht="15.75" customHeight="1">
      <c r="G456" s="298"/>
      <c r="H456" s="298"/>
      <c r="I456" s="299"/>
      <c r="J456" s="299"/>
      <c r="K456" s="299"/>
      <c r="L456" s="299"/>
      <c r="M456" s="299"/>
      <c r="N456" s="299"/>
      <c r="O456" s="299"/>
      <c r="P456" s="299"/>
      <c r="Q456" s="299"/>
      <c r="R456" s="299"/>
      <c r="S456" s="299"/>
      <c r="T456" s="299"/>
    </row>
    <row r="457" ht="15.75" customHeight="1">
      <c r="G457" s="298"/>
      <c r="H457" s="298"/>
      <c r="I457" s="299"/>
      <c r="J457" s="299"/>
      <c r="K457" s="299"/>
      <c r="L457" s="299"/>
      <c r="M457" s="299"/>
      <c r="N457" s="299"/>
      <c r="O457" s="299"/>
      <c r="P457" s="299"/>
      <c r="Q457" s="299"/>
      <c r="R457" s="299"/>
      <c r="S457" s="299"/>
      <c r="T457" s="299"/>
    </row>
    <row r="458" ht="15.75" customHeight="1">
      <c r="G458" s="298"/>
      <c r="H458" s="298"/>
      <c r="I458" s="299"/>
      <c r="J458" s="299"/>
      <c r="K458" s="299"/>
      <c r="L458" s="299"/>
      <c r="M458" s="299"/>
      <c r="N458" s="299"/>
      <c r="O458" s="299"/>
      <c r="P458" s="299"/>
      <c r="Q458" s="299"/>
      <c r="R458" s="299"/>
      <c r="S458" s="299"/>
      <c r="T458" s="299"/>
    </row>
    <row r="459" ht="15.75" customHeight="1">
      <c r="G459" s="298"/>
      <c r="H459" s="298"/>
      <c r="I459" s="299"/>
      <c r="J459" s="299"/>
      <c r="K459" s="299"/>
      <c r="L459" s="299"/>
      <c r="M459" s="299"/>
      <c r="N459" s="299"/>
      <c r="O459" s="299"/>
      <c r="P459" s="299"/>
      <c r="Q459" s="299"/>
      <c r="R459" s="299"/>
      <c r="S459" s="299"/>
      <c r="T459" s="299"/>
    </row>
    <row r="460" ht="15.75" customHeight="1">
      <c r="G460" s="298"/>
      <c r="H460" s="298"/>
      <c r="I460" s="299"/>
      <c r="J460" s="299"/>
      <c r="K460" s="299"/>
      <c r="L460" s="299"/>
      <c r="M460" s="299"/>
      <c r="N460" s="299"/>
      <c r="O460" s="299"/>
      <c r="P460" s="299"/>
      <c r="Q460" s="299"/>
      <c r="R460" s="299"/>
      <c r="S460" s="299"/>
      <c r="T460" s="299"/>
    </row>
    <row r="461" ht="15.75" customHeight="1">
      <c r="G461" s="298"/>
      <c r="H461" s="298"/>
      <c r="I461" s="299"/>
      <c r="J461" s="299"/>
      <c r="K461" s="299"/>
      <c r="L461" s="299"/>
      <c r="M461" s="299"/>
      <c r="N461" s="299"/>
      <c r="O461" s="299"/>
      <c r="P461" s="299"/>
      <c r="Q461" s="299"/>
      <c r="R461" s="299"/>
      <c r="S461" s="299"/>
      <c r="T461" s="299"/>
    </row>
    <row r="462" ht="15.75" customHeight="1">
      <c r="G462" s="298"/>
      <c r="H462" s="298"/>
      <c r="I462" s="299"/>
      <c r="J462" s="299"/>
      <c r="K462" s="299"/>
      <c r="L462" s="299"/>
      <c r="M462" s="299"/>
      <c r="N462" s="299"/>
      <c r="O462" s="299"/>
      <c r="P462" s="299"/>
      <c r="Q462" s="299"/>
      <c r="R462" s="299"/>
      <c r="S462" s="299"/>
      <c r="T462" s="299"/>
    </row>
    <row r="463" ht="15.75" customHeight="1">
      <c r="G463" s="298"/>
      <c r="H463" s="298"/>
      <c r="I463" s="299"/>
      <c r="J463" s="299"/>
      <c r="K463" s="299"/>
      <c r="L463" s="299"/>
      <c r="M463" s="299"/>
      <c r="N463" s="299"/>
      <c r="O463" s="299"/>
      <c r="P463" s="299"/>
      <c r="Q463" s="299"/>
      <c r="R463" s="299"/>
      <c r="S463" s="299"/>
      <c r="T463" s="299"/>
    </row>
    <row r="464" ht="15.75" customHeight="1">
      <c r="G464" s="298"/>
      <c r="H464" s="298"/>
      <c r="I464" s="299"/>
      <c r="J464" s="299"/>
      <c r="K464" s="299"/>
      <c r="L464" s="299"/>
      <c r="M464" s="299"/>
      <c r="N464" s="299"/>
      <c r="O464" s="299"/>
      <c r="P464" s="299"/>
      <c r="Q464" s="299"/>
      <c r="R464" s="299"/>
      <c r="S464" s="299"/>
      <c r="T464" s="299"/>
    </row>
    <row r="465" ht="15.75" customHeight="1">
      <c r="G465" s="298"/>
      <c r="H465" s="298"/>
      <c r="I465" s="299"/>
      <c r="J465" s="299"/>
      <c r="K465" s="299"/>
      <c r="L465" s="299"/>
      <c r="M465" s="299"/>
      <c r="N465" s="299"/>
      <c r="O465" s="299"/>
      <c r="P465" s="299"/>
      <c r="Q465" s="299"/>
      <c r="R465" s="299"/>
      <c r="S465" s="299"/>
      <c r="T465" s="299"/>
    </row>
    <row r="466" ht="15.75" customHeight="1">
      <c r="G466" s="298"/>
      <c r="H466" s="298"/>
      <c r="I466" s="299"/>
      <c r="J466" s="299"/>
      <c r="K466" s="299"/>
      <c r="L466" s="299"/>
      <c r="M466" s="299"/>
      <c r="N466" s="299"/>
      <c r="O466" s="299"/>
      <c r="P466" s="299"/>
      <c r="Q466" s="299"/>
      <c r="R466" s="299"/>
      <c r="S466" s="299"/>
      <c r="T466" s="299"/>
    </row>
    <row r="467" ht="15.75" customHeight="1">
      <c r="G467" s="298"/>
      <c r="H467" s="298"/>
      <c r="I467" s="299"/>
      <c r="J467" s="299"/>
      <c r="K467" s="299"/>
      <c r="L467" s="299"/>
      <c r="M467" s="299"/>
      <c r="N467" s="299"/>
      <c r="O467" s="299"/>
      <c r="P467" s="299"/>
      <c r="Q467" s="299"/>
      <c r="R467" s="299"/>
      <c r="S467" s="299"/>
      <c r="T467" s="299"/>
    </row>
    <row r="468" ht="15.75" customHeight="1">
      <c r="G468" s="298"/>
      <c r="H468" s="298"/>
      <c r="I468" s="299"/>
      <c r="J468" s="299"/>
      <c r="K468" s="299"/>
      <c r="L468" s="299"/>
      <c r="M468" s="299"/>
      <c r="N468" s="299"/>
      <c r="O468" s="299"/>
      <c r="P468" s="299"/>
      <c r="Q468" s="299"/>
      <c r="R468" s="299"/>
      <c r="S468" s="299"/>
      <c r="T468" s="299"/>
    </row>
    <row r="469" ht="15.75" customHeight="1">
      <c r="G469" s="298"/>
      <c r="H469" s="298"/>
      <c r="I469" s="299"/>
      <c r="J469" s="299"/>
      <c r="K469" s="299"/>
      <c r="L469" s="299"/>
      <c r="M469" s="299"/>
      <c r="N469" s="299"/>
      <c r="O469" s="299"/>
      <c r="P469" s="299"/>
      <c r="Q469" s="299"/>
      <c r="R469" s="299"/>
      <c r="S469" s="299"/>
      <c r="T469" s="299"/>
    </row>
    <row r="470" ht="15.75" customHeight="1">
      <c r="G470" s="298"/>
      <c r="H470" s="298"/>
      <c r="I470" s="299"/>
      <c r="J470" s="299"/>
      <c r="K470" s="299"/>
      <c r="L470" s="299"/>
      <c r="M470" s="299"/>
      <c r="N470" s="299"/>
      <c r="O470" s="299"/>
      <c r="P470" s="299"/>
      <c r="Q470" s="299"/>
      <c r="R470" s="299"/>
      <c r="S470" s="299"/>
      <c r="T470" s="299"/>
    </row>
    <row r="471" ht="15.75" customHeight="1">
      <c r="G471" s="298"/>
      <c r="H471" s="298"/>
      <c r="I471" s="299"/>
      <c r="J471" s="299"/>
      <c r="K471" s="299"/>
      <c r="L471" s="299"/>
      <c r="M471" s="299"/>
      <c r="N471" s="299"/>
      <c r="O471" s="299"/>
      <c r="P471" s="299"/>
      <c r="Q471" s="299"/>
      <c r="R471" s="299"/>
      <c r="S471" s="299"/>
      <c r="T471" s="299"/>
    </row>
    <row r="472" ht="15.75" customHeight="1">
      <c r="G472" s="298"/>
      <c r="H472" s="298"/>
      <c r="I472" s="299"/>
      <c r="J472" s="299"/>
      <c r="K472" s="299"/>
      <c r="L472" s="299"/>
      <c r="M472" s="299"/>
      <c r="N472" s="299"/>
      <c r="O472" s="299"/>
      <c r="P472" s="299"/>
      <c r="Q472" s="299"/>
      <c r="R472" s="299"/>
      <c r="S472" s="299"/>
      <c r="T472" s="299"/>
    </row>
    <row r="473" ht="15.75" customHeight="1">
      <c r="G473" s="298"/>
      <c r="H473" s="298"/>
      <c r="I473" s="299"/>
      <c r="J473" s="299"/>
      <c r="K473" s="299"/>
      <c r="L473" s="299"/>
      <c r="M473" s="299"/>
      <c r="N473" s="299"/>
      <c r="O473" s="299"/>
      <c r="P473" s="299"/>
      <c r="Q473" s="299"/>
      <c r="R473" s="299"/>
      <c r="S473" s="299"/>
      <c r="T473" s="299"/>
    </row>
    <row r="474" ht="15.75" customHeight="1">
      <c r="G474" s="298"/>
      <c r="H474" s="298"/>
      <c r="I474" s="299"/>
      <c r="J474" s="299"/>
      <c r="K474" s="299"/>
      <c r="L474" s="299"/>
      <c r="M474" s="299"/>
      <c r="N474" s="299"/>
      <c r="O474" s="299"/>
      <c r="P474" s="299"/>
      <c r="Q474" s="299"/>
      <c r="R474" s="299"/>
      <c r="S474" s="299"/>
      <c r="T474" s="299"/>
    </row>
    <row r="475" ht="15.75" customHeight="1">
      <c r="G475" s="298"/>
      <c r="H475" s="298"/>
      <c r="I475" s="299"/>
      <c r="J475" s="299"/>
      <c r="K475" s="299"/>
      <c r="L475" s="299"/>
      <c r="M475" s="299"/>
      <c r="N475" s="299"/>
      <c r="O475" s="299"/>
      <c r="P475" s="299"/>
      <c r="Q475" s="299"/>
      <c r="R475" s="299"/>
      <c r="S475" s="299"/>
      <c r="T475" s="299"/>
    </row>
    <row r="476" ht="15.75" customHeight="1">
      <c r="G476" s="298"/>
      <c r="H476" s="298"/>
      <c r="I476" s="299"/>
      <c r="J476" s="299"/>
      <c r="K476" s="299"/>
      <c r="L476" s="299"/>
      <c r="M476" s="299"/>
      <c r="N476" s="299"/>
      <c r="O476" s="299"/>
      <c r="P476" s="299"/>
      <c r="Q476" s="299"/>
      <c r="R476" s="299"/>
      <c r="S476" s="299"/>
      <c r="T476" s="299"/>
    </row>
    <row r="477" ht="15.75" customHeight="1">
      <c r="G477" s="298"/>
      <c r="H477" s="298"/>
      <c r="I477" s="299"/>
      <c r="J477" s="299"/>
      <c r="K477" s="299"/>
      <c r="L477" s="299"/>
      <c r="M477" s="299"/>
      <c r="N477" s="299"/>
      <c r="O477" s="299"/>
      <c r="P477" s="299"/>
      <c r="Q477" s="299"/>
      <c r="R477" s="299"/>
      <c r="S477" s="299"/>
      <c r="T477" s="299"/>
    </row>
    <row r="478" ht="15.75" customHeight="1">
      <c r="G478" s="298"/>
      <c r="H478" s="298"/>
      <c r="I478" s="299"/>
      <c r="J478" s="299"/>
      <c r="K478" s="299"/>
      <c r="L478" s="299"/>
      <c r="M478" s="299"/>
      <c r="N478" s="299"/>
      <c r="O478" s="299"/>
      <c r="P478" s="299"/>
      <c r="Q478" s="299"/>
      <c r="R478" s="299"/>
      <c r="S478" s="299"/>
      <c r="T478" s="299"/>
    </row>
    <row r="479" ht="15.75" customHeight="1">
      <c r="G479" s="298"/>
      <c r="H479" s="298"/>
      <c r="I479" s="299"/>
      <c r="J479" s="299"/>
      <c r="K479" s="299"/>
      <c r="L479" s="299"/>
      <c r="M479" s="299"/>
      <c r="N479" s="299"/>
      <c r="O479" s="299"/>
      <c r="P479" s="299"/>
      <c r="Q479" s="299"/>
      <c r="R479" s="299"/>
      <c r="S479" s="299"/>
      <c r="T479" s="299"/>
    </row>
    <row r="480" ht="15.75" customHeight="1">
      <c r="G480" s="298"/>
      <c r="H480" s="298"/>
      <c r="I480" s="299"/>
      <c r="J480" s="299"/>
      <c r="K480" s="299"/>
      <c r="L480" s="299"/>
      <c r="M480" s="299"/>
      <c r="N480" s="299"/>
      <c r="O480" s="299"/>
      <c r="P480" s="299"/>
      <c r="Q480" s="299"/>
      <c r="R480" s="299"/>
      <c r="S480" s="299"/>
      <c r="T480" s="299"/>
    </row>
    <row r="481" ht="15.75" customHeight="1">
      <c r="G481" s="298"/>
      <c r="H481" s="298"/>
      <c r="I481" s="299"/>
      <c r="J481" s="299"/>
      <c r="K481" s="299"/>
      <c r="L481" s="299"/>
      <c r="M481" s="299"/>
      <c r="N481" s="299"/>
      <c r="O481" s="299"/>
      <c r="P481" s="299"/>
      <c r="Q481" s="299"/>
      <c r="R481" s="299"/>
      <c r="S481" s="299"/>
      <c r="T481" s="299"/>
    </row>
    <row r="482" ht="15.75" customHeight="1">
      <c r="G482" s="298"/>
      <c r="H482" s="298"/>
      <c r="I482" s="299"/>
      <c r="J482" s="299"/>
      <c r="K482" s="299"/>
      <c r="L482" s="299"/>
      <c r="M482" s="299"/>
      <c r="N482" s="299"/>
      <c r="O482" s="299"/>
      <c r="P482" s="299"/>
      <c r="Q482" s="299"/>
      <c r="R482" s="299"/>
      <c r="S482" s="299"/>
      <c r="T482" s="299"/>
    </row>
    <row r="483" ht="15.75" customHeight="1">
      <c r="G483" s="298"/>
      <c r="H483" s="298"/>
      <c r="I483" s="299"/>
      <c r="J483" s="299"/>
      <c r="K483" s="299"/>
      <c r="L483" s="299"/>
      <c r="M483" s="299"/>
      <c r="N483" s="299"/>
      <c r="O483" s="299"/>
      <c r="P483" s="299"/>
      <c r="Q483" s="299"/>
      <c r="R483" s="299"/>
      <c r="S483" s="299"/>
      <c r="T483" s="299"/>
    </row>
    <row r="484" ht="15.75" customHeight="1">
      <c r="G484" s="298"/>
      <c r="H484" s="298"/>
      <c r="I484" s="299"/>
      <c r="J484" s="299"/>
      <c r="K484" s="299"/>
      <c r="L484" s="299"/>
      <c r="M484" s="299"/>
      <c r="N484" s="299"/>
      <c r="O484" s="299"/>
      <c r="P484" s="299"/>
      <c r="Q484" s="299"/>
      <c r="R484" s="299"/>
      <c r="S484" s="299"/>
      <c r="T484" s="299"/>
    </row>
    <row r="485" ht="15.75" customHeight="1">
      <c r="G485" s="298"/>
      <c r="H485" s="298"/>
      <c r="I485" s="299"/>
      <c r="J485" s="299"/>
      <c r="K485" s="299"/>
      <c r="L485" s="299"/>
      <c r="M485" s="299"/>
      <c r="N485" s="299"/>
      <c r="O485" s="299"/>
      <c r="P485" s="299"/>
      <c r="Q485" s="299"/>
      <c r="R485" s="299"/>
      <c r="S485" s="299"/>
      <c r="T485" s="299"/>
    </row>
    <row r="486" ht="15.75" customHeight="1">
      <c r="G486" s="298"/>
      <c r="H486" s="298"/>
      <c r="I486" s="299"/>
      <c r="J486" s="299"/>
      <c r="K486" s="299"/>
      <c r="L486" s="299"/>
      <c r="M486" s="299"/>
      <c r="N486" s="299"/>
      <c r="O486" s="299"/>
      <c r="P486" s="299"/>
      <c r="Q486" s="299"/>
      <c r="R486" s="299"/>
      <c r="S486" s="299"/>
      <c r="T486" s="299"/>
    </row>
    <row r="487" ht="15.75" customHeight="1">
      <c r="G487" s="298"/>
      <c r="H487" s="298"/>
      <c r="I487" s="299"/>
      <c r="J487" s="299"/>
      <c r="K487" s="299"/>
      <c r="L487" s="299"/>
      <c r="M487" s="299"/>
      <c r="N487" s="299"/>
      <c r="O487" s="299"/>
      <c r="P487" s="299"/>
      <c r="Q487" s="299"/>
      <c r="R487" s="299"/>
      <c r="S487" s="299"/>
      <c r="T487" s="299"/>
    </row>
    <row r="488" ht="15.75" customHeight="1">
      <c r="G488" s="298"/>
      <c r="H488" s="298"/>
      <c r="I488" s="299"/>
      <c r="J488" s="299"/>
      <c r="K488" s="299"/>
      <c r="L488" s="299"/>
      <c r="M488" s="299"/>
      <c r="N488" s="299"/>
      <c r="O488" s="299"/>
      <c r="P488" s="299"/>
      <c r="Q488" s="299"/>
      <c r="R488" s="299"/>
      <c r="S488" s="299"/>
      <c r="T488" s="299"/>
    </row>
    <row r="489" ht="15.75" customHeight="1">
      <c r="G489" s="298"/>
      <c r="H489" s="298"/>
      <c r="I489" s="299"/>
      <c r="J489" s="299"/>
      <c r="K489" s="299"/>
      <c r="L489" s="299"/>
      <c r="M489" s="299"/>
      <c r="N489" s="299"/>
      <c r="O489" s="299"/>
      <c r="P489" s="299"/>
      <c r="Q489" s="299"/>
      <c r="R489" s="299"/>
      <c r="S489" s="299"/>
      <c r="T489" s="299"/>
    </row>
    <row r="490" ht="15.75" customHeight="1">
      <c r="G490" s="298"/>
      <c r="H490" s="298"/>
      <c r="I490" s="299"/>
      <c r="J490" s="299"/>
      <c r="K490" s="299"/>
      <c r="L490" s="299"/>
      <c r="M490" s="299"/>
      <c r="N490" s="299"/>
      <c r="O490" s="299"/>
      <c r="P490" s="299"/>
      <c r="Q490" s="299"/>
      <c r="R490" s="299"/>
      <c r="S490" s="299"/>
      <c r="T490" s="299"/>
    </row>
    <row r="491" ht="15.75" customHeight="1">
      <c r="G491" s="298"/>
      <c r="H491" s="298"/>
      <c r="I491" s="299"/>
      <c r="J491" s="299"/>
      <c r="K491" s="299"/>
      <c r="L491" s="299"/>
      <c r="M491" s="299"/>
      <c r="N491" s="299"/>
      <c r="O491" s="299"/>
      <c r="P491" s="299"/>
      <c r="Q491" s="299"/>
      <c r="R491" s="299"/>
      <c r="S491" s="299"/>
      <c r="T491" s="299"/>
    </row>
    <row r="492" ht="15.75" customHeight="1">
      <c r="G492" s="298"/>
      <c r="H492" s="298"/>
      <c r="I492" s="299"/>
      <c r="J492" s="299"/>
      <c r="K492" s="299"/>
      <c r="L492" s="299"/>
      <c r="M492" s="299"/>
      <c r="N492" s="299"/>
      <c r="O492" s="299"/>
      <c r="P492" s="299"/>
      <c r="Q492" s="299"/>
      <c r="R492" s="299"/>
      <c r="S492" s="299"/>
      <c r="T492" s="299"/>
    </row>
    <row r="493" ht="15.75" customHeight="1">
      <c r="G493" s="298"/>
      <c r="H493" s="298"/>
      <c r="I493" s="299"/>
      <c r="J493" s="299"/>
      <c r="K493" s="299"/>
      <c r="L493" s="299"/>
      <c r="M493" s="299"/>
      <c r="N493" s="299"/>
      <c r="O493" s="299"/>
      <c r="P493" s="299"/>
      <c r="Q493" s="299"/>
      <c r="R493" s="299"/>
      <c r="S493" s="299"/>
      <c r="T493" s="299"/>
    </row>
    <row r="494" ht="15.75" customHeight="1">
      <c r="G494" s="298"/>
      <c r="H494" s="298"/>
      <c r="I494" s="299"/>
      <c r="J494" s="299"/>
      <c r="K494" s="299"/>
      <c r="L494" s="299"/>
      <c r="M494" s="299"/>
      <c r="N494" s="299"/>
      <c r="O494" s="299"/>
      <c r="P494" s="299"/>
      <c r="Q494" s="299"/>
      <c r="R494" s="299"/>
      <c r="S494" s="299"/>
      <c r="T494" s="299"/>
    </row>
    <row r="495" ht="15.75" customHeight="1">
      <c r="G495" s="298"/>
      <c r="H495" s="298"/>
      <c r="I495" s="299"/>
      <c r="J495" s="299"/>
      <c r="K495" s="299"/>
      <c r="L495" s="299"/>
      <c r="M495" s="299"/>
      <c r="N495" s="299"/>
      <c r="O495" s="299"/>
      <c r="P495" s="299"/>
      <c r="Q495" s="299"/>
      <c r="R495" s="299"/>
      <c r="S495" s="299"/>
      <c r="T495" s="299"/>
    </row>
    <row r="496" ht="15.75" customHeight="1">
      <c r="G496" s="298"/>
      <c r="H496" s="298"/>
      <c r="I496" s="299"/>
      <c r="J496" s="299"/>
      <c r="K496" s="299"/>
      <c r="L496" s="299"/>
      <c r="M496" s="299"/>
      <c r="N496" s="299"/>
      <c r="O496" s="299"/>
      <c r="P496" s="299"/>
      <c r="Q496" s="299"/>
      <c r="R496" s="299"/>
      <c r="S496" s="299"/>
      <c r="T496" s="299"/>
    </row>
    <row r="497" ht="15.75" customHeight="1">
      <c r="G497" s="298"/>
      <c r="H497" s="298"/>
      <c r="I497" s="299"/>
      <c r="J497" s="299"/>
      <c r="K497" s="299"/>
      <c r="L497" s="299"/>
      <c r="M497" s="299"/>
      <c r="N497" s="299"/>
      <c r="O497" s="299"/>
      <c r="P497" s="299"/>
      <c r="Q497" s="299"/>
      <c r="R497" s="299"/>
      <c r="S497" s="299"/>
      <c r="T497" s="299"/>
    </row>
    <row r="498" ht="15.75" customHeight="1">
      <c r="G498" s="298"/>
      <c r="H498" s="298"/>
      <c r="I498" s="299"/>
      <c r="J498" s="299"/>
      <c r="K498" s="299"/>
      <c r="L498" s="299"/>
      <c r="M498" s="299"/>
      <c r="N498" s="299"/>
      <c r="O498" s="299"/>
      <c r="P498" s="299"/>
      <c r="Q498" s="299"/>
      <c r="R498" s="299"/>
      <c r="S498" s="299"/>
      <c r="T498" s="299"/>
    </row>
    <row r="499" ht="15.75" customHeight="1">
      <c r="G499" s="298"/>
      <c r="H499" s="298"/>
      <c r="I499" s="299"/>
      <c r="J499" s="299"/>
      <c r="K499" s="299"/>
      <c r="L499" s="299"/>
      <c r="M499" s="299"/>
      <c r="N499" s="299"/>
      <c r="O499" s="299"/>
      <c r="P499" s="299"/>
      <c r="Q499" s="299"/>
      <c r="R499" s="299"/>
      <c r="S499" s="299"/>
      <c r="T499" s="299"/>
    </row>
    <row r="500" ht="15.75" customHeight="1">
      <c r="G500" s="298"/>
      <c r="H500" s="298"/>
      <c r="I500" s="299"/>
      <c r="J500" s="299"/>
      <c r="K500" s="299"/>
      <c r="L500" s="299"/>
      <c r="M500" s="299"/>
      <c r="N500" s="299"/>
      <c r="O500" s="299"/>
      <c r="P500" s="299"/>
      <c r="Q500" s="299"/>
      <c r="R500" s="299"/>
      <c r="S500" s="299"/>
      <c r="T500" s="299"/>
    </row>
    <row r="501" ht="15.75" customHeight="1">
      <c r="G501" s="298"/>
      <c r="H501" s="298"/>
      <c r="I501" s="299"/>
      <c r="J501" s="299"/>
      <c r="K501" s="299"/>
      <c r="L501" s="299"/>
      <c r="M501" s="299"/>
      <c r="N501" s="299"/>
      <c r="O501" s="299"/>
      <c r="P501" s="299"/>
      <c r="Q501" s="299"/>
      <c r="R501" s="299"/>
      <c r="S501" s="299"/>
      <c r="T501" s="299"/>
    </row>
    <row r="502" ht="15.75" customHeight="1">
      <c r="G502" s="298"/>
      <c r="H502" s="298"/>
      <c r="I502" s="299"/>
      <c r="J502" s="299"/>
      <c r="K502" s="299"/>
      <c r="L502" s="299"/>
      <c r="M502" s="299"/>
      <c r="N502" s="299"/>
      <c r="O502" s="299"/>
      <c r="P502" s="299"/>
      <c r="Q502" s="299"/>
      <c r="R502" s="299"/>
      <c r="S502" s="299"/>
      <c r="T502" s="299"/>
    </row>
    <row r="503" ht="15.75" customHeight="1">
      <c r="G503" s="298"/>
      <c r="H503" s="298"/>
      <c r="I503" s="299"/>
      <c r="J503" s="299"/>
      <c r="K503" s="299"/>
      <c r="L503" s="299"/>
      <c r="M503" s="299"/>
      <c r="N503" s="299"/>
      <c r="O503" s="299"/>
      <c r="P503" s="299"/>
      <c r="Q503" s="299"/>
      <c r="R503" s="299"/>
      <c r="S503" s="299"/>
      <c r="T503" s="299"/>
    </row>
    <row r="504" ht="15.75" customHeight="1">
      <c r="G504" s="298"/>
      <c r="H504" s="298"/>
      <c r="I504" s="299"/>
      <c r="J504" s="299"/>
      <c r="K504" s="299"/>
      <c r="L504" s="299"/>
      <c r="M504" s="299"/>
      <c r="N504" s="299"/>
      <c r="O504" s="299"/>
      <c r="P504" s="299"/>
      <c r="Q504" s="299"/>
      <c r="R504" s="299"/>
      <c r="S504" s="299"/>
      <c r="T504" s="299"/>
    </row>
    <row r="505" ht="15.75" customHeight="1">
      <c r="G505" s="298"/>
      <c r="H505" s="298"/>
      <c r="I505" s="299"/>
      <c r="J505" s="299"/>
      <c r="K505" s="299"/>
      <c r="L505" s="299"/>
      <c r="M505" s="299"/>
      <c r="N505" s="299"/>
      <c r="O505" s="299"/>
      <c r="P505" s="299"/>
      <c r="Q505" s="299"/>
      <c r="R505" s="299"/>
      <c r="S505" s="299"/>
      <c r="T505" s="299"/>
    </row>
    <row r="506" ht="15.75" customHeight="1">
      <c r="G506" s="298"/>
      <c r="H506" s="298"/>
      <c r="I506" s="299"/>
      <c r="J506" s="299"/>
      <c r="K506" s="299"/>
      <c r="L506" s="299"/>
      <c r="M506" s="299"/>
      <c r="N506" s="299"/>
      <c r="O506" s="299"/>
      <c r="P506" s="299"/>
      <c r="Q506" s="299"/>
      <c r="R506" s="299"/>
      <c r="S506" s="299"/>
      <c r="T506" s="299"/>
    </row>
    <row r="507" ht="15.75" customHeight="1">
      <c r="G507" s="298"/>
      <c r="H507" s="298"/>
      <c r="I507" s="299"/>
      <c r="J507" s="299"/>
      <c r="K507" s="299"/>
      <c r="L507" s="299"/>
      <c r="M507" s="299"/>
      <c r="N507" s="299"/>
      <c r="O507" s="299"/>
      <c r="P507" s="299"/>
      <c r="Q507" s="299"/>
      <c r="R507" s="299"/>
      <c r="S507" s="299"/>
      <c r="T507" s="299"/>
    </row>
    <row r="508" ht="15.75" customHeight="1">
      <c r="G508" s="298"/>
      <c r="H508" s="298"/>
      <c r="I508" s="299"/>
      <c r="J508" s="299"/>
      <c r="K508" s="299"/>
      <c r="L508" s="299"/>
      <c r="M508" s="299"/>
      <c r="N508" s="299"/>
      <c r="O508" s="299"/>
      <c r="P508" s="299"/>
      <c r="Q508" s="299"/>
      <c r="R508" s="299"/>
      <c r="S508" s="299"/>
      <c r="T508" s="299"/>
    </row>
    <row r="509" ht="15.75" customHeight="1">
      <c r="G509" s="298"/>
      <c r="H509" s="298"/>
      <c r="I509" s="299"/>
      <c r="J509" s="299"/>
      <c r="K509" s="299"/>
      <c r="L509" s="299"/>
      <c r="M509" s="299"/>
      <c r="N509" s="299"/>
      <c r="O509" s="299"/>
      <c r="P509" s="299"/>
      <c r="Q509" s="299"/>
      <c r="R509" s="299"/>
      <c r="S509" s="299"/>
      <c r="T509" s="299"/>
    </row>
    <row r="510" ht="15.75" customHeight="1">
      <c r="G510" s="298"/>
      <c r="H510" s="298"/>
      <c r="I510" s="299"/>
      <c r="J510" s="299"/>
      <c r="K510" s="299"/>
      <c r="L510" s="299"/>
      <c r="M510" s="299"/>
      <c r="N510" s="299"/>
      <c r="O510" s="299"/>
      <c r="P510" s="299"/>
      <c r="Q510" s="299"/>
      <c r="R510" s="299"/>
      <c r="S510" s="299"/>
      <c r="T510" s="299"/>
    </row>
    <row r="511" ht="15.75" customHeight="1">
      <c r="G511" s="298"/>
      <c r="H511" s="298"/>
      <c r="I511" s="299"/>
      <c r="J511" s="299"/>
      <c r="K511" s="299"/>
      <c r="L511" s="299"/>
      <c r="M511" s="299"/>
      <c r="N511" s="299"/>
      <c r="O511" s="299"/>
      <c r="P511" s="299"/>
      <c r="Q511" s="299"/>
      <c r="R511" s="299"/>
      <c r="S511" s="299"/>
      <c r="T511" s="299"/>
    </row>
    <row r="512" ht="15.75" customHeight="1">
      <c r="G512" s="298"/>
      <c r="H512" s="298"/>
      <c r="I512" s="299"/>
      <c r="J512" s="299"/>
      <c r="K512" s="299"/>
      <c r="L512" s="299"/>
      <c r="M512" s="299"/>
      <c r="N512" s="299"/>
      <c r="O512" s="299"/>
      <c r="P512" s="299"/>
      <c r="Q512" s="299"/>
      <c r="R512" s="299"/>
      <c r="S512" s="299"/>
      <c r="T512" s="299"/>
    </row>
    <row r="513" ht="15.75" customHeight="1">
      <c r="G513" s="298"/>
      <c r="H513" s="298"/>
      <c r="I513" s="299"/>
      <c r="J513" s="299"/>
      <c r="K513" s="299"/>
      <c r="L513" s="299"/>
      <c r="M513" s="299"/>
      <c r="N513" s="299"/>
      <c r="O513" s="299"/>
      <c r="P513" s="299"/>
      <c r="Q513" s="299"/>
      <c r="R513" s="299"/>
      <c r="S513" s="299"/>
      <c r="T513" s="299"/>
    </row>
    <row r="514" ht="15.75" customHeight="1">
      <c r="G514" s="298"/>
      <c r="H514" s="298"/>
      <c r="I514" s="299"/>
      <c r="J514" s="299"/>
      <c r="K514" s="299"/>
      <c r="L514" s="299"/>
      <c r="M514" s="299"/>
      <c r="N514" s="299"/>
      <c r="O514" s="299"/>
      <c r="P514" s="299"/>
      <c r="Q514" s="299"/>
      <c r="R514" s="299"/>
      <c r="S514" s="299"/>
      <c r="T514" s="299"/>
    </row>
    <row r="515" ht="15.75" customHeight="1">
      <c r="G515" s="298"/>
      <c r="H515" s="298"/>
      <c r="I515" s="299"/>
      <c r="J515" s="299"/>
      <c r="K515" s="299"/>
      <c r="L515" s="299"/>
      <c r="M515" s="299"/>
      <c r="N515" s="299"/>
      <c r="O515" s="299"/>
      <c r="P515" s="299"/>
      <c r="Q515" s="299"/>
      <c r="R515" s="299"/>
      <c r="S515" s="299"/>
      <c r="T515" s="299"/>
    </row>
    <row r="516" ht="15.75" customHeight="1">
      <c r="G516" s="298"/>
      <c r="H516" s="298"/>
      <c r="I516" s="299"/>
      <c r="J516" s="299"/>
      <c r="K516" s="299"/>
      <c r="L516" s="299"/>
      <c r="M516" s="299"/>
      <c r="N516" s="299"/>
      <c r="O516" s="299"/>
      <c r="P516" s="299"/>
      <c r="Q516" s="299"/>
      <c r="R516" s="299"/>
      <c r="S516" s="299"/>
      <c r="T516" s="299"/>
    </row>
    <row r="517" ht="15.75" customHeight="1">
      <c r="G517" s="298"/>
      <c r="H517" s="298"/>
      <c r="I517" s="299"/>
      <c r="J517" s="299"/>
      <c r="K517" s="299"/>
      <c r="L517" s="299"/>
      <c r="M517" s="299"/>
      <c r="N517" s="299"/>
      <c r="O517" s="299"/>
      <c r="P517" s="299"/>
      <c r="Q517" s="299"/>
      <c r="R517" s="299"/>
      <c r="S517" s="299"/>
      <c r="T517" s="299"/>
    </row>
    <row r="518" ht="15.75" customHeight="1">
      <c r="G518" s="298"/>
      <c r="H518" s="298"/>
      <c r="I518" s="299"/>
      <c r="J518" s="299"/>
      <c r="K518" s="299"/>
      <c r="L518" s="299"/>
      <c r="M518" s="299"/>
      <c r="N518" s="299"/>
      <c r="O518" s="299"/>
      <c r="P518" s="299"/>
      <c r="Q518" s="299"/>
      <c r="R518" s="299"/>
      <c r="S518" s="299"/>
      <c r="T518" s="299"/>
    </row>
    <row r="519" ht="15.75" customHeight="1">
      <c r="G519" s="298"/>
      <c r="H519" s="298"/>
      <c r="I519" s="299"/>
      <c r="J519" s="299"/>
      <c r="K519" s="299"/>
      <c r="L519" s="299"/>
      <c r="M519" s="299"/>
      <c r="N519" s="299"/>
      <c r="O519" s="299"/>
      <c r="P519" s="299"/>
      <c r="Q519" s="299"/>
      <c r="R519" s="299"/>
      <c r="S519" s="299"/>
      <c r="T519" s="299"/>
    </row>
    <row r="520" ht="15.75" customHeight="1">
      <c r="G520" s="298"/>
      <c r="H520" s="298"/>
      <c r="I520" s="299"/>
      <c r="J520" s="299"/>
      <c r="K520" s="299"/>
      <c r="L520" s="299"/>
      <c r="M520" s="299"/>
      <c r="N520" s="299"/>
      <c r="O520" s="299"/>
      <c r="P520" s="299"/>
      <c r="Q520" s="299"/>
      <c r="R520" s="299"/>
      <c r="S520" s="299"/>
      <c r="T520" s="299"/>
    </row>
    <row r="521" ht="15.75" customHeight="1">
      <c r="G521" s="298"/>
      <c r="H521" s="298"/>
      <c r="I521" s="299"/>
      <c r="J521" s="299"/>
      <c r="K521" s="299"/>
      <c r="L521" s="299"/>
      <c r="M521" s="299"/>
      <c r="N521" s="299"/>
      <c r="O521" s="299"/>
      <c r="P521" s="299"/>
      <c r="Q521" s="299"/>
      <c r="R521" s="299"/>
      <c r="S521" s="299"/>
      <c r="T521" s="299"/>
    </row>
    <row r="522" ht="15.75" customHeight="1">
      <c r="G522" s="298"/>
      <c r="H522" s="298"/>
      <c r="I522" s="299"/>
      <c r="J522" s="299"/>
      <c r="K522" s="299"/>
      <c r="L522" s="299"/>
      <c r="M522" s="299"/>
      <c r="N522" s="299"/>
      <c r="O522" s="299"/>
      <c r="P522" s="299"/>
      <c r="Q522" s="299"/>
      <c r="R522" s="299"/>
      <c r="S522" s="299"/>
      <c r="T522" s="299"/>
    </row>
    <row r="523" ht="15.75" customHeight="1">
      <c r="G523" s="298"/>
      <c r="H523" s="298"/>
      <c r="I523" s="299"/>
      <c r="J523" s="299"/>
      <c r="K523" s="299"/>
      <c r="L523" s="299"/>
      <c r="M523" s="299"/>
      <c r="N523" s="299"/>
      <c r="O523" s="299"/>
      <c r="P523" s="299"/>
      <c r="Q523" s="299"/>
      <c r="R523" s="299"/>
      <c r="S523" s="299"/>
      <c r="T523" s="299"/>
    </row>
    <row r="524" ht="15.75" customHeight="1">
      <c r="G524" s="298"/>
      <c r="H524" s="298"/>
      <c r="I524" s="299"/>
      <c r="J524" s="299"/>
      <c r="K524" s="299"/>
      <c r="L524" s="299"/>
      <c r="M524" s="299"/>
      <c r="N524" s="299"/>
      <c r="O524" s="299"/>
      <c r="P524" s="299"/>
      <c r="Q524" s="299"/>
      <c r="R524" s="299"/>
      <c r="S524" s="299"/>
      <c r="T524" s="299"/>
    </row>
    <row r="525" ht="15.75" customHeight="1">
      <c r="G525" s="298"/>
      <c r="H525" s="298"/>
      <c r="I525" s="299"/>
      <c r="J525" s="299"/>
      <c r="K525" s="299"/>
      <c r="L525" s="299"/>
      <c r="M525" s="299"/>
      <c r="N525" s="299"/>
      <c r="O525" s="299"/>
      <c r="P525" s="299"/>
      <c r="Q525" s="299"/>
      <c r="R525" s="299"/>
      <c r="S525" s="299"/>
      <c r="T525" s="299"/>
    </row>
    <row r="526" ht="15.75" customHeight="1">
      <c r="G526" s="298"/>
      <c r="H526" s="298"/>
      <c r="I526" s="299"/>
      <c r="J526" s="299"/>
      <c r="K526" s="299"/>
      <c r="L526" s="299"/>
      <c r="M526" s="299"/>
      <c r="N526" s="299"/>
      <c r="O526" s="299"/>
      <c r="P526" s="299"/>
      <c r="Q526" s="299"/>
      <c r="R526" s="299"/>
      <c r="S526" s="299"/>
      <c r="T526" s="299"/>
    </row>
    <row r="527" ht="15.75" customHeight="1">
      <c r="G527" s="298"/>
      <c r="H527" s="298"/>
      <c r="I527" s="299"/>
      <c r="J527" s="299"/>
      <c r="K527" s="299"/>
      <c r="L527" s="299"/>
      <c r="M527" s="299"/>
      <c r="N527" s="299"/>
      <c r="O527" s="299"/>
      <c r="P527" s="299"/>
      <c r="Q527" s="299"/>
      <c r="R527" s="299"/>
      <c r="S527" s="299"/>
      <c r="T527" s="299"/>
    </row>
    <row r="528" ht="15.75" customHeight="1">
      <c r="G528" s="298"/>
      <c r="H528" s="298"/>
      <c r="I528" s="299"/>
      <c r="J528" s="299"/>
      <c r="K528" s="299"/>
      <c r="L528" s="299"/>
      <c r="M528" s="299"/>
      <c r="N528" s="299"/>
      <c r="O528" s="299"/>
      <c r="P528" s="299"/>
      <c r="Q528" s="299"/>
      <c r="R528" s="299"/>
      <c r="S528" s="299"/>
      <c r="T528" s="299"/>
    </row>
    <row r="529" ht="15.75" customHeight="1">
      <c r="G529" s="298"/>
      <c r="H529" s="298"/>
      <c r="I529" s="299"/>
      <c r="J529" s="299"/>
      <c r="K529" s="299"/>
      <c r="L529" s="299"/>
      <c r="M529" s="299"/>
      <c r="N529" s="299"/>
      <c r="O529" s="299"/>
      <c r="P529" s="299"/>
      <c r="Q529" s="299"/>
      <c r="R529" s="299"/>
      <c r="S529" s="299"/>
      <c r="T529" s="299"/>
    </row>
    <row r="530" ht="15.75" customHeight="1">
      <c r="G530" s="298"/>
      <c r="H530" s="298"/>
      <c r="I530" s="299"/>
      <c r="J530" s="299"/>
      <c r="K530" s="299"/>
      <c r="L530" s="299"/>
      <c r="M530" s="299"/>
      <c r="N530" s="299"/>
      <c r="O530" s="299"/>
      <c r="P530" s="299"/>
      <c r="Q530" s="299"/>
      <c r="R530" s="299"/>
      <c r="S530" s="299"/>
      <c r="T530" s="299"/>
    </row>
    <row r="531" ht="15.75" customHeight="1">
      <c r="G531" s="298"/>
      <c r="H531" s="298"/>
      <c r="I531" s="299"/>
      <c r="J531" s="299"/>
      <c r="K531" s="299"/>
      <c r="L531" s="299"/>
      <c r="M531" s="299"/>
      <c r="N531" s="299"/>
      <c r="O531" s="299"/>
      <c r="P531" s="299"/>
      <c r="Q531" s="299"/>
      <c r="R531" s="299"/>
      <c r="S531" s="299"/>
      <c r="T531" s="299"/>
    </row>
    <row r="532" ht="15.75" customHeight="1">
      <c r="G532" s="298"/>
      <c r="H532" s="298"/>
      <c r="I532" s="299"/>
      <c r="J532" s="299"/>
      <c r="K532" s="299"/>
      <c r="L532" s="299"/>
      <c r="M532" s="299"/>
      <c r="N532" s="299"/>
      <c r="O532" s="299"/>
      <c r="P532" s="299"/>
      <c r="Q532" s="299"/>
      <c r="R532" s="299"/>
      <c r="S532" s="299"/>
      <c r="T532" s="299"/>
    </row>
    <row r="533" ht="15.75" customHeight="1">
      <c r="G533" s="298"/>
      <c r="H533" s="298"/>
      <c r="I533" s="299"/>
      <c r="J533" s="299"/>
      <c r="K533" s="299"/>
      <c r="L533" s="299"/>
      <c r="M533" s="299"/>
      <c r="N533" s="299"/>
      <c r="O533" s="299"/>
      <c r="P533" s="299"/>
      <c r="Q533" s="299"/>
      <c r="R533" s="299"/>
      <c r="S533" s="299"/>
      <c r="T533" s="299"/>
    </row>
    <row r="534" ht="15.75" customHeight="1">
      <c r="G534" s="298"/>
      <c r="H534" s="298"/>
      <c r="I534" s="299"/>
      <c r="J534" s="299"/>
      <c r="K534" s="299"/>
      <c r="L534" s="299"/>
      <c r="M534" s="299"/>
      <c r="N534" s="299"/>
      <c r="O534" s="299"/>
      <c r="P534" s="299"/>
      <c r="Q534" s="299"/>
      <c r="R534" s="299"/>
      <c r="S534" s="299"/>
      <c r="T534" s="299"/>
    </row>
    <row r="535" ht="15.75" customHeight="1">
      <c r="G535" s="298"/>
      <c r="H535" s="298"/>
      <c r="I535" s="299"/>
      <c r="J535" s="299"/>
      <c r="K535" s="299"/>
      <c r="L535" s="299"/>
      <c r="M535" s="299"/>
      <c r="N535" s="299"/>
      <c r="O535" s="299"/>
      <c r="P535" s="299"/>
      <c r="Q535" s="299"/>
      <c r="R535" s="299"/>
      <c r="S535" s="299"/>
      <c r="T535" s="299"/>
    </row>
    <row r="536" ht="15.75" customHeight="1">
      <c r="G536" s="298"/>
      <c r="H536" s="298"/>
      <c r="I536" s="299"/>
      <c r="J536" s="299"/>
      <c r="K536" s="299"/>
      <c r="L536" s="299"/>
      <c r="M536" s="299"/>
      <c r="N536" s="299"/>
      <c r="O536" s="299"/>
      <c r="P536" s="299"/>
      <c r="Q536" s="299"/>
      <c r="R536" s="299"/>
      <c r="S536" s="299"/>
      <c r="T536" s="299"/>
    </row>
    <row r="537" ht="15.75" customHeight="1">
      <c r="G537" s="298"/>
      <c r="H537" s="298"/>
      <c r="I537" s="299"/>
      <c r="J537" s="299"/>
      <c r="K537" s="299"/>
      <c r="L537" s="299"/>
      <c r="M537" s="299"/>
      <c r="N537" s="299"/>
      <c r="O537" s="299"/>
      <c r="P537" s="299"/>
      <c r="Q537" s="299"/>
      <c r="R537" s="299"/>
      <c r="S537" s="299"/>
      <c r="T537" s="299"/>
    </row>
    <row r="538" ht="15.75" customHeight="1">
      <c r="G538" s="298"/>
      <c r="H538" s="298"/>
      <c r="I538" s="299"/>
      <c r="J538" s="299"/>
      <c r="K538" s="299"/>
      <c r="L538" s="299"/>
      <c r="M538" s="299"/>
      <c r="N538" s="299"/>
      <c r="O538" s="299"/>
      <c r="P538" s="299"/>
      <c r="Q538" s="299"/>
      <c r="R538" s="299"/>
      <c r="S538" s="299"/>
      <c r="T538" s="299"/>
    </row>
    <row r="539" ht="15.75" customHeight="1">
      <c r="G539" s="298"/>
      <c r="H539" s="298"/>
      <c r="I539" s="299"/>
      <c r="J539" s="299"/>
      <c r="K539" s="299"/>
      <c r="L539" s="299"/>
      <c r="M539" s="299"/>
      <c r="N539" s="299"/>
      <c r="O539" s="299"/>
      <c r="P539" s="299"/>
      <c r="Q539" s="299"/>
      <c r="R539" s="299"/>
      <c r="S539" s="299"/>
      <c r="T539" s="299"/>
    </row>
    <row r="540" ht="15.75" customHeight="1">
      <c r="G540" s="298"/>
      <c r="H540" s="298"/>
      <c r="I540" s="299"/>
      <c r="J540" s="299"/>
      <c r="K540" s="299"/>
      <c r="L540" s="299"/>
      <c r="M540" s="299"/>
      <c r="N540" s="299"/>
      <c r="O540" s="299"/>
      <c r="P540" s="299"/>
      <c r="Q540" s="299"/>
      <c r="R540" s="299"/>
      <c r="S540" s="299"/>
      <c r="T540" s="299"/>
    </row>
    <row r="541" ht="15.75" customHeight="1">
      <c r="G541" s="298"/>
      <c r="H541" s="298"/>
      <c r="I541" s="299"/>
      <c r="J541" s="299"/>
      <c r="K541" s="299"/>
      <c r="L541" s="299"/>
      <c r="M541" s="299"/>
      <c r="N541" s="299"/>
      <c r="O541" s="299"/>
      <c r="P541" s="299"/>
      <c r="Q541" s="299"/>
      <c r="R541" s="299"/>
      <c r="S541" s="299"/>
      <c r="T541" s="299"/>
    </row>
    <row r="542" ht="15.75" customHeight="1">
      <c r="G542" s="298"/>
      <c r="H542" s="298"/>
      <c r="I542" s="299"/>
      <c r="J542" s="299"/>
      <c r="K542" s="299"/>
      <c r="L542" s="299"/>
      <c r="M542" s="299"/>
      <c r="N542" s="299"/>
      <c r="O542" s="299"/>
      <c r="P542" s="299"/>
      <c r="Q542" s="299"/>
      <c r="R542" s="299"/>
      <c r="S542" s="299"/>
      <c r="T542" s="299"/>
    </row>
    <row r="543" ht="15.75" customHeight="1">
      <c r="G543" s="298"/>
      <c r="H543" s="298"/>
      <c r="I543" s="299"/>
      <c r="J543" s="299"/>
      <c r="K543" s="299"/>
      <c r="L543" s="299"/>
      <c r="M543" s="299"/>
      <c r="N543" s="299"/>
      <c r="O543" s="299"/>
      <c r="P543" s="299"/>
      <c r="Q543" s="299"/>
      <c r="R543" s="299"/>
      <c r="S543" s="299"/>
      <c r="T543" s="299"/>
    </row>
    <row r="544" ht="15.75" customHeight="1">
      <c r="G544" s="298"/>
      <c r="H544" s="298"/>
      <c r="I544" s="299"/>
      <c r="J544" s="299"/>
      <c r="K544" s="299"/>
      <c r="L544" s="299"/>
      <c r="M544" s="299"/>
      <c r="N544" s="299"/>
      <c r="O544" s="299"/>
      <c r="P544" s="299"/>
      <c r="Q544" s="299"/>
      <c r="R544" s="299"/>
      <c r="S544" s="299"/>
      <c r="T544" s="299"/>
    </row>
    <row r="545" ht="15.75" customHeight="1">
      <c r="G545" s="298"/>
      <c r="H545" s="298"/>
      <c r="I545" s="299"/>
      <c r="J545" s="299"/>
      <c r="K545" s="299"/>
      <c r="L545" s="299"/>
      <c r="M545" s="299"/>
      <c r="N545" s="299"/>
      <c r="O545" s="299"/>
      <c r="P545" s="299"/>
      <c r="Q545" s="299"/>
      <c r="R545" s="299"/>
      <c r="S545" s="299"/>
      <c r="T545" s="299"/>
    </row>
    <row r="546" ht="15.75" customHeight="1">
      <c r="G546" s="298"/>
      <c r="H546" s="298"/>
      <c r="I546" s="299"/>
      <c r="J546" s="299"/>
      <c r="K546" s="299"/>
      <c r="L546" s="299"/>
      <c r="M546" s="299"/>
      <c r="N546" s="299"/>
      <c r="O546" s="299"/>
      <c r="P546" s="299"/>
      <c r="Q546" s="299"/>
      <c r="R546" s="299"/>
      <c r="S546" s="299"/>
      <c r="T546" s="299"/>
    </row>
    <row r="547" ht="15.75" customHeight="1">
      <c r="G547" s="298"/>
      <c r="H547" s="298"/>
      <c r="I547" s="299"/>
      <c r="J547" s="299"/>
      <c r="K547" s="299"/>
      <c r="L547" s="299"/>
      <c r="M547" s="299"/>
      <c r="N547" s="299"/>
      <c r="O547" s="299"/>
      <c r="P547" s="299"/>
      <c r="Q547" s="299"/>
      <c r="R547" s="299"/>
      <c r="S547" s="299"/>
      <c r="T547" s="299"/>
    </row>
    <row r="548" ht="15.75" customHeight="1">
      <c r="G548" s="298"/>
      <c r="H548" s="298"/>
      <c r="I548" s="299"/>
      <c r="J548" s="299"/>
      <c r="K548" s="299"/>
      <c r="L548" s="299"/>
      <c r="M548" s="299"/>
      <c r="N548" s="299"/>
      <c r="O548" s="299"/>
      <c r="P548" s="299"/>
      <c r="Q548" s="299"/>
      <c r="R548" s="299"/>
      <c r="S548" s="299"/>
      <c r="T548" s="299"/>
    </row>
    <row r="549" ht="15.75" customHeight="1">
      <c r="G549" s="298"/>
      <c r="H549" s="298"/>
      <c r="I549" s="299"/>
      <c r="J549" s="299"/>
      <c r="K549" s="299"/>
      <c r="L549" s="299"/>
      <c r="M549" s="299"/>
      <c r="N549" s="299"/>
      <c r="O549" s="299"/>
      <c r="P549" s="299"/>
      <c r="Q549" s="299"/>
      <c r="R549" s="299"/>
      <c r="S549" s="299"/>
      <c r="T549" s="299"/>
    </row>
    <row r="550" ht="15.75" customHeight="1">
      <c r="G550" s="298"/>
      <c r="H550" s="298"/>
      <c r="I550" s="299"/>
      <c r="J550" s="299"/>
      <c r="K550" s="299"/>
      <c r="L550" s="299"/>
      <c r="M550" s="299"/>
      <c r="N550" s="299"/>
      <c r="O550" s="299"/>
      <c r="P550" s="299"/>
      <c r="Q550" s="299"/>
      <c r="R550" s="299"/>
      <c r="S550" s="299"/>
      <c r="T550" s="299"/>
    </row>
    <row r="551" ht="15.75" customHeight="1">
      <c r="G551" s="298"/>
      <c r="H551" s="298"/>
      <c r="I551" s="299"/>
      <c r="J551" s="299"/>
      <c r="K551" s="299"/>
      <c r="L551" s="299"/>
      <c r="M551" s="299"/>
      <c r="N551" s="299"/>
      <c r="O551" s="299"/>
      <c r="P551" s="299"/>
      <c r="Q551" s="299"/>
      <c r="R551" s="299"/>
      <c r="S551" s="299"/>
      <c r="T551" s="299"/>
    </row>
    <row r="552" ht="15.75" customHeight="1">
      <c r="G552" s="298"/>
      <c r="H552" s="298"/>
      <c r="I552" s="299"/>
      <c r="J552" s="299"/>
      <c r="K552" s="299"/>
      <c r="L552" s="299"/>
      <c r="M552" s="299"/>
      <c r="N552" s="299"/>
      <c r="O552" s="299"/>
      <c r="P552" s="299"/>
      <c r="Q552" s="299"/>
      <c r="R552" s="299"/>
      <c r="S552" s="299"/>
      <c r="T552" s="299"/>
    </row>
    <row r="553" ht="15.75" customHeight="1">
      <c r="G553" s="298"/>
      <c r="H553" s="298"/>
      <c r="I553" s="299"/>
      <c r="J553" s="299"/>
      <c r="K553" s="299"/>
      <c r="L553" s="299"/>
      <c r="M553" s="299"/>
      <c r="N553" s="299"/>
      <c r="O553" s="299"/>
      <c r="P553" s="299"/>
      <c r="Q553" s="299"/>
      <c r="R553" s="299"/>
      <c r="S553" s="299"/>
      <c r="T553" s="299"/>
    </row>
    <row r="554" ht="15.75" customHeight="1">
      <c r="G554" s="298"/>
      <c r="H554" s="298"/>
      <c r="I554" s="299"/>
      <c r="J554" s="299"/>
      <c r="K554" s="299"/>
      <c r="L554" s="299"/>
      <c r="M554" s="299"/>
      <c r="N554" s="299"/>
      <c r="O554" s="299"/>
      <c r="P554" s="299"/>
      <c r="Q554" s="299"/>
      <c r="R554" s="299"/>
      <c r="S554" s="299"/>
      <c r="T554" s="299"/>
    </row>
    <row r="555" ht="15.75" customHeight="1">
      <c r="G555" s="298"/>
      <c r="H555" s="298"/>
      <c r="I555" s="299"/>
      <c r="J555" s="299"/>
      <c r="K555" s="299"/>
      <c r="L555" s="299"/>
      <c r="M555" s="299"/>
      <c r="N555" s="299"/>
      <c r="O555" s="299"/>
      <c r="P555" s="299"/>
      <c r="Q555" s="299"/>
      <c r="R555" s="299"/>
      <c r="S555" s="299"/>
      <c r="T555" s="299"/>
    </row>
    <row r="556" ht="15.75" customHeight="1">
      <c r="G556" s="298"/>
      <c r="H556" s="298"/>
      <c r="I556" s="299"/>
      <c r="J556" s="299"/>
      <c r="K556" s="299"/>
      <c r="L556" s="299"/>
      <c r="M556" s="299"/>
      <c r="N556" s="299"/>
      <c r="O556" s="299"/>
      <c r="P556" s="299"/>
      <c r="Q556" s="299"/>
      <c r="R556" s="299"/>
      <c r="S556" s="299"/>
      <c r="T556" s="299"/>
    </row>
    <row r="557" ht="15.75" customHeight="1">
      <c r="G557" s="298"/>
      <c r="H557" s="298"/>
      <c r="I557" s="299"/>
      <c r="J557" s="299"/>
      <c r="K557" s="299"/>
      <c r="L557" s="299"/>
      <c r="M557" s="299"/>
      <c r="N557" s="299"/>
      <c r="O557" s="299"/>
      <c r="P557" s="299"/>
      <c r="Q557" s="299"/>
      <c r="R557" s="299"/>
      <c r="S557" s="299"/>
      <c r="T557" s="299"/>
    </row>
    <row r="558" ht="15.75" customHeight="1">
      <c r="G558" s="298"/>
      <c r="H558" s="298"/>
      <c r="I558" s="299"/>
      <c r="J558" s="299"/>
      <c r="K558" s="299"/>
      <c r="L558" s="299"/>
      <c r="M558" s="299"/>
      <c r="N558" s="299"/>
      <c r="O558" s="299"/>
      <c r="P558" s="299"/>
      <c r="Q558" s="299"/>
      <c r="R558" s="299"/>
      <c r="S558" s="299"/>
      <c r="T558" s="299"/>
    </row>
    <row r="559" ht="15.75" customHeight="1">
      <c r="G559" s="298"/>
      <c r="H559" s="298"/>
      <c r="I559" s="299"/>
      <c r="J559" s="299"/>
      <c r="K559" s="299"/>
      <c r="L559" s="299"/>
      <c r="M559" s="299"/>
      <c r="N559" s="299"/>
      <c r="O559" s="299"/>
      <c r="P559" s="299"/>
      <c r="Q559" s="299"/>
      <c r="R559" s="299"/>
      <c r="S559" s="299"/>
      <c r="T559" s="299"/>
    </row>
    <row r="560" ht="15.75" customHeight="1">
      <c r="G560" s="298"/>
      <c r="H560" s="298"/>
      <c r="I560" s="299"/>
      <c r="J560" s="299"/>
      <c r="K560" s="299"/>
      <c r="L560" s="299"/>
      <c r="M560" s="299"/>
      <c r="N560" s="299"/>
      <c r="O560" s="299"/>
      <c r="P560" s="299"/>
      <c r="Q560" s="299"/>
      <c r="R560" s="299"/>
      <c r="S560" s="299"/>
      <c r="T560" s="299"/>
    </row>
    <row r="561" ht="15.75" customHeight="1">
      <c r="G561" s="298"/>
      <c r="H561" s="298"/>
      <c r="I561" s="299"/>
      <c r="J561" s="299"/>
      <c r="K561" s="299"/>
      <c r="L561" s="299"/>
      <c r="M561" s="299"/>
      <c r="N561" s="299"/>
      <c r="O561" s="299"/>
      <c r="P561" s="299"/>
      <c r="Q561" s="299"/>
      <c r="R561" s="299"/>
      <c r="S561" s="299"/>
      <c r="T561" s="299"/>
    </row>
    <row r="562" ht="15.75" customHeight="1">
      <c r="G562" s="298"/>
      <c r="H562" s="298"/>
      <c r="I562" s="299"/>
      <c r="J562" s="299"/>
      <c r="K562" s="299"/>
      <c r="L562" s="299"/>
      <c r="M562" s="299"/>
      <c r="N562" s="299"/>
      <c r="O562" s="299"/>
      <c r="P562" s="299"/>
      <c r="Q562" s="299"/>
      <c r="R562" s="299"/>
      <c r="S562" s="299"/>
      <c r="T562" s="299"/>
    </row>
    <row r="563" ht="15.75" customHeight="1">
      <c r="G563" s="298"/>
      <c r="H563" s="298"/>
      <c r="I563" s="299"/>
      <c r="J563" s="299"/>
      <c r="K563" s="299"/>
      <c r="L563" s="299"/>
      <c r="M563" s="299"/>
      <c r="N563" s="299"/>
      <c r="O563" s="299"/>
      <c r="P563" s="299"/>
      <c r="Q563" s="299"/>
      <c r="R563" s="299"/>
      <c r="S563" s="299"/>
      <c r="T563" s="299"/>
    </row>
    <row r="564" ht="15.75" customHeight="1">
      <c r="G564" s="298"/>
      <c r="H564" s="298"/>
      <c r="I564" s="299"/>
      <c r="J564" s="299"/>
      <c r="K564" s="299"/>
      <c r="L564" s="299"/>
      <c r="M564" s="299"/>
      <c r="N564" s="299"/>
      <c r="O564" s="299"/>
      <c r="P564" s="299"/>
      <c r="Q564" s="299"/>
      <c r="R564" s="299"/>
      <c r="S564" s="299"/>
      <c r="T564" s="299"/>
    </row>
    <row r="565" ht="15.75" customHeight="1">
      <c r="G565" s="298"/>
      <c r="H565" s="298"/>
      <c r="I565" s="299"/>
      <c r="J565" s="299"/>
      <c r="K565" s="299"/>
      <c r="L565" s="299"/>
      <c r="M565" s="299"/>
      <c r="N565" s="299"/>
      <c r="O565" s="299"/>
      <c r="P565" s="299"/>
      <c r="Q565" s="299"/>
      <c r="R565" s="299"/>
      <c r="S565" s="299"/>
      <c r="T565" s="299"/>
    </row>
    <row r="566" ht="15.75" customHeight="1">
      <c r="G566" s="298"/>
      <c r="H566" s="298"/>
      <c r="I566" s="299"/>
      <c r="J566" s="299"/>
      <c r="K566" s="299"/>
      <c r="L566" s="299"/>
      <c r="M566" s="299"/>
      <c r="N566" s="299"/>
      <c r="O566" s="299"/>
      <c r="P566" s="299"/>
      <c r="Q566" s="299"/>
      <c r="R566" s="299"/>
      <c r="S566" s="299"/>
      <c r="T566" s="299"/>
    </row>
    <row r="567" ht="15.75" customHeight="1">
      <c r="G567" s="298"/>
      <c r="H567" s="298"/>
      <c r="I567" s="299"/>
      <c r="J567" s="299"/>
      <c r="K567" s="299"/>
      <c r="L567" s="299"/>
      <c r="M567" s="299"/>
      <c r="N567" s="299"/>
      <c r="O567" s="299"/>
      <c r="P567" s="299"/>
      <c r="Q567" s="299"/>
      <c r="R567" s="299"/>
      <c r="S567" s="299"/>
      <c r="T567" s="299"/>
    </row>
    <row r="568" ht="15.75" customHeight="1">
      <c r="G568" s="298"/>
      <c r="H568" s="298"/>
      <c r="I568" s="299"/>
      <c r="J568" s="299"/>
      <c r="K568" s="299"/>
      <c r="L568" s="299"/>
      <c r="M568" s="299"/>
      <c r="N568" s="299"/>
      <c r="O568" s="299"/>
      <c r="P568" s="299"/>
      <c r="Q568" s="299"/>
      <c r="R568" s="299"/>
      <c r="S568" s="299"/>
      <c r="T568" s="299"/>
    </row>
    <row r="569" ht="15.75" customHeight="1">
      <c r="G569" s="298"/>
      <c r="H569" s="298"/>
      <c r="I569" s="299"/>
      <c r="J569" s="299"/>
      <c r="K569" s="299"/>
      <c r="L569" s="299"/>
      <c r="M569" s="299"/>
      <c r="N569" s="299"/>
      <c r="O569" s="299"/>
      <c r="P569" s="299"/>
      <c r="Q569" s="299"/>
      <c r="R569" s="299"/>
      <c r="S569" s="299"/>
      <c r="T569" s="299"/>
    </row>
    <row r="570" ht="15.75" customHeight="1">
      <c r="G570" s="298"/>
      <c r="H570" s="298"/>
      <c r="I570" s="299"/>
      <c r="J570" s="299"/>
      <c r="K570" s="299"/>
      <c r="L570" s="299"/>
      <c r="M570" s="299"/>
      <c r="N570" s="299"/>
      <c r="O570" s="299"/>
      <c r="P570" s="299"/>
      <c r="Q570" s="299"/>
      <c r="R570" s="299"/>
      <c r="S570" s="299"/>
      <c r="T570" s="299"/>
    </row>
    <row r="571" ht="15.75" customHeight="1">
      <c r="G571" s="298"/>
      <c r="H571" s="298"/>
      <c r="I571" s="299"/>
      <c r="J571" s="299"/>
      <c r="K571" s="299"/>
      <c r="L571" s="299"/>
      <c r="M571" s="299"/>
      <c r="N571" s="299"/>
      <c r="O571" s="299"/>
      <c r="P571" s="299"/>
      <c r="Q571" s="299"/>
      <c r="R571" s="299"/>
      <c r="S571" s="299"/>
      <c r="T571" s="299"/>
    </row>
    <row r="572" ht="15.75" customHeight="1">
      <c r="G572" s="298"/>
      <c r="H572" s="298"/>
      <c r="I572" s="299"/>
      <c r="J572" s="299"/>
      <c r="K572" s="299"/>
      <c r="L572" s="299"/>
      <c r="M572" s="299"/>
      <c r="N572" s="299"/>
      <c r="O572" s="299"/>
      <c r="P572" s="299"/>
      <c r="Q572" s="299"/>
      <c r="R572" s="299"/>
      <c r="S572" s="299"/>
      <c r="T572" s="299"/>
    </row>
    <row r="573" ht="15.75" customHeight="1">
      <c r="G573" s="298"/>
      <c r="H573" s="298"/>
      <c r="I573" s="299"/>
      <c r="J573" s="299"/>
      <c r="K573" s="299"/>
      <c r="L573" s="299"/>
      <c r="M573" s="299"/>
      <c r="N573" s="299"/>
      <c r="O573" s="299"/>
      <c r="P573" s="299"/>
      <c r="Q573" s="299"/>
      <c r="R573" s="299"/>
      <c r="S573" s="299"/>
      <c r="T573" s="299"/>
    </row>
    <row r="574" ht="15.75" customHeight="1">
      <c r="G574" s="298"/>
      <c r="H574" s="298"/>
      <c r="I574" s="299"/>
      <c r="J574" s="299"/>
      <c r="K574" s="299"/>
      <c r="L574" s="299"/>
      <c r="M574" s="299"/>
      <c r="N574" s="299"/>
      <c r="O574" s="299"/>
      <c r="P574" s="299"/>
      <c r="Q574" s="299"/>
      <c r="R574" s="299"/>
      <c r="S574" s="299"/>
      <c r="T574" s="299"/>
    </row>
    <row r="575" ht="15.75" customHeight="1">
      <c r="G575" s="298"/>
      <c r="H575" s="298"/>
      <c r="I575" s="299"/>
      <c r="J575" s="299"/>
      <c r="K575" s="299"/>
      <c r="L575" s="299"/>
      <c r="M575" s="299"/>
      <c r="N575" s="299"/>
      <c r="O575" s="299"/>
      <c r="P575" s="299"/>
      <c r="Q575" s="299"/>
      <c r="R575" s="299"/>
      <c r="S575" s="299"/>
      <c r="T575" s="299"/>
    </row>
    <row r="576" ht="15.75" customHeight="1">
      <c r="G576" s="298"/>
      <c r="H576" s="298"/>
      <c r="I576" s="299"/>
      <c r="J576" s="299"/>
      <c r="K576" s="299"/>
      <c r="L576" s="299"/>
      <c r="M576" s="299"/>
      <c r="N576" s="299"/>
      <c r="O576" s="299"/>
      <c r="P576" s="299"/>
      <c r="Q576" s="299"/>
      <c r="R576" s="299"/>
      <c r="S576" s="299"/>
      <c r="T576" s="299"/>
    </row>
    <row r="577" ht="15.75" customHeight="1">
      <c r="G577" s="298"/>
      <c r="H577" s="298"/>
      <c r="I577" s="299"/>
      <c r="J577" s="299"/>
      <c r="K577" s="299"/>
      <c r="L577" s="299"/>
      <c r="M577" s="299"/>
      <c r="N577" s="299"/>
      <c r="O577" s="299"/>
      <c r="P577" s="299"/>
      <c r="Q577" s="299"/>
      <c r="R577" s="299"/>
      <c r="S577" s="299"/>
      <c r="T577" s="299"/>
    </row>
    <row r="578" ht="15.75" customHeight="1">
      <c r="G578" s="298"/>
      <c r="H578" s="298"/>
      <c r="I578" s="299"/>
      <c r="J578" s="299"/>
      <c r="K578" s="299"/>
      <c r="L578" s="299"/>
      <c r="M578" s="299"/>
      <c r="N578" s="299"/>
      <c r="O578" s="299"/>
      <c r="P578" s="299"/>
      <c r="Q578" s="299"/>
      <c r="R578" s="299"/>
      <c r="S578" s="299"/>
      <c r="T578" s="299"/>
    </row>
    <row r="579" ht="15.75" customHeight="1">
      <c r="G579" s="298"/>
      <c r="H579" s="298"/>
      <c r="I579" s="299"/>
      <c r="J579" s="299"/>
      <c r="K579" s="299"/>
      <c r="L579" s="299"/>
      <c r="M579" s="299"/>
      <c r="N579" s="299"/>
      <c r="O579" s="299"/>
      <c r="P579" s="299"/>
      <c r="Q579" s="299"/>
      <c r="R579" s="299"/>
      <c r="S579" s="299"/>
      <c r="T579" s="299"/>
    </row>
    <row r="580" ht="15.75" customHeight="1">
      <c r="G580" s="298"/>
      <c r="H580" s="298"/>
      <c r="I580" s="299"/>
      <c r="J580" s="299"/>
      <c r="K580" s="299"/>
      <c r="L580" s="299"/>
      <c r="M580" s="299"/>
      <c r="N580" s="299"/>
      <c r="O580" s="299"/>
      <c r="P580" s="299"/>
      <c r="Q580" s="299"/>
      <c r="R580" s="299"/>
      <c r="S580" s="299"/>
      <c r="T580" s="299"/>
    </row>
    <row r="581" ht="15.75" customHeight="1">
      <c r="G581" s="298"/>
      <c r="H581" s="298"/>
      <c r="I581" s="299"/>
      <c r="J581" s="299"/>
      <c r="K581" s="299"/>
      <c r="L581" s="299"/>
      <c r="M581" s="299"/>
      <c r="N581" s="299"/>
      <c r="O581" s="299"/>
      <c r="P581" s="299"/>
      <c r="Q581" s="299"/>
      <c r="R581" s="299"/>
      <c r="S581" s="299"/>
      <c r="T581" s="299"/>
    </row>
    <row r="582" ht="15.75" customHeight="1">
      <c r="G582" s="298"/>
      <c r="H582" s="298"/>
      <c r="I582" s="299"/>
      <c r="J582" s="299"/>
      <c r="K582" s="299"/>
      <c r="L582" s="299"/>
      <c r="M582" s="299"/>
      <c r="N582" s="299"/>
      <c r="O582" s="299"/>
      <c r="P582" s="299"/>
      <c r="Q582" s="299"/>
      <c r="R582" s="299"/>
      <c r="S582" s="299"/>
      <c r="T582" s="299"/>
    </row>
    <row r="583" ht="15.75" customHeight="1">
      <c r="G583" s="298"/>
      <c r="H583" s="298"/>
      <c r="I583" s="299"/>
      <c r="J583" s="299"/>
      <c r="K583" s="299"/>
      <c r="L583" s="299"/>
      <c r="M583" s="299"/>
      <c r="N583" s="299"/>
      <c r="O583" s="299"/>
      <c r="P583" s="299"/>
      <c r="Q583" s="299"/>
      <c r="R583" s="299"/>
      <c r="S583" s="299"/>
      <c r="T583" s="299"/>
    </row>
    <row r="584" ht="15.75" customHeight="1">
      <c r="G584" s="298"/>
      <c r="H584" s="298"/>
      <c r="I584" s="299"/>
      <c r="J584" s="299"/>
      <c r="K584" s="299"/>
      <c r="L584" s="299"/>
      <c r="M584" s="299"/>
      <c r="N584" s="299"/>
      <c r="O584" s="299"/>
      <c r="P584" s="299"/>
      <c r="Q584" s="299"/>
      <c r="R584" s="299"/>
      <c r="S584" s="299"/>
      <c r="T584" s="299"/>
    </row>
    <row r="585" ht="15.75" customHeight="1">
      <c r="G585" s="298"/>
      <c r="H585" s="298"/>
      <c r="I585" s="299"/>
      <c r="J585" s="299"/>
      <c r="K585" s="299"/>
      <c r="L585" s="299"/>
      <c r="M585" s="299"/>
      <c r="N585" s="299"/>
      <c r="O585" s="299"/>
      <c r="P585" s="299"/>
      <c r="Q585" s="299"/>
      <c r="R585" s="299"/>
      <c r="S585" s="299"/>
      <c r="T585" s="299"/>
    </row>
    <row r="586" ht="15.75" customHeight="1">
      <c r="G586" s="298"/>
      <c r="H586" s="298"/>
      <c r="I586" s="299"/>
      <c r="J586" s="299"/>
      <c r="K586" s="299"/>
      <c r="L586" s="299"/>
      <c r="M586" s="299"/>
      <c r="N586" s="299"/>
      <c r="O586" s="299"/>
      <c r="P586" s="299"/>
      <c r="Q586" s="299"/>
      <c r="R586" s="299"/>
      <c r="S586" s="299"/>
      <c r="T586" s="299"/>
    </row>
    <row r="587" ht="15.75" customHeight="1">
      <c r="G587" s="298"/>
      <c r="H587" s="298"/>
      <c r="I587" s="299"/>
      <c r="J587" s="299"/>
      <c r="K587" s="299"/>
      <c r="L587" s="299"/>
      <c r="M587" s="299"/>
      <c r="N587" s="299"/>
      <c r="O587" s="299"/>
      <c r="P587" s="299"/>
      <c r="Q587" s="299"/>
      <c r="R587" s="299"/>
      <c r="S587" s="299"/>
      <c r="T587" s="299"/>
    </row>
    <row r="588" ht="15.75" customHeight="1">
      <c r="G588" s="298"/>
      <c r="H588" s="298"/>
      <c r="I588" s="299"/>
      <c r="J588" s="299"/>
      <c r="K588" s="299"/>
      <c r="L588" s="299"/>
      <c r="M588" s="299"/>
      <c r="N588" s="299"/>
      <c r="O588" s="299"/>
      <c r="P588" s="299"/>
      <c r="Q588" s="299"/>
      <c r="R588" s="299"/>
      <c r="S588" s="299"/>
      <c r="T588" s="299"/>
    </row>
    <row r="589" ht="15.75" customHeight="1">
      <c r="G589" s="298"/>
      <c r="H589" s="298"/>
      <c r="I589" s="299"/>
      <c r="J589" s="299"/>
      <c r="K589" s="299"/>
      <c r="L589" s="299"/>
      <c r="M589" s="299"/>
      <c r="N589" s="299"/>
      <c r="O589" s="299"/>
      <c r="P589" s="299"/>
      <c r="Q589" s="299"/>
      <c r="R589" s="299"/>
      <c r="S589" s="299"/>
      <c r="T589" s="299"/>
    </row>
    <row r="590" ht="15.75" customHeight="1">
      <c r="G590" s="298"/>
      <c r="H590" s="298"/>
      <c r="I590" s="299"/>
      <c r="J590" s="299"/>
      <c r="K590" s="299"/>
      <c r="L590" s="299"/>
      <c r="M590" s="299"/>
      <c r="N590" s="299"/>
      <c r="O590" s="299"/>
      <c r="P590" s="299"/>
      <c r="Q590" s="299"/>
      <c r="R590" s="299"/>
      <c r="S590" s="299"/>
      <c r="T590" s="299"/>
    </row>
    <row r="591" ht="15.75" customHeight="1">
      <c r="G591" s="298"/>
      <c r="H591" s="298"/>
      <c r="I591" s="299"/>
      <c r="J591" s="299"/>
      <c r="K591" s="299"/>
      <c r="L591" s="299"/>
      <c r="M591" s="299"/>
      <c r="N591" s="299"/>
      <c r="O591" s="299"/>
      <c r="P591" s="299"/>
      <c r="Q591" s="299"/>
      <c r="R591" s="299"/>
      <c r="S591" s="299"/>
      <c r="T591" s="299"/>
    </row>
    <row r="592" ht="15.75" customHeight="1">
      <c r="G592" s="298"/>
      <c r="H592" s="298"/>
      <c r="I592" s="299"/>
      <c r="J592" s="299"/>
      <c r="K592" s="299"/>
      <c r="L592" s="299"/>
      <c r="M592" s="299"/>
      <c r="N592" s="299"/>
      <c r="O592" s="299"/>
      <c r="P592" s="299"/>
      <c r="Q592" s="299"/>
      <c r="R592" s="299"/>
      <c r="S592" s="299"/>
      <c r="T592" s="299"/>
    </row>
    <row r="593" ht="15.75" customHeight="1">
      <c r="G593" s="298"/>
      <c r="H593" s="298"/>
      <c r="I593" s="299"/>
      <c r="J593" s="299"/>
      <c r="K593" s="299"/>
      <c r="L593" s="299"/>
      <c r="M593" s="299"/>
      <c r="N593" s="299"/>
      <c r="O593" s="299"/>
      <c r="P593" s="299"/>
      <c r="Q593" s="299"/>
      <c r="R593" s="299"/>
      <c r="S593" s="299"/>
      <c r="T593" s="299"/>
    </row>
    <row r="594" ht="15.75" customHeight="1">
      <c r="G594" s="298"/>
      <c r="H594" s="298"/>
      <c r="I594" s="299"/>
      <c r="J594" s="299"/>
      <c r="K594" s="299"/>
      <c r="L594" s="299"/>
      <c r="M594" s="299"/>
      <c r="N594" s="299"/>
      <c r="O594" s="299"/>
      <c r="P594" s="299"/>
      <c r="Q594" s="299"/>
      <c r="R594" s="299"/>
      <c r="S594" s="299"/>
      <c r="T594" s="299"/>
    </row>
    <row r="595" ht="15.75" customHeight="1">
      <c r="G595" s="298"/>
      <c r="H595" s="298"/>
      <c r="I595" s="299"/>
      <c r="J595" s="299"/>
      <c r="K595" s="299"/>
      <c r="L595" s="299"/>
      <c r="M595" s="299"/>
      <c r="N595" s="299"/>
      <c r="O595" s="299"/>
      <c r="P595" s="299"/>
      <c r="Q595" s="299"/>
      <c r="R595" s="299"/>
      <c r="S595" s="299"/>
      <c r="T595" s="299"/>
    </row>
    <row r="596" ht="15.75" customHeight="1">
      <c r="G596" s="298"/>
      <c r="H596" s="298"/>
      <c r="I596" s="299"/>
      <c r="J596" s="299"/>
      <c r="K596" s="299"/>
      <c r="L596" s="299"/>
      <c r="M596" s="299"/>
      <c r="N596" s="299"/>
      <c r="O596" s="299"/>
      <c r="P596" s="299"/>
      <c r="Q596" s="299"/>
      <c r="R596" s="299"/>
      <c r="S596" s="299"/>
      <c r="T596" s="299"/>
    </row>
    <row r="597" ht="15.75" customHeight="1">
      <c r="G597" s="298"/>
      <c r="H597" s="298"/>
      <c r="I597" s="299"/>
      <c r="J597" s="299"/>
      <c r="K597" s="299"/>
      <c r="L597" s="299"/>
      <c r="M597" s="299"/>
      <c r="N597" s="299"/>
      <c r="O597" s="299"/>
      <c r="P597" s="299"/>
      <c r="Q597" s="299"/>
      <c r="R597" s="299"/>
      <c r="S597" s="299"/>
      <c r="T597" s="299"/>
    </row>
    <row r="598" ht="15.75" customHeight="1">
      <c r="G598" s="298"/>
      <c r="H598" s="298"/>
      <c r="I598" s="299"/>
      <c r="J598" s="299"/>
      <c r="K598" s="299"/>
      <c r="L598" s="299"/>
      <c r="M598" s="299"/>
      <c r="N598" s="299"/>
      <c r="O598" s="299"/>
      <c r="P598" s="299"/>
      <c r="Q598" s="299"/>
      <c r="R598" s="299"/>
      <c r="S598" s="299"/>
      <c r="T598" s="299"/>
    </row>
    <row r="599" ht="15.75" customHeight="1">
      <c r="G599" s="298"/>
      <c r="H599" s="298"/>
      <c r="I599" s="299"/>
      <c r="J599" s="299"/>
      <c r="K599" s="299"/>
      <c r="L599" s="299"/>
      <c r="M599" s="299"/>
      <c r="N599" s="299"/>
      <c r="O599" s="299"/>
      <c r="P599" s="299"/>
      <c r="Q599" s="299"/>
      <c r="R599" s="299"/>
      <c r="S599" s="299"/>
      <c r="T599" s="299"/>
    </row>
    <row r="600" ht="15.75" customHeight="1">
      <c r="G600" s="298"/>
      <c r="H600" s="298"/>
      <c r="I600" s="299"/>
      <c r="J600" s="299"/>
      <c r="K600" s="299"/>
      <c r="L600" s="299"/>
      <c r="M600" s="299"/>
      <c r="N600" s="299"/>
      <c r="O600" s="299"/>
      <c r="P600" s="299"/>
      <c r="Q600" s="299"/>
      <c r="R600" s="299"/>
      <c r="S600" s="299"/>
      <c r="T600" s="299"/>
    </row>
    <row r="601" ht="15.75" customHeight="1">
      <c r="G601" s="298"/>
      <c r="H601" s="298"/>
      <c r="I601" s="299"/>
      <c r="J601" s="299"/>
      <c r="K601" s="299"/>
      <c r="L601" s="299"/>
      <c r="M601" s="299"/>
      <c r="N601" s="299"/>
      <c r="O601" s="299"/>
      <c r="P601" s="299"/>
      <c r="Q601" s="299"/>
      <c r="R601" s="299"/>
      <c r="S601" s="299"/>
      <c r="T601" s="299"/>
    </row>
    <row r="602" ht="15.75" customHeight="1">
      <c r="G602" s="298"/>
      <c r="H602" s="298"/>
      <c r="I602" s="299"/>
      <c r="J602" s="299"/>
      <c r="K602" s="299"/>
      <c r="L602" s="299"/>
      <c r="M602" s="299"/>
      <c r="N602" s="299"/>
      <c r="O602" s="299"/>
      <c r="P602" s="299"/>
      <c r="Q602" s="299"/>
      <c r="R602" s="299"/>
      <c r="S602" s="299"/>
      <c r="T602" s="299"/>
    </row>
    <row r="603" ht="15.75" customHeight="1">
      <c r="G603" s="298"/>
      <c r="H603" s="298"/>
      <c r="I603" s="299"/>
      <c r="J603" s="299"/>
      <c r="K603" s="299"/>
      <c r="L603" s="299"/>
      <c r="M603" s="299"/>
      <c r="N603" s="299"/>
      <c r="O603" s="299"/>
      <c r="P603" s="299"/>
      <c r="Q603" s="299"/>
      <c r="R603" s="299"/>
      <c r="S603" s="299"/>
      <c r="T603" s="299"/>
    </row>
    <row r="604" ht="15.75" customHeight="1">
      <c r="G604" s="298"/>
      <c r="H604" s="298"/>
      <c r="I604" s="299"/>
      <c r="J604" s="299"/>
      <c r="K604" s="299"/>
      <c r="L604" s="299"/>
      <c r="M604" s="299"/>
      <c r="N604" s="299"/>
      <c r="O604" s="299"/>
      <c r="P604" s="299"/>
      <c r="Q604" s="299"/>
      <c r="R604" s="299"/>
      <c r="S604" s="299"/>
      <c r="T604" s="299"/>
    </row>
    <row r="605" ht="15.75" customHeight="1">
      <c r="G605" s="298"/>
      <c r="H605" s="298"/>
      <c r="I605" s="299"/>
      <c r="J605" s="299"/>
      <c r="K605" s="299"/>
      <c r="L605" s="299"/>
      <c r="M605" s="299"/>
      <c r="N605" s="299"/>
      <c r="O605" s="299"/>
      <c r="P605" s="299"/>
      <c r="Q605" s="299"/>
      <c r="R605" s="299"/>
      <c r="S605" s="299"/>
      <c r="T605" s="299"/>
    </row>
    <row r="606" ht="15.75" customHeight="1">
      <c r="G606" s="298"/>
      <c r="H606" s="298"/>
      <c r="I606" s="299"/>
      <c r="J606" s="299"/>
      <c r="K606" s="299"/>
      <c r="L606" s="299"/>
      <c r="M606" s="299"/>
      <c r="N606" s="299"/>
      <c r="O606" s="299"/>
      <c r="P606" s="299"/>
      <c r="Q606" s="299"/>
      <c r="R606" s="299"/>
      <c r="S606" s="299"/>
      <c r="T606" s="299"/>
    </row>
    <row r="607" ht="15.75" customHeight="1">
      <c r="G607" s="298"/>
      <c r="H607" s="298"/>
      <c r="I607" s="299"/>
      <c r="J607" s="299"/>
      <c r="K607" s="299"/>
      <c r="L607" s="299"/>
      <c r="M607" s="299"/>
      <c r="N607" s="299"/>
      <c r="O607" s="299"/>
      <c r="P607" s="299"/>
      <c r="Q607" s="299"/>
      <c r="R607" s="299"/>
      <c r="S607" s="299"/>
      <c r="T607" s="299"/>
    </row>
    <row r="608" ht="15.75" customHeight="1">
      <c r="G608" s="298"/>
      <c r="H608" s="298"/>
      <c r="I608" s="299"/>
      <c r="J608" s="299"/>
      <c r="K608" s="299"/>
      <c r="L608" s="299"/>
      <c r="M608" s="299"/>
      <c r="N608" s="299"/>
      <c r="O608" s="299"/>
      <c r="P608" s="299"/>
      <c r="Q608" s="299"/>
      <c r="R608" s="299"/>
      <c r="S608" s="299"/>
      <c r="T608" s="299"/>
    </row>
    <row r="609" ht="15.75" customHeight="1">
      <c r="G609" s="298"/>
      <c r="H609" s="298"/>
      <c r="I609" s="299"/>
      <c r="J609" s="299"/>
      <c r="K609" s="299"/>
      <c r="L609" s="299"/>
      <c r="M609" s="299"/>
      <c r="N609" s="299"/>
      <c r="O609" s="299"/>
      <c r="P609" s="299"/>
      <c r="Q609" s="299"/>
      <c r="R609" s="299"/>
      <c r="S609" s="299"/>
      <c r="T609" s="299"/>
    </row>
    <row r="610" ht="15.75" customHeight="1">
      <c r="G610" s="298"/>
      <c r="H610" s="298"/>
      <c r="I610" s="299"/>
      <c r="J610" s="299"/>
      <c r="K610" s="299"/>
      <c r="L610" s="299"/>
      <c r="M610" s="299"/>
      <c r="N610" s="299"/>
      <c r="O610" s="299"/>
      <c r="P610" s="299"/>
      <c r="Q610" s="299"/>
      <c r="R610" s="299"/>
      <c r="S610" s="299"/>
      <c r="T610" s="299"/>
    </row>
    <row r="611" ht="15.75" customHeight="1">
      <c r="G611" s="298"/>
      <c r="H611" s="298"/>
      <c r="I611" s="299"/>
      <c r="J611" s="299"/>
      <c r="K611" s="299"/>
      <c r="L611" s="299"/>
      <c r="M611" s="299"/>
      <c r="N611" s="299"/>
      <c r="O611" s="299"/>
      <c r="P611" s="299"/>
      <c r="Q611" s="299"/>
      <c r="R611" s="299"/>
      <c r="S611" s="299"/>
      <c r="T611" s="299"/>
    </row>
    <row r="612" ht="15.75" customHeight="1">
      <c r="G612" s="298"/>
      <c r="H612" s="298"/>
      <c r="I612" s="299"/>
      <c r="J612" s="299"/>
      <c r="K612" s="299"/>
      <c r="L612" s="299"/>
      <c r="M612" s="299"/>
      <c r="N612" s="299"/>
      <c r="O612" s="299"/>
      <c r="P612" s="299"/>
      <c r="Q612" s="299"/>
      <c r="R612" s="299"/>
      <c r="S612" s="299"/>
      <c r="T612" s="299"/>
    </row>
    <row r="613" ht="15.75" customHeight="1">
      <c r="G613" s="298"/>
      <c r="H613" s="298"/>
      <c r="I613" s="299"/>
      <c r="J613" s="299"/>
      <c r="K613" s="299"/>
      <c r="L613" s="299"/>
      <c r="M613" s="299"/>
      <c r="N613" s="299"/>
      <c r="O613" s="299"/>
      <c r="P613" s="299"/>
      <c r="Q613" s="299"/>
      <c r="R613" s="299"/>
      <c r="S613" s="299"/>
      <c r="T613" s="299"/>
    </row>
    <row r="614" ht="15.75" customHeight="1">
      <c r="G614" s="298"/>
      <c r="H614" s="298"/>
      <c r="I614" s="299"/>
      <c r="J614" s="299"/>
      <c r="K614" s="299"/>
      <c r="L614" s="299"/>
      <c r="M614" s="299"/>
      <c r="N614" s="299"/>
      <c r="O614" s="299"/>
      <c r="P614" s="299"/>
      <c r="Q614" s="299"/>
      <c r="R614" s="299"/>
      <c r="S614" s="299"/>
      <c r="T614" s="299"/>
    </row>
    <row r="615" ht="15.75" customHeight="1">
      <c r="G615" s="298"/>
      <c r="H615" s="298"/>
      <c r="I615" s="299"/>
      <c r="J615" s="299"/>
      <c r="K615" s="299"/>
      <c r="L615" s="299"/>
      <c r="M615" s="299"/>
      <c r="N615" s="299"/>
      <c r="O615" s="299"/>
      <c r="P615" s="299"/>
      <c r="Q615" s="299"/>
      <c r="R615" s="299"/>
      <c r="S615" s="299"/>
      <c r="T615" s="299"/>
    </row>
    <row r="616" ht="15.75" customHeight="1">
      <c r="G616" s="298"/>
      <c r="H616" s="298"/>
      <c r="I616" s="299"/>
      <c r="J616" s="299"/>
      <c r="K616" s="299"/>
      <c r="L616" s="299"/>
      <c r="M616" s="299"/>
      <c r="N616" s="299"/>
      <c r="O616" s="299"/>
      <c r="P616" s="299"/>
      <c r="Q616" s="299"/>
      <c r="R616" s="299"/>
      <c r="S616" s="299"/>
      <c r="T616" s="299"/>
    </row>
    <row r="617" ht="15.75" customHeight="1">
      <c r="G617" s="298"/>
      <c r="H617" s="298"/>
      <c r="I617" s="299"/>
      <c r="J617" s="299"/>
      <c r="K617" s="299"/>
      <c r="L617" s="299"/>
      <c r="M617" s="299"/>
      <c r="N617" s="299"/>
      <c r="O617" s="299"/>
      <c r="P617" s="299"/>
      <c r="Q617" s="299"/>
      <c r="R617" s="299"/>
      <c r="S617" s="299"/>
      <c r="T617" s="299"/>
    </row>
    <row r="618" ht="15.75" customHeight="1">
      <c r="G618" s="298"/>
      <c r="H618" s="298"/>
      <c r="I618" s="299"/>
      <c r="J618" s="299"/>
      <c r="K618" s="299"/>
      <c r="L618" s="299"/>
      <c r="M618" s="299"/>
      <c r="N618" s="299"/>
      <c r="O618" s="299"/>
      <c r="P618" s="299"/>
      <c r="Q618" s="299"/>
      <c r="R618" s="299"/>
      <c r="S618" s="299"/>
      <c r="T618" s="299"/>
    </row>
    <row r="619" ht="15.75" customHeight="1">
      <c r="G619" s="298"/>
      <c r="H619" s="298"/>
      <c r="I619" s="299"/>
      <c r="J619" s="299"/>
      <c r="K619" s="299"/>
      <c r="L619" s="299"/>
      <c r="M619" s="299"/>
      <c r="N619" s="299"/>
      <c r="O619" s="299"/>
      <c r="P619" s="299"/>
      <c r="Q619" s="299"/>
      <c r="R619" s="299"/>
      <c r="S619" s="299"/>
      <c r="T619" s="299"/>
    </row>
    <row r="620" ht="15.75" customHeight="1">
      <c r="G620" s="298"/>
      <c r="H620" s="298"/>
      <c r="I620" s="299"/>
      <c r="J620" s="299"/>
      <c r="K620" s="299"/>
      <c r="L620" s="299"/>
      <c r="M620" s="299"/>
      <c r="N620" s="299"/>
      <c r="O620" s="299"/>
      <c r="P620" s="299"/>
      <c r="Q620" s="299"/>
      <c r="R620" s="299"/>
      <c r="S620" s="299"/>
      <c r="T620" s="299"/>
    </row>
    <row r="621" ht="15.75" customHeight="1">
      <c r="G621" s="298"/>
      <c r="H621" s="298"/>
      <c r="I621" s="299"/>
      <c r="J621" s="299"/>
      <c r="K621" s="299"/>
      <c r="L621" s="299"/>
      <c r="M621" s="299"/>
      <c r="N621" s="299"/>
      <c r="O621" s="299"/>
      <c r="P621" s="299"/>
      <c r="Q621" s="299"/>
      <c r="R621" s="299"/>
      <c r="S621" s="299"/>
      <c r="T621" s="299"/>
    </row>
    <row r="622" ht="15.75" customHeight="1">
      <c r="G622" s="298"/>
      <c r="H622" s="298"/>
      <c r="I622" s="299"/>
      <c r="J622" s="299"/>
      <c r="K622" s="299"/>
      <c r="L622" s="299"/>
      <c r="M622" s="299"/>
      <c r="N622" s="299"/>
      <c r="O622" s="299"/>
      <c r="P622" s="299"/>
      <c r="Q622" s="299"/>
      <c r="R622" s="299"/>
      <c r="S622" s="299"/>
      <c r="T622" s="299"/>
    </row>
    <row r="623" ht="15.75" customHeight="1">
      <c r="G623" s="298"/>
      <c r="H623" s="298"/>
      <c r="I623" s="299"/>
      <c r="J623" s="299"/>
      <c r="K623" s="299"/>
      <c r="L623" s="299"/>
      <c r="M623" s="299"/>
      <c r="N623" s="299"/>
      <c r="O623" s="299"/>
      <c r="P623" s="299"/>
      <c r="Q623" s="299"/>
      <c r="R623" s="299"/>
      <c r="S623" s="299"/>
      <c r="T623" s="299"/>
    </row>
    <row r="624" ht="15.75" customHeight="1">
      <c r="G624" s="298"/>
      <c r="H624" s="298"/>
      <c r="I624" s="299"/>
      <c r="J624" s="299"/>
      <c r="K624" s="299"/>
      <c r="L624" s="299"/>
      <c r="M624" s="299"/>
      <c r="N624" s="299"/>
      <c r="O624" s="299"/>
      <c r="P624" s="299"/>
      <c r="Q624" s="299"/>
      <c r="R624" s="299"/>
      <c r="S624" s="299"/>
      <c r="T624" s="299"/>
    </row>
    <row r="625" ht="15.75" customHeight="1">
      <c r="G625" s="298"/>
      <c r="H625" s="298"/>
      <c r="I625" s="299"/>
      <c r="J625" s="299"/>
      <c r="K625" s="299"/>
      <c r="L625" s="299"/>
      <c r="M625" s="299"/>
      <c r="N625" s="299"/>
      <c r="O625" s="299"/>
      <c r="P625" s="299"/>
      <c r="Q625" s="299"/>
      <c r="R625" s="299"/>
      <c r="S625" s="299"/>
      <c r="T625" s="299"/>
    </row>
    <row r="626" ht="15.75" customHeight="1">
      <c r="G626" s="298"/>
      <c r="H626" s="298"/>
      <c r="I626" s="299"/>
      <c r="J626" s="299"/>
      <c r="K626" s="299"/>
      <c r="L626" s="299"/>
      <c r="M626" s="299"/>
      <c r="N626" s="299"/>
      <c r="O626" s="299"/>
      <c r="P626" s="299"/>
      <c r="Q626" s="299"/>
      <c r="R626" s="299"/>
      <c r="S626" s="299"/>
      <c r="T626" s="299"/>
    </row>
    <row r="627" ht="15.75" customHeight="1">
      <c r="G627" s="298"/>
      <c r="H627" s="298"/>
      <c r="I627" s="299"/>
      <c r="J627" s="299"/>
      <c r="K627" s="299"/>
      <c r="L627" s="299"/>
      <c r="M627" s="299"/>
      <c r="N627" s="299"/>
      <c r="O627" s="299"/>
      <c r="P627" s="299"/>
      <c r="Q627" s="299"/>
      <c r="R627" s="299"/>
      <c r="S627" s="299"/>
      <c r="T627" s="299"/>
    </row>
    <row r="628" ht="15.75" customHeight="1">
      <c r="G628" s="298"/>
      <c r="H628" s="298"/>
      <c r="I628" s="299"/>
      <c r="J628" s="299"/>
      <c r="K628" s="299"/>
      <c r="L628" s="299"/>
      <c r="M628" s="299"/>
      <c r="N628" s="299"/>
      <c r="O628" s="299"/>
      <c r="P628" s="299"/>
      <c r="Q628" s="299"/>
      <c r="R628" s="299"/>
      <c r="S628" s="299"/>
      <c r="T628" s="299"/>
    </row>
    <row r="629" ht="15.75" customHeight="1">
      <c r="G629" s="298"/>
      <c r="H629" s="298"/>
      <c r="I629" s="299"/>
      <c r="J629" s="299"/>
      <c r="K629" s="299"/>
      <c r="L629" s="299"/>
      <c r="M629" s="299"/>
      <c r="N629" s="299"/>
      <c r="O629" s="299"/>
      <c r="P629" s="299"/>
      <c r="Q629" s="299"/>
      <c r="R629" s="299"/>
      <c r="S629" s="299"/>
      <c r="T629" s="299"/>
    </row>
    <row r="630" ht="15.75" customHeight="1">
      <c r="G630" s="298"/>
      <c r="H630" s="298"/>
      <c r="I630" s="299"/>
      <c r="J630" s="299"/>
      <c r="K630" s="299"/>
      <c r="L630" s="299"/>
      <c r="M630" s="299"/>
      <c r="N630" s="299"/>
      <c r="O630" s="299"/>
      <c r="P630" s="299"/>
      <c r="Q630" s="299"/>
      <c r="R630" s="299"/>
      <c r="S630" s="299"/>
      <c r="T630" s="299"/>
    </row>
    <row r="631" ht="15.75" customHeight="1">
      <c r="G631" s="298"/>
      <c r="H631" s="298"/>
      <c r="I631" s="299"/>
      <c r="J631" s="299"/>
      <c r="K631" s="299"/>
      <c r="L631" s="299"/>
      <c r="M631" s="299"/>
      <c r="N631" s="299"/>
      <c r="O631" s="299"/>
      <c r="P631" s="299"/>
      <c r="Q631" s="299"/>
      <c r="R631" s="299"/>
      <c r="S631" s="299"/>
      <c r="T631" s="299"/>
    </row>
    <row r="632" ht="15.75" customHeight="1">
      <c r="G632" s="298"/>
      <c r="H632" s="298"/>
      <c r="I632" s="299"/>
      <c r="J632" s="299"/>
      <c r="K632" s="299"/>
      <c r="L632" s="299"/>
      <c r="M632" s="299"/>
      <c r="N632" s="299"/>
      <c r="O632" s="299"/>
      <c r="P632" s="299"/>
      <c r="Q632" s="299"/>
      <c r="R632" s="299"/>
      <c r="S632" s="299"/>
      <c r="T632" s="299"/>
    </row>
    <row r="633" ht="15.75" customHeight="1">
      <c r="G633" s="298"/>
      <c r="H633" s="298"/>
      <c r="I633" s="299"/>
      <c r="J633" s="299"/>
      <c r="K633" s="299"/>
      <c r="L633" s="299"/>
      <c r="M633" s="299"/>
      <c r="N633" s="299"/>
      <c r="O633" s="299"/>
      <c r="P633" s="299"/>
      <c r="Q633" s="299"/>
      <c r="R633" s="299"/>
      <c r="S633" s="299"/>
      <c r="T633" s="299"/>
    </row>
    <row r="634" ht="15.75" customHeight="1">
      <c r="G634" s="298"/>
      <c r="H634" s="298"/>
      <c r="I634" s="299"/>
      <c r="J634" s="299"/>
      <c r="K634" s="299"/>
      <c r="L634" s="299"/>
      <c r="M634" s="299"/>
      <c r="N634" s="299"/>
      <c r="O634" s="299"/>
      <c r="P634" s="299"/>
      <c r="Q634" s="299"/>
      <c r="R634" s="299"/>
      <c r="S634" s="299"/>
      <c r="T634" s="299"/>
    </row>
    <row r="635" ht="15.75" customHeight="1">
      <c r="G635" s="298"/>
      <c r="H635" s="298"/>
      <c r="I635" s="299"/>
      <c r="J635" s="299"/>
      <c r="K635" s="299"/>
      <c r="L635" s="299"/>
      <c r="M635" s="299"/>
      <c r="N635" s="299"/>
      <c r="O635" s="299"/>
      <c r="P635" s="299"/>
      <c r="Q635" s="299"/>
      <c r="R635" s="299"/>
      <c r="S635" s="299"/>
      <c r="T635" s="299"/>
    </row>
    <row r="636" ht="15.75" customHeight="1">
      <c r="G636" s="298"/>
      <c r="H636" s="298"/>
      <c r="I636" s="299"/>
      <c r="J636" s="299"/>
      <c r="K636" s="299"/>
      <c r="L636" s="299"/>
      <c r="M636" s="299"/>
      <c r="N636" s="299"/>
      <c r="O636" s="299"/>
      <c r="P636" s="299"/>
      <c r="Q636" s="299"/>
      <c r="R636" s="299"/>
      <c r="S636" s="299"/>
      <c r="T636" s="299"/>
    </row>
    <row r="637" ht="15.75" customHeight="1">
      <c r="G637" s="298"/>
      <c r="H637" s="298"/>
      <c r="I637" s="299"/>
      <c r="J637" s="299"/>
      <c r="K637" s="299"/>
      <c r="L637" s="299"/>
      <c r="M637" s="299"/>
      <c r="N637" s="299"/>
      <c r="O637" s="299"/>
      <c r="P637" s="299"/>
      <c r="Q637" s="299"/>
      <c r="R637" s="299"/>
      <c r="S637" s="299"/>
      <c r="T637" s="299"/>
    </row>
    <row r="638" ht="15.75" customHeight="1">
      <c r="G638" s="298"/>
      <c r="H638" s="298"/>
      <c r="I638" s="299"/>
      <c r="J638" s="299"/>
      <c r="K638" s="299"/>
      <c r="L638" s="299"/>
      <c r="M638" s="299"/>
      <c r="N638" s="299"/>
      <c r="O638" s="299"/>
      <c r="P638" s="299"/>
      <c r="Q638" s="299"/>
      <c r="R638" s="299"/>
      <c r="S638" s="299"/>
      <c r="T638" s="299"/>
    </row>
    <row r="639" ht="15.75" customHeight="1">
      <c r="G639" s="298"/>
      <c r="H639" s="298"/>
      <c r="I639" s="299"/>
      <c r="J639" s="299"/>
      <c r="K639" s="299"/>
      <c r="L639" s="299"/>
      <c r="M639" s="299"/>
      <c r="N639" s="299"/>
      <c r="O639" s="299"/>
      <c r="P639" s="299"/>
      <c r="Q639" s="299"/>
      <c r="R639" s="299"/>
      <c r="S639" s="299"/>
      <c r="T639" s="299"/>
    </row>
    <row r="640" ht="15.75" customHeight="1">
      <c r="G640" s="298"/>
      <c r="H640" s="298"/>
      <c r="I640" s="299"/>
      <c r="J640" s="299"/>
      <c r="K640" s="299"/>
      <c r="L640" s="299"/>
      <c r="M640" s="299"/>
      <c r="N640" s="299"/>
      <c r="O640" s="299"/>
      <c r="P640" s="299"/>
      <c r="Q640" s="299"/>
      <c r="R640" s="299"/>
      <c r="S640" s="299"/>
      <c r="T640" s="299"/>
    </row>
    <row r="641" ht="15.75" customHeight="1">
      <c r="G641" s="298"/>
      <c r="H641" s="298"/>
      <c r="I641" s="299"/>
      <c r="J641" s="299"/>
      <c r="K641" s="299"/>
      <c r="L641" s="299"/>
      <c r="M641" s="299"/>
      <c r="N641" s="299"/>
      <c r="O641" s="299"/>
      <c r="P641" s="299"/>
      <c r="Q641" s="299"/>
      <c r="R641" s="299"/>
      <c r="S641" s="299"/>
      <c r="T641" s="299"/>
    </row>
    <row r="642" ht="15.75" customHeight="1">
      <c r="G642" s="298"/>
      <c r="H642" s="298"/>
      <c r="I642" s="299"/>
      <c r="J642" s="299"/>
      <c r="K642" s="299"/>
      <c r="L642" s="299"/>
      <c r="M642" s="299"/>
      <c r="N642" s="299"/>
      <c r="O642" s="299"/>
      <c r="P642" s="299"/>
      <c r="Q642" s="299"/>
      <c r="R642" s="299"/>
      <c r="S642" s="299"/>
      <c r="T642" s="299"/>
    </row>
    <row r="643" ht="15.75" customHeight="1">
      <c r="G643" s="298"/>
      <c r="H643" s="298"/>
      <c r="I643" s="299"/>
      <c r="J643" s="299"/>
      <c r="K643" s="299"/>
      <c r="L643" s="299"/>
      <c r="M643" s="299"/>
      <c r="N643" s="299"/>
      <c r="O643" s="299"/>
      <c r="P643" s="299"/>
      <c r="Q643" s="299"/>
      <c r="R643" s="299"/>
      <c r="S643" s="299"/>
      <c r="T643" s="299"/>
    </row>
    <row r="644" ht="15.75" customHeight="1">
      <c r="G644" s="298"/>
      <c r="H644" s="298"/>
      <c r="I644" s="299"/>
      <c r="J644" s="299"/>
      <c r="K644" s="299"/>
      <c r="L644" s="299"/>
      <c r="M644" s="299"/>
      <c r="N644" s="299"/>
      <c r="O644" s="299"/>
      <c r="P644" s="299"/>
      <c r="Q644" s="299"/>
      <c r="R644" s="299"/>
      <c r="S644" s="299"/>
      <c r="T644" s="299"/>
    </row>
    <row r="645" ht="15.75" customHeight="1">
      <c r="G645" s="298"/>
      <c r="H645" s="298"/>
      <c r="I645" s="299"/>
      <c r="J645" s="299"/>
      <c r="K645" s="299"/>
      <c r="L645" s="299"/>
      <c r="M645" s="299"/>
      <c r="N645" s="299"/>
      <c r="O645" s="299"/>
      <c r="P645" s="299"/>
      <c r="Q645" s="299"/>
      <c r="R645" s="299"/>
      <c r="S645" s="299"/>
      <c r="T645" s="299"/>
    </row>
    <row r="646" ht="15.75" customHeight="1">
      <c r="G646" s="298"/>
      <c r="H646" s="298"/>
      <c r="I646" s="299"/>
      <c r="J646" s="299"/>
      <c r="K646" s="299"/>
      <c r="L646" s="299"/>
      <c r="M646" s="299"/>
      <c r="N646" s="299"/>
      <c r="O646" s="299"/>
      <c r="P646" s="299"/>
      <c r="Q646" s="299"/>
      <c r="R646" s="299"/>
      <c r="S646" s="299"/>
      <c r="T646" s="299"/>
    </row>
    <row r="647" ht="15.75" customHeight="1">
      <c r="G647" s="298"/>
      <c r="H647" s="298"/>
      <c r="I647" s="299"/>
      <c r="J647" s="299"/>
      <c r="K647" s="299"/>
      <c r="L647" s="299"/>
      <c r="M647" s="299"/>
      <c r="N647" s="299"/>
      <c r="O647" s="299"/>
      <c r="P647" s="299"/>
      <c r="Q647" s="299"/>
      <c r="R647" s="299"/>
      <c r="S647" s="299"/>
      <c r="T647" s="299"/>
    </row>
    <row r="648" ht="15.75" customHeight="1">
      <c r="G648" s="298"/>
      <c r="H648" s="298"/>
      <c r="I648" s="299"/>
      <c r="J648" s="299"/>
      <c r="K648" s="299"/>
      <c r="L648" s="299"/>
      <c r="M648" s="299"/>
      <c r="N648" s="299"/>
      <c r="O648" s="299"/>
      <c r="P648" s="299"/>
      <c r="Q648" s="299"/>
      <c r="R648" s="299"/>
      <c r="S648" s="299"/>
      <c r="T648" s="299"/>
    </row>
    <row r="649" ht="15.75" customHeight="1">
      <c r="G649" s="298"/>
      <c r="H649" s="298"/>
      <c r="I649" s="299"/>
      <c r="J649" s="299"/>
      <c r="K649" s="299"/>
      <c r="L649" s="299"/>
      <c r="M649" s="299"/>
      <c r="N649" s="299"/>
      <c r="O649" s="299"/>
      <c r="P649" s="299"/>
      <c r="Q649" s="299"/>
      <c r="R649" s="299"/>
      <c r="S649" s="299"/>
      <c r="T649" s="299"/>
    </row>
    <row r="650" ht="15.75" customHeight="1">
      <c r="G650" s="298"/>
      <c r="H650" s="298"/>
      <c r="I650" s="299"/>
      <c r="J650" s="299"/>
      <c r="K650" s="299"/>
      <c r="L650" s="299"/>
      <c r="M650" s="299"/>
      <c r="N650" s="299"/>
      <c r="O650" s="299"/>
      <c r="P650" s="299"/>
      <c r="Q650" s="299"/>
      <c r="R650" s="299"/>
      <c r="S650" s="299"/>
      <c r="T650" s="299"/>
    </row>
    <row r="651" ht="15.75" customHeight="1">
      <c r="G651" s="298"/>
      <c r="H651" s="298"/>
      <c r="I651" s="299"/>
      <c r="J651" s="299"/>
      <c r="K651" s="299"/>
      <c r="L651" s="299"/>
      <c r="M651" s="299"/>
      <c r="N651" s="299"/>
      <c r="O651" s="299"/>
      <c r="P651" s="299"/>
      <c r="Q651" s="299"/>
      <c r="R651" s="299"/>
      <c r="S651" s="299"/>
      <c r="T651" s="299"/>
    </row>
    <row r="652" ht="15.75" customHeight="1">
      <c r="G652" s="298"/>
      <c r="H652" s="298"/>
      <c r="I652" s="299"/>
      <c r="J652" s="299"/>
      <c r="K652" s="299"/>
      <c r="L652" s="299"/>
      <c r="M652" s="299"/>
      <c r="N652" s="299"/>
      <c r="O652" s="299"/>
      <c r="P652" s="299"/>
      <c r="Q652" s="299"/>
      <c r="R652" s="299"/>
      <c r="S652" s="299"/>
      <c r="T652" s="299"/>
    </row>
    <row r="653" ht="15.75" customHeight="1">
      <c r="G653" s="298"/>
      <c r="H653" s="298"/>
      <c r="I653" s="299"/>
      <c r="J653" s="299"/>
      <c r="K653" s="299"/>
      <c r="L653" s="299"/>
      <c r="M653" s="299"/>
      <c r="N653" s="299"/>
      <c r="O653" s="299"/>
      <c r="P653" s="299"/>
      <c r="Q653" s="299"/>
      <c r="R653" s="299"/>
      <c r="S653" s="299"/>
      <c r="T653" s="299"/>
    </row>
    <row r="654" ht="15.75" customHeight="1">
      <c r="G654" s="298"/>
      <c r="H654" s="298"/>
      <c r="I654" s="299"/>
      <c r="J654" s="299"/>
      <c r="K654" s="299"/>
      <c r="L654" s="299"/>
      <c r="M654" s="299"/>
      <c r="N654" s="299"/>
      <c r="O654" s="299"/>
      <c r="P654" s="299"/>
      <c r="Q654" s="299"/>
      <c r="R654" s="299"/>
      <c r="S654" s="299"/>
      <c r="T654" s="299"/>
    </row>
    <row r="655" ht="15.75" customHeight="1">
      <c r="G655" s="298"/>
      <c r="H655" s="298"/>
      <c r="I655" s="299"/>
      <c r="J655" s="299"/>
      <c r="K655" s="299"/>
      <c r="L655" s="299"/>
      <c r="M655" s="299"/>
      <c r="N655" s="299"/>
      <c r="O655" s="299"/>
      <c r="P655" s="299"/>
      <c r="Q655" s="299"/>
      <c r="R655" s="299"/>
      <c r="S655" s="299"/>
      <c r="T655" s="299"/>
    </row>
    <row r="656" ht="15.75" customHeight="1">
      <c r="G656" s="298"/>
      <c r="H656" s="298"/>
      <c r="I656" s="299"/>
      <c r="J656" s="299"/>
      <c r="K656" s="299"/>
      <c r="L656" s="299"/>
      <c r="M656" s="299"/>
      <c r="N656" s="299"/>
      <c r="O656" s="299"/>
      <c r="P656" s="299"/>
      <c r="Q656" s="299"/>
      <c r="R656" s="299"/>
      <c r="S656" s="299"/>
      <c r="T656" s="299"/>
    </row>
    <row r="657" ht="15.75" customHeight="1">
      <c r="G657" s="298"/>
      <c r="H657" s="298"/>
      <c r="I657" s="299"/>
      <c r="J657" s="299"/>
      <c r="K657" s="299"/>
      <c r="L657" s="299"/>
      <c r="M657" s="299"/>
      <c r="N657" s="299"/>
      <c r="O657" s="299"/>
      <c r="P657" s="299"/>
      <c r="Q657" s="299"/>
      <c r="R657" s="299"/>
      <c r="S657" s="299"/>
      <c r="T657" s="299"/>
    </row>
    <row r="658" ht="15.75" customHeight="1">
      <c r="G658" s="298"/>
      <c r="H658" s="298"/>
      <c r="I658" s="299"/>
      <c r="J658" s="299"/>
      <c r="K658" s="299"/>
      <c r="L658" s="299"/>
      <c r="M658" s="299"/>
      <c r="N658" s="299"/>
      <c r="O658" s="299"/>
      <c r="P658" s="299"/>
      <c r="Q658" s="299"/>
      <c r="R658" s="299"/>
      <c r="S658" s="299"/>
      <c r="T658" s="299"/>
    </row>
    <row r="659" ht="15.75" customHeight="1">
      <c r="G659" s="298"/>
      <c r="H659" s="298"/>
      <c r="I659" s="299"/>
      <c r="J659" s="299"/>
      <c r="K659" s="299"/>
      <c r="L659" s="299"/>
      <c r="M659" s="299"/>
      <c r="N659" s="299"/>
      <c r="O659" s="299"/>
      <c r="P659" s="299"/>
      <c r="Q659" s="299"/>
      <c r="R659" s="299"/>
      <c r="S659" s="299"/>
      <c r="T659" s="299"/>
    </row>
    <row r="660" ht="15.75" customHeight="1">
      <c r="G660" s="298"/>
      <c r="H660" s="298"/>
      <c r="I660" s="299"/>
      <c r="J660" s="299"/>
      <c r="K660" s="299"/>
      <c r="L660" s="299"/>
      <c r="M660" s="299"/>
      <c r="N660" s="299"/>
      <c r="O660" s="299"/>
      <c r="P660" s="299"/>
      <c r="Q660" s="299"/>
      <c r="R660" s="299"/>
      <c r="S660" s="299"/>
      <c r="T660" s="299"/>
    </row>
    <row r="661" ht="15.75" customHeight="1">
      <c r="G661" s="298"/>
      <c r="H661" s="298"/>
      <c r="I661" s="299"/>
      <c r="J661" s="299"/>
      <c r="K661" s="299"/>
      <c r="L661" s="299"/>
      <c r="M661" s="299"/>
      <c r="N661" s="299"/>
      <c r="O661" s="299"/>
      <c r="P661" s="299"/>
      <c r="Q661" s="299"/>
      <c r="R661" s="299"/>
      <c r="S661" s="299"/>
      <c r="T661" s="299"/>
    </row>
    <row r="662" ht="15.75" customHeight="1">
      <c r="G662" s="298"/>
      <c r="H662" s="298"/>
      <c r="I662" s="299"/>
      <c r="J662" s="299"/>
      <c r="K662" s="299"/>
      <c r="L662" s="299"/>
      <c r="M662" s="299"/>
      <c r="N662" s="299"/>
      <c r="O662" s="299"/>
      <c r="P662" s="299"/>
      <c r="Q662" s="299"/>
      <c r="R662" s="299"/>
      <c r="S662" s="299"/>
      <c r="T662" s="299"/>
    </row>
    <row r="663" ht="15.75" customHeight="1">
      <c r="G663" s="298"/>
      <c r="H663" s="298"/>
      <c r="I663" s="299"/>
      <c r="J663" s="299"/>
      <c r="K663" s="299"/>
      <c r="L663" s="299"/>
      <c r="M663" s="299"/>
      <c r="N663" s="299"/>
      <c r="O663" s="299"/>
      <c r="P663" s="299"/>
      <c r="Q663" s="299"/>
      <c r="R663" s="299"/>
      <c r="S663" s="299"/>
      <c r="T663" s="299"/>
    </row>
    <row r="664" ht="15.75" customHeight="1">
      <c r="G664" s="298"/>
      <c r="H664" s="298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</row>
    <row r="665" ht="15.75" customHeight="1">
      <c r="G665" s="298"/>
      <c r="H665" s="298"/>
      <c r="I665" s="299"/>
      <c r="J665" s="299"/>
      <c r="K665" s="299"/>
      <c r="L665" s="299"/>
      <c r="M665" s="299"/>
      <c r="N665" s="299"/>
      <c r="O665" s="299"/>
      <c r="P665" s="299"/>
      <c r="Q665" s="299"/>
      <c r="R665" s="299"/>
      <c r="S665" s="299"/>
      <c r="T665" s="299"/>
    </row>
    <row r="666" ht="15.75" customHeight="1">
      <c r="G666" s="298"/>
      <c r="H666" s="298"/>
      <c r="I666" s="299"/>
      <c r="J666" s="299"/>
      <c r="K666" s="299"/>
      <c r="L666" s="299"/>
      <c r="M666" s="299"/>
      <c r="N666" s="299"/>
      <c r="O666" s="299"/>
      <c r="P666" s="299"/>
      <c r="Q666" s="299"/>
      <c r="R666" s="299"/>
      <c r="S666" s="299"/>
      <c r="T666" s="299"/>
    </row>
    <row r="667" ht="15.75" customHeight="1">
      <c r="G667" s="298"/>
      <c r="H667" s="298"/>
      <c r="I667" s="299"/>
      <c r="J667" s="299"/>
      <c r="K667" s="299"/>
      <c r="L667" s="299"/>
      <c r="M667" s="299"/>
      <c r="N667" s="299"/>
      <c r="O667" s="299"/>
      <c r="P667" s="299"/>
      <c r="Q667" s="299"/>
      <c r="R667" s="299"/>
      <c r="S667" s="299"/>
      <c r="T667" s="299"/>
    </row>
    <row r="668" ht="15.75" customHeight="1">
      <c r="G668" s="298"/>
      <c r="H668" s="298"/>
      <c r="I668" s="299"/>
      <c r="J668" s="299"/>
      <c r="K668" s="299"/>
      <c r="L668" s="299"/>
      <c r="M668" s="299"/>
      <c r="N668" s="299"/>
      <c r="O668" s="299"/>
      <c r="P668" s="299"/>
      <c r="Q668" s="299"/>
      <c r="R668" s="299"/>
      <c r="S668" s="299"/>
      <c r="T668" s="299"/>
    </row>
    <row r="669" ht="15.75" customHeight="1">
      <c r="G669" s="298"/>
      <c r="H669" s="298"/>
      <c r="I669" s="299"/>
      <c r="J669" s="299"/>
      <c r="K669" s="299"/>
      <c r="L669" s="299"/>
      <c r="M669" s="299"/>
      <c r="N669" s="299"/>
      <c r="O669" s="299"/>
      <c r="P669" s="299"/>
      <c r="Q669" s="299"/>
      <c r="R669" s="299"/>
      <c r="S669" s="299"/>
      <c r="T669" s="299"/>
    </row>
    <row r="670" ht="15.75" customHeight="1">
      <c r="G670" s="298"/>
      <c r="H670" s="298"/>
      <c r="I670" s="299"/>
      <c r="J670" s="299"/>
      <c r="K670" s="299"/>
      <c r="L670" s="299"/>
      <c r="M670" s="299"/>
      <c r="N670" s="299"/>
      <c r="O670" s="299"/>
      <c r="P670" s="299"/>
      <c r="Q670" s="299"/>
      <c r="R670" s="299"/>
      <c r="S670" s="299"/>
      <c r="T670" s="299"/>
    </row>
    <row r="671" ht="15.75" customHeight="1">
      <c r="G671" s="298"/>
      <c r="H671" s="298"/>
      <c r="I671" s="299"/>
      <c r="J671" s="299"/>
      <c r="K671" s="299"/>
      <c r="L671" s="299"/>
      <c r="M671" s="299"/>
      <c r="N671" s="299"/>
      <c r="O671" s="299"/>
      <c r="P671" s="299"/>
      <c r="Q671" s="299"/>
      <c r="R671" s="299"/>
      <c r="S671" s="299"/>
      <c r="T671" s="299"/>
    </row>
    <row r="672" ht="15.75" customHeight="1">
      <c r="G672" s="298"/>
      <c r="H672" s="298"/>
      <c r="I672" s="299"/>
      <c r="J672" s="299"/>
      <c r="K672" s="299"/>
      <c r="L672" s="299"/>
      <c r="M672" s="299"/>
      <c r="N672" s="299"/>
      <c r="O672" s="299"/>
      <c r="P672" s="299"/>
      <c r="Q672" s="299"/>
      <c r="R672" s="299"/>
      <c r="S672" s="299"/>
      <c r="T672" s="299"/>
    </row>
    <row r="673" ht="15.75" customHeight="1">
      <c r="G673" s="298"/>
      <c r="H673" s="298"/>
      <c r="I673" s="299"/>
      <c r="J673" s="299"/>
      <c r="K673" s="299"/>
      <c r="L673" s="299"/>
      <c r="M673" s="299"/>
      <c r="N673" s="299"/>
      <c r="O673" s="299"/>
      <c r="P673" s="299"/>
      <c r="Q673" s="299"/>
      <c r="R673" s="299"/>
      <c r="S673" s="299"/>
      <c r="T673" s="299"/>
    </row>
    <row r="674" ht="15.75" customHeight="1">
      <c r="G674" s="298"/>
      <c r="H674" s="298"/>
      <c r="I674" s="299"/>
      <c r="J674" s="299"/>
      <c r="K674" s="299"/>
      <c r="L674" s="299"/>
      <c r="M674" s="299"/>
      <c r="N674" s="299"/>
      <c r="O674" s="299"/>
      <c r="P674" s="299"/>
      <c r="Q674" s="299"/>
      <c r="R674" s="299"/>
      <c r="S674" s="299"/>
      <c r="T674" s="299"/>
    </row>
    <row r="675" ht="15.75" customHeight="1">
      <c r="G675" s="298"/>
      <c r="H675" s="298"/>
      <c r="I675" s="299"/>
      <c r="J675" s="299"/>
      <c r="K675" s="299"/>
      <c r="L675" s="299"/>
      <c r="M675" s="299"/>
      <c r="N675" s="299"/>
      <c r="O675" s="299"/>
      <c r="P675" s="299"/>
      <c r="Q675" s="299"/>
      <c r="R675" s="299"/>
      <c r="S675" s="299"/>
      <c r="T675" s="299"/>
    </row>
    <row r="676" ht="15.75" customHeight="1">
      <c r="G676" s="298"/>
      <c r="H676" s="298"/>
      <c r="I676" s="299"/>
      <c r="J676" s="299"/>
      <c r="K676" s="299"/>
      <c r="L676" s="299"/>
      <c r="M676" s="299"/>
      <c r="N676" s="299"/>
      <c r="O676" s="299"/>
      <c r="P676" s="299"/>
      <c r="Q676" s="299"/>
      <c r="R676" s="299"/>
      <c r="S676" s="299"/>
      <c r="T676" s="299"/>
    </row>
    <row r="677" ht="15.75" customHeight="1">
      <c r="G677" s="298"/>
      <c r="H677" s="298"/>
      <c r="I677" s="299"/>
      <c r="J677" s="299"/>
      <c r="K677" s="299"/>
      <c r="L677" s="299"/>
      <c r="M677" s="299"/>
      <c r="N677" s="299"/>
      <c r="O677" s="299"/>
      <c r="P677" s="299"/>
      <c r="Q677" s="299"/>
      <c r="R677" s="299"/>
      <c r="S677" s="299"/>
      <c r="T677" s="299"/>
    </row>
    <row r="678" ht="15.75" customHeight="1">
      <c r="G678" s="298"/>
      <c r="H678" s="298"/>
      <c r="I678" s="299"/>
      <c r="J678" s="299"/>
      <c r="K678" s="299"/>
      <c r="L678" s="299"/>
      <c r="M678" s="299"/>
      <c r="N678" s="299"/>
      <c r="O678" s="299"/>
      <c r="P678" s="299"/>
      <c r="Q678" s="299"/>
      <c r="R678" s="299"/>
      <c r="S678" s="299"/>
      <c r="T678" s="299"/>
    </row>
    <row r="679" ht="15.75" customHeight="1">
      <c r="G679" s="298"/>
      <c r="H679" s="298"/>
      <c r="I679" s="299"/>
      <c r="J679" s="299"/>
      <c r="K679" s="299"/>
      <c r="L679" s="299"/>
      <c r="M679" s="299"/>
      <c r="N679" s="299"/>
      <c r="O679" s="299"/>
      <c r="P679" s="299"/>
      <c r="Q679" s="299"/>
      <c r="R679" s="299"/>
      <c r="S679" s="299"/>
      <c r="T679" s="299"/>
    </row>
    <row r="680" ht="15.75" customHeight="1">
      <c r="G680" s="298"/>
      <c r="H680" s="298"/>
      <c r="I680" s="299"/>
      <c r="J680" s="299"/>
      <c r="K680" s="299"/>
      <c r="L680" s="299"/>
      <c r="M680" s="299"/>
      <c r="N680" s="299"/>
      <c r="O680" s="299"/>
      <c r="P680" s="299"/>
      <c r="Q680" s="299"/>
      <c r="R680" s="299"/>
      <c r="S680" s="299"/>
      <c r="T680" s="299"/>
    </row>
    <row r="681" ht="15.75" customHeight="1">
      <c r="G681" s="298"/>
      <c r="H681" s="298"/>
      <c r="I681" s="299"/>
      <c r="J681" s="299"/>
      <c r="K681" s="299"/>
      <c r="L681" s="299"/>
      <c r="M681" s="299"/>
      <c r="N681" s="299"/>
      <c r="O681" s="299"/>
      <c r="P681" s="299"/>
      <c r="Q681" s="299"/>
      <c r="R681" s="299"/>
      <c r="S681" s="299"/>
      <c r="T681" s="299"/>
    </row>
    <row r="682" ht="15.75" customHeight="1">
      <c r="G682" s="298"/>
      <c r="H682" s="298"/>
      <c r="I682" s="299"/>
      <c r="J682" s="299"/>
      <c r="K682" s="299"/>
      <c r="L682" s="299"/>
      <c r="M682" s="299"/>
      <c r="N682" s="299"/>
      <c r="O682" s="299"/>
      <c r="P682" s="299"/>
      <c r="Q682" s="299"/>
      <c r="R682" s="299"/>
      <c r="S682" s="299"/>
      <c r="T682" s="299"/>
    </row>
    <row r="683" ht="15.75" customHeight="1">
      <c r="G683" s="298"/>
      <c r="H683" s="298"/>
      <c r="I683" s="299"/>
      <c r="J683" s="299"/>
      <c r="K683" s="299"/>
      <c r="L683" s="299"/>
      <c r="M683" s="299"/>
      <c r="N683" s="299"/>
      <c r="O683" s="299"/>
      <c r="P683" s="299"/>
      <c r="Q683" s="299"/>
      <c r="R683" s="299"/>
      <c r="S683" s="299"/>
      <c r="T683" s="299"/>
    </row>
    <row r="684" ht="15.75" customHeight="1">
      <c r="G684" s="298"/>
      <c r="H684" s="298"/>
      <c r="I684" s="299"/>
      <c r="J684" s="299"/>
      <c r="K684" s="299"/>
      <c r="L684" s="299"/>
      <c r="M684" s="299"/>
      <c r="N684" s="299"/>
      <c r="O684" s="299"/>
      <c r="P684" s="299"/>
      <c r="Q684" s="299"/>
      <c r="R684" s="299"/>
      <c r="S684" s="299"/>
      <c r="T684" s="299"/>
    </row>
    <row r="685" ht="15.75" customHeight="1">
      <c r="G685" s="298"/>
      <c r="H685" s="298"/>
      <c r="I685" s="299"/>
      <c r="J685" s="299"/>
      <c r="K685" s="299"/>
      <c r="L685" s="299"/>
      <c r="M685" s="299"/>
      <c r="N685" s="299"/>
      <c r="O685" s="299"/>
      <c r="P685" s="299"/>
      <c r="Q685" s="299"/>
      <c r="R685" s="299"/>
      <c r="S685" s="299"/>
      <c r="T685" s="299"/>
    </row>
    <row r="686" ht="15.75" customHeight="1">
      <c r="G686" s="298"/>
      <c r="H686" s="298"/>
      <c r="I686" s="299"/>
      <c r="J686" s="299"/>
      <c r="K686" s="299"/>
      <c r="L686" s="299"/>
      <c r="M686" s="299"/>
      <c r="N686" s="299"/>
      <c r="O686" s="299"/>
      <c r="P686" s="299"/>
      <c r="Q686" s="299"/>
      <c r="R686" s="299"/>
      <c r="S686" s="299"/>
      <c r="T686" s="299"/>
    </row>
    <row r="687" ht="15.75" customHeight="1">
      <c r="G687" s="298"/>
      <c r="H687" s="298"/>
      <c r="I687" s="299"/>
      <c r="J687" s="299"/>
      <c r="K687" s="299"/>
      <c r="L687" s="299"/>
      <c r="M687" s="299"/>
      <c r="N687" s="299"/>
      <c r="O687" s="299"/>
      <c r="P687" s="299"/>
      <c r="Q687" s="299"/>
      <c r="R687" s="299"/>
      <c r="S687" s="299"/>
      <c r="T687" s="299"/>
    </row>
    <row r="688" ht="15.75" customHeight="1">
      <c r="G688" s="298"/>
      <c r="H688" s="298"/>
      <c r="I688" s="299"/>
      <c r="J688" s="299"/>
      <c r="K688" s="299"/>
      <c r="L688" s="299"/>
      <c r="M688" s="299"/>
      <c r="N688" s="299"/>
      <c r="O688" s="299"/>
      <c r="P688" s="299"/>
      <c r="Q688" s="299"/>
      <c r="R688" s="299"/>
      <c r="S688" s="299"/>
      <c r="T688" s="299"/>
    </row>
    <row r="689" ht="15.75" customHeight="1">
      <c r="G689" s="298"/>
      <c r="H689" s="298"/>
      <c r="I689" s="299"/>
      <c r="J689" s="299"/>
      <c r="K689" s="299"/>
      <c r="L689" s="299"/>
      <c r="M689" s="299"/>
      <c r="N689" s="299"/>
      <c r="O689" s="299"/>
      <c r="P689" s="299"/>
      <c r="Q689" s="299"/>
      <c r="R689" s="299"/>
      <c r="S689" s="299"/>
      <c r="T689" s="299"/>
    </row>
    <row r="690" ht="15.75" customHeight="1">
      <c r="G690" s="298"/>
      <c r="H690" s="298"/>
      <c r="I690" s="299"/>
      <c r="J690" s="299"/>
      <c r="K690" s="299"/>
      <c r="L690" s="299"/>
      <c r="M690" s="299"/>
      <c r="N690" s="299"/>
      <c r="O690" s="299"/>
      <c r="P690" s="299"/>
      <c r="Q690" s="299"/>
      <c r="R690" s="299"/>
      <c r="S690" s="299"/>
      <c r="T690" s="299"/>
    </row>
    <row r="691" ht="15.75" customHeight="1">
      <c r="G691" s="298"/>
      <c r="H691" s="298"/>
      <c r="I691" s="299"/>
      <c r="J691" s="299"/>
      <c r="K691" s="299"/>
      <c r="L691" s="299"/>
      <c r="M691" s="299"/>
      <c r="N691" s="299"/>
      <c r="O691" s="299"/>
      <c r="P691" s="299"/>
      <c r="Q691" s="299"/>
      <c r="R691" s="299"/>
      <c r="S691" s="299"/>
      <c r="T691" s="299"/>
    </row>
    <row r="692" ht="15.75" customHeight="1">
      <c r="G692" s="298"/>
      <c r="H692" s="298"/>
      <c r="I692" s="299"/>
      <c r="J692" s="299"/>
      <c r="K692" s="299"/>
      <c r="L692" s="299"/>
      <c r="M692" s="299"/>
      <c r="N692" s="299"/>
      <c r="O692" s="299"/>
      <c r="P692" s="299"/>
      <c r="Q692" s="299"/>
      <c r="R692" s="299"/>
      <c r="S692" s="299"/>
      <c r="T692" s="299"/>
    </row>
    <row r="693" ht="15.75" customHeight="1">
      <c r="G693" s="298"/>
      <c r="H693" s="298"/>
      <c r="I693" s="299"/>
      <c r="J693" s="299"/>
      <c r="K693" s="299"/>
      <c r="L693" s="299"/>
      <c r="M693" s="299"/>
      <c r="N693" s="299"/>
      <c r="O693" s="299"/>
      <c r="P693" s="299"/>
      <c r="Q693" s="299"/>
      <c r="R693" s="299"/>
      <c r="S693" s="299"/>
      <c r="T693" s="299"/>
    </row>
    <row r="694" ht="15.75" customHeight="1">
      <c r="G694" s="298"/>
      <c r="H694" s="298"/>
      <c r="I694" s="299"/>
      <c r="J694" s="299"/>
      <c r="K694" s="299"/>
      <c r="L694" s="299"/>
      <c r="M694" s="299"/>
      <c r="N694" s="299"/>
      <c r="O694" s="299"/>
      <c r="P694" s="299"/>
      <c r="Q694" s="299"/>
      <c r="R694" s="299"/>
      <c r="S694" s="299"/>
      <c r="T694" s="299"/>
    </row>
    <row r="695" ht="15.75" customHeight="1">
      <c r="G695" s="298"/>
      <c r="H695" s="298"/>
      <c r="I695" s="299"/>
      <c r="J695" s="299"/>
      <c r="K695" s="299"/>
      <c r="L695" s="299"/>
      <c r="M695" s="299"/>
      <c r="N695" s="299"/>
      <c r="O695" s="299"/>
      <c r="P695" s="299"/>
      <c r="Q695" s="299"/>
      <c r="R695" s="299"/>
      <c r="S695" s="299"/>
      <c r="T695" s="299"/>
    </row>
    <row r="696" ht="15.75" customHeight="1">
      <c r="G696" s="298"/>
      <c r="H696" s="298"/>
      <c r="I696" s="299"/>
      <c r="J696" s="299"/>
      <c r="K696" s="299"/>
      <c r="L696" s="299"/>
      <c r="M696" s="299"/>
      <c r="N696" s="299"/>
      <c r="O696" s="299"/>
      <c r="P696" s="299"/>
      <c r="Q696" s="299"/>
      <c r="R696" s="299"/>
      <c r="S696" s="299"/>
      <c r="T696" s="299"/>
    </row>
    <row r="697" ht="15.75" customHeight="1">
      <c r="G697" s="298"/>
      <c r="H697" s="298"/>
      <c r="I697" s="299"/>
      <c r="J697" s="299"/>
      <c r="K697" s="299"/>
      <c r="L697" s="299"/>
      <c r="M697" s="299"/>
      <c r="N697" s="299"/>
      <c r="O697" s="299"/>
      <c r="P697" s="299"/>
      <c r="Q697" s="299"/>
      <c r="R697" s="299"/>
      <c r="S697" s="299"/>
      <c r="T697" s="299"/>
    </row>
    <row r="698" ht="15.75" customHeight="1">
      <c r="G698" s="298"/>
      <c r="H698" s="298"/>
      <c r="I698" s="299"/>
      <c r="J698" s="299"/>
      <c r="K698" s="299"/>
      <c r="L698" s="299"/>
      <c r="M698" s="299"/>
      <c r="N698" s="299"/>
      <c r="O698" s="299"/>
      <c r="P698" s="299"/>
      <c r="Q698" s="299"/>
      <c r="R698" s="299"/>
      <c r="S698" s="299"/>
      <c r="T698" s="299"/>
    </row>
    <row r="699" ht="15.75" customHeight="1">
      <c r="G699" s="298"/>
      <c r="H699" s="298"/>
      <c r="I699" s="299"/>
      <c r="J699" s="299"/>
      <c r="K699" s="299"/>
      <c r="L699" s="299"/>
      <c r="M699" s="299"/>
      <c r="N699" s="299"/>
      <c r="O699" s="299"/>
      <c r="P699" s="299"/>
      <c r="Q699" s="299"/>
      <c r="R699" s="299"/>
      <c r="S699" s="299"/>
      <c r="T699" s="299"/>
    </row>
    <row r="700" ht="15.75" customHeight="1">
      <c r="G700" s="298"/>
      <c r="H700" s="298"/>
      <c r="I700" s="299"/>
      <c r="J700" s="299"/>
      <c r="K700" s="299"/>
      <c r="L700" s="299"/>
      <c r="M700" s="299"/>
      <c r="N700" s="299"/>
      <c r="O700" s="299"/>
      <c r="P700" s="299"/>
      <c r="Q700" s="299"/>
      <c r="R700" s="299"/>
      <c r="S700" s="299"/>
      <c r="T700" s="299"/>
    </row>
    <row r="701" ht="15.75" customHeight="1">
      <c r="G701" s="298"/>
      <c r="H701" s="298"/>
      <c r="I701" s="299"/>
      <c r="J701" s="299"/>
      <c r="K701" s="299"/>
      <c r="L701" s="299"/>
      <c r="M701" s="299"/>
      <c r="N701" s="299"/>
      <c r="O701" s="299"/>
      <c r="P701" s="299"/>
      <c r="Q701" s="299"/>
      <c r="R701" s="299"/>
      <c r="S701" s="299"/>
      <c r="T701" s="299"/>
    </row>
    <row r="702" ht="15.75" customHeight="1">
      <c r="G702" s="298"/>
      <c r="H702" s="298"/>
      <c r="I702" s="299"/>
      <c r="J702" s="299"/>
      <c r="K702" s="299"/>
      <c r="L702" s="299"/>
      <c r="M702" s="299"/>
      <c r="N702" s="299"/>
      <c r="O702" s="299"/>
      <c r="P702" s="299"/>
      <c r="Q702" s="299"/>
      <c r="R702" s="299"/>
      <c r="S702" s="299"/>
      <c r="T702" s="299"/>
    </row>
    <row r="703" ht="15.75" customHeight="1">
      <c r="G703" s="298"/>
      <c r="H703" s="298"/>
      <c r="I703" s="299"/>
      <c r="J703" s="299"/>
      <c r="K703" s="299"/>
      <c r="L703" s="299"/>
      <c r="M703" s="299"/>
      <c r="N703" s="299"/>
      <c r="O703" s="299"/>
      <c r="P703" s="299"/>
      <c r="Q703" s="299"/>
      <c r="R703" s="299"/>
      <c r="S703" s="299"/>
      <c r="T703" s="299"/>
    </row>
    <row r="704" ht="15.75" customHeight="1">
      <c r="G704" s="298"/>
      <c r="H704" s="298"/>
      <c r="I704" s="299"/>
      <c r="J704" s="299"/>
      <c r="K704" s="299"/>
      <c r="L704" s="299"/>
      <c r="M704" s="299"/>
      <c r="N704" s="299"/>
      <c r="O704" s="299"/>
      <c r="P704" s="299"/>
      <c r="Q704" s="299"/>
      <c r="R704" s="299"/>
      <c r="S704" s="299"/>
      <c r="T704" s="299"/>
    </row>
    <row r="705" ht="15.75" customHeight="1">
      <c r="G705" s="298"/>
      <c r="H705" s="298"/>
      <c r="I705" s="299"/>
      <c r="J705" s="299"/>
      <c r="K705" s="299"/>
      <c r="L705" s="299"/>
      <c r="M705" s="299"/>
      <c r="N705" s="299"/>
      <c r="O705" s="299"/>
      <c r="P705" s="299"/>
      <c r="Q705" s="299"/>
      <c r="R705" s="299"/>
      <c r="S705" s="299"/>
      <c r="T705" s="299"/>
    </row>
    <row r="706" ht="15.75" customHeight="1">
      <c r="G706" s="298"/>
      <c r="H706" s="298"/>
      <c r="I706" s="299"/>
      <c r="J706" s="299"/>
      <c r="K706" s="299"/>
      <c r="L706" s="299"/>
      <c r="M706" s="299"/>
      <c r="N706" s="299"/>
      <c r="O706" s="299"/>
      <c r="P706" s="299"/>
      <c r="Q706" s="299"/>
      <c r="R706" s="299"/>
      <c r="S706" s="299"/>
      <c r="T706" s="299"/>
    </row>
    <row r="707" ht="15.75" customHeight="1">
      <c r="G707" s="298"/>
      <c r="H707" s="298"/>
      <c r="I707" s="299"/>
      <c r="J707" s="299"/>
      <c r="K707" s="299"/>
      <c r="L707" s="299"/>
      <c r="M707" s="299"/>
      <c r="N707" s="299"/>
      <c r="O707" s="299"/>
      <c r="P707" s="299"/>
      <c r="Q707" s="299"/>
      <c r="R707" s="299"/>
      <c r="S707" s="299"/>
      <c r="T707" s="299"/>
    </row>
    <row r="708" ht="15.75" customHeight="1">
      <c r="G708" s="298"/>
      <c r="H708" s="298"/>
      <c r="I708" s="299"/>
      <c r="J708" s="299"/>
      <c r="K708" s="299"/>
      <c r="L708" s="299"/>
      <c r="M708" s="299"/>
      <c r="N708" s="299"/>
      <c r="O708" s="299"/>
      <c r="P708" s="299"/>
      <c r="Q708" s="299"/>
      <c r="R708" s="299"/>
      <c r="S708" s="299"/>
      <c r="T708" s="299"/>
    </row>
    <row r="709" ht="15.75" customHeight="1">
      <c r="G709" s="298"/>
      <c r="H709" s="298"/>
      <c r="I709" s="299"/>
      <c r="J709" s="299"/>
      <c r="K709" s="299"/>
      <c r="L709" s="299"/>
      <c r="M709" s="299"/>
      <c r="N709" s="299"/>
      <c r="O709" s="299"/>
      <c r="P709" s="299"/>
      <c r="Q709" s="299"/>
      <c r="R709" s="299"/>
      <c r="S709" s="299"/>
      <c r="T709" s="299"/>
    </row>
    <row r="710" ht="15.75" customHeight="1">
      <c r="G710" s="298"/>
      <c r="H710" s="298"/>
      <c r="I710" s="299"/>
      <c r="J710" s="299"/>
      <c r="K710" s="299"/>
      <c r="L710" s="299"/>
      <c r="M710" s="299"/>
      <c r="N710" s="299"/>
      <c r="O710" s="299"/>
      <c r="P710" s="299"/>
      <c r="Q710" s="299"/>
      <c r="R710" s="299"/>
      <c r="S710" s="299"/>
      <c r="T710" s="299"/>
    </row>
    <row r="711" ht="15.75" customHeight="1">
      <c r="G711" s="298"/>
      <c r="H711" s="298"/>
      <c r="I711" s="299"/>
      <c r="J711" s="299"/>
      <c r="K711" s="299"/>
      <c r="L711" s="299"/>
      <c r="M711" s="299"/>
      <c r="N711" s="299"/>
      <c r="O711" s="299"/>
      <c r="P711" s="299"/>
      <c r="Q711" s="299"/>
      <c r="R711" s="299"/>
      <c r="S711" s="299"/>
      <c r="T711" s="299"/>
    </row>
    <row r="712" ht="15.75" customHeight="1">
      <c r="G712" s="298"/>
      <c r="H712" s="298"/>
      <c r="I712" s="299"/>
      <c r="J712" s="299"/>
      <c r="K712" s="299"/>
      <c r="L712" s="299"/>
      <c r="M712" s="299"/>
      <c r="N712" s="299"/>
      <c r="O712" s="299"/>
      <c r="P712" s="299"/>
      <c r="Q712" s="299"/>
      <c r="R712" s="299"/>
      <c r="S712" s="299"/>
      <c r="T712" s="299"/>
    </row>
    <row r="713" ht="15.75" customHeight="1">
      <c r="G713" s="298"/>
      <c r="H713" s="298"/>
      <c r="I713" s="299"/>
      <c r="J713" s="299"/>
      <c r="K713" s="299"/>
      <c r="L713" s="299"/>
      <c r="M713" s="299"/>
      <c r="N713" s="299"/>
      <c r="O713" s="299"/>
      <c r="P713" s="299"/>
      <c r="Q713" s="299"/>
      <c r="R713" s="299"/>
      <c r="S713" s="299"/>
      <c r="T713" s="299"/>
    </row>
    <row r="714" ht="15.75" customHeight="1">
      <c r="G714" s="298"/>
      <c r="H714" s="298"/>
      <c r="I714" s="299"/>
      <c r="J714" s="299"/>
      <c r="K714" s="299"/>
      <c r="L714" s="299"/>
      <c r="M714" s="299"/>
      <c r="N714" s="299"/>
      <c r="O714" s="299"/>
      <c r="P714" s="299"/>
      <c r="Q714" s="299"/>
      <c r="R714" s="299"/>
      <c r="S714" s="299"/>
      <c r="T714" s="299"/>
    </row>
    <row r="715" ht="15.75" customHeight="1">
      <c r="G715" s="298"/>
      <c r="H715" s="298"/>
      <c r="I715" s="299"/>
      <c r="J715" s="299"/>
      <c r="K715" s="299"/>
      <c r="L715" s="299"/>
      <c r="M715" s="299"/>
      <c r="N715" s="299"/>
      <c r="O715" s="299"/>
      <c r="P715" s="299"/>
      <c r="Q715" s="299"/>
      <c r="R715" s="299"/>
      <c r="S715" s="299"/>
      <c r="T715" s="299"/>
    </row>
    <row r="716" ht="15.75" customHeight="1">
      <c r="G716" s="298"/>
      <c r="H716" s="298"/>
      <c r="I716" s="299"/>
      <c r="J716" s="299"/>
      <c r="K716" s="299"/>
      <c r="L716" s="299"/>
      <c r="M716" s="299"/>
      <c r="N716" s="299"/>
      <c r="O716" s="299"/>
      <c r="P716" s="299"/>
      <c r="Q716" s="299"/>
      <c r="R716" s="299"/>
      <c r="S716" s="299"/>
      <c r="T716" s="299"/>
    </row>
    <row r="717" ht="15.75" customHeight="1">
      <c r="G717" s="298"/>
      <c r="H717" s="298"/>
      <c r="I717" s="299"/>
      <c r="J717" s="299"/>
      <c r="K717" s="299"/>
      <c r="L717" s="299"/>
      <c r="M717" s="299"/>
      <c r="N717" s="299"/>
      <c r="O717" s="299"/>
      <c r="P717" s="299"/>
      <c r="Q717" s="299"/>
      <c r="R717" s="299"/>
      <c r="S717" s="299"/>
      <c r="T717" s="299"/>
    </row>
    <row r="718" ht="15.75" customHeight="1">
      <c r="G718" s="298"/>
      <c r="H718" s="298"/>
      <c r="I718" s="299"/>
      <c r="J718" s="299"/>
      <c r="K718" s="299"/>
      <c r="L718" s="299"/>
      <c r="M718" s="299"/>
      <c r="N718" s="299"/>
      <c r="O718" s="299"/>
      <c r="P718" s="299"/>
      <c r="Q718" s="299"/>
      <c r="R718" s="299"/>
      <c r="S718" s="299"/>
      <c r="T718" s="299"/>
    </row>
    <row r="719" ht="15.75" customHeight="1">
      <c r="G719" s="298"/>
      <c r="H719" s="298"/>
      <c r="I719" s="299"/>
      <c r="J719" s="299"/>
      <c r="K719" s="299"/>
      <c r="L719" s="299"/>
      <c r="M719" s="299"/>
      <c r="N719" s="299"/>
      <c r="O719" s="299"/>
      <c r="P719" s="299"/>
      <c r="Q719" s="299"/>
      <c r="R719" s="299"/>
      <c r="S719" s="299"/>
      <c r="T719" s="299"/>
    </row>
    <row r="720" ht="15.75" customHeight="1">
      <c r="G720" s="298"/>
      <c r="H720" s="298"/>
      <c r="I720" s="299"/>
      <c r="J720" s="299"/>
      <c r="K720" s="299"/>
      <c r="L720" s="299"/>
      <c r="M720" s="299"/>
      <c r="N720" s="299"/>
      <c r="O720" s="299"/>
      <c r="P720" s="299"/>
      <c r="Q720" s="299"/>
      <c r="R720" s="299"/>
      <c r="S720" s="299"/>
      <c r="T720" s="299"/>
    </row>
    <row r="721" ht="15.75" customHeight="1">
      <c r="G721" s="298"/>
      <c r="H721" s="298"/>
      <c r="I721" s="299"/>
      <c r="J721" s="299"/>
      <c r="K721" s="299"/>
      <c r="L721" s="299"/>
      <c r="M721" s="299"/>
      <c r="N721" s="299"/>
      <c r="O721" s="299"/>
      <c r="P721" s="299"/>
      <c r="Q721" s="299"/>
      <c r="R721" s="299"/>
      <c r="S721" s="299"/>
      <c r="T721" s="299"/>
    </row>
    <row r="722" ht="15.75" customHeight="1">
      <c r="G722" s="298"/>
      <c r="H722" s="298"/>
      <c r="I722" s="299"/>
      <c r="J722" s="299"/>
      <c r="K722" s="299"/>
      <c r="L722" s="299"/>
      <c r="M722" s="299"/>
      <c r="N722" s="299"/>
      <c r="O722" s="299"/>
      <c r="P722" s="299"/>
      <c r="Q722" s="299"/>
      <c r="R722" s="299"/>
      <c r="S722" s="299"/>
      <c r="T722" s="299"/>
    </row>
    <row r="723" ht="15.75" customHeight="1">
      <c r="G723" s="298"/>
      <c r="H723" s="298"/>
      <c r="I723" s="299"/>
      <c r="J723" s="299"/>
      <c r="K723" s="299"/>
      <c r="L723" s="299"/>
      <c r="M723" s="299"/>
      <c r="N723" s="299"/>
      <c r="O723" s="299"/>
      <c r="P723" s="299"/>
      <c r="Q723" s="299"/>
      <c r="R723" s="299"/>
      <c r="S723" s="299"/>
      <c r="T723" s="299"/>
    </row>
    <row r="724" ht="15.75" customHeight="1">
      <c r="G724" s="298"/>
      <c r="H724" s="298"/>
      <c r="I724" s="299"/>
      <c r="J724" s="299"/>
      <c r="K724" s="299"/>
      <c r="L724" s="299"/>
      <c r="M724" s="299"/>
      <c r="N724" s="299"/>
      <c r="O724" s="299"/>
      <c r="P724" s="299"/>
      <c r="Q724" s="299"/>
      <c r="R724" s="299"/>
      <c r="S724" s="299"/>
      <c r="T724" s="299"/>
    </row>
    <row r="725" ht="15.75" customHeight="1">
      <c r="G725" s="298"/>
      <c r="H725" s="298"/>
      <c r="I725" s="299"/>
      <c r="J725" s="299"/>
      <c r="K725" s="299"/>
      <c r="L725" s="299"/>
      <c r="M725" s="299"/>
      <c r="N725" s="299"/>
      <c r="O725" s="299"/>
      <c r="P725" s="299"/>
      <c r="Q725" s="299"/>
      <c r="R725" s="299"/>
      <c r="S725" s="299"/>
      <c r="T725" s="299"/>
    </row>
    <row r="726" ht="15.75" customHeight="1">
      <c r="G726" s="298"/>
      <c r="H726" s="298"/>
      <c r="I726" s="299"/>
      <c r="J726" s="299"/>
      <c r="K726" s="299"/>
      <c r="L726" s="299"/>
      <c r="M726" s="299"/>
      <c r="N726" s="299"/>
      <c r="O726" s="299"/>
      <c r="P726" s="299"/>
      <c r="Q726" s="299"/>
      <c r="R726" s="299"/>
      <c r="S726" s="299"/>
      <c r="T726" s="299"/>
    </row>
    <row r="727" ht="15.75" customHeight="1">
      <c r="G727" s="298"/>
      <c r="H727" s="298"/>
      <c r="I727" s="299"/>
      <c r="J727" s="299"/>
      <c r="K727" s="299"/>
      <c r="L727" s="299"/>
      <c r="M727" s="299"/>
      <c r="N727" s="299"/>
      <c r="O727" s="299"/>
      <c r="P727" s="299"/>
      <c r="Q727" s="299"/>
      <c r="R727" s="299"/>
      <c r="S727" s="299"/>
      <c r="T727" s="299"/>
    </row>
    <row r="728" ht="15.75" customHeight="1">
      <c r="G728" s="298"/>
      <c r="H728" s="298"/>
      <c r="I728" s="299"/>
      <c r="J728" s="299"/>
      <c r="K728" s="299"/>
      <c r="L728" s="299"/>
      <c r="M728" s="299"/>
      <c r="N728" s="299"/>
      <c r="O728" s="299"/>
      <c r="P728" s="299"/>
      <c r="Q728" s="299"/>
      <c r="R728" s="299"/>
      <c r="S728" s="299"/>
      <c r="T728" s="299"/>
    </row>
    <row r="729" ht="15.75" customHeight="1">
      <c r="G729" s="298"/>
      <c r="H729" s="298"/>
      <c r="I729" s="299"/>
      <c r="J729" s="299"/>
      <c r="K729" s="299"/>
      <c r="L729" s="299"/>
      <c r="M729" s="299"/>
      <c r="N729" s="299"/>
      <c r="O729" s="299"/>
      <c r="P729" s="299"/>
      <c r="Q729" s="299"/>
      <c r="R729" s="299"/>
      <c r="S729" s="299"/>
      <c r="T729" s="299"/>
    </row>
    <row r="730" ht="15.75" customHeight="1">
      <c r="G730" s="298"/>
      <c r="H730" s="298"/>
      <c r="I730" s="299"/>
      <c r="J730" s="299"/>
      <c r="K730" s="299"/>
      <c r="L730" s="299"/>
      <c r="M730" s="299"/>
      <c r="N730" s="299"/>
      <c r="O730" s="299"/>
      <c r="P730" s="299"/>
      <c r="Q730" s="299"/>
      <c r="R730" s="299"/>
      <c r="S730" s="299"/>
      <c r="T730" s="299"/>
    </row>
    <row r="731" ht="15.75" customHeight="1">
      <c r="G731" s="298"/>
      <c r="H731" s="298"/>
      <c r="I731" s="299"/>
      <c r="J731" s="299"/>
      <c r="K731" s="299"/>
      <c r="L731" s="299"/>
      <c r="M731" s="299"/>
      <c r="N731" s="299"/>
      <c r="O731" s="299"/>
      <c r="P731" s="299"/>
      <c r="Q731" s="299"/>
      <c r="R731" s="299"/>
      <c r="S731" s="299"/>
      <c r="T731" s="299"/>
    </row>
    <row r="732" ht="15.75" customHeight="1">
      <c r="G732" s="298"/>
      <c r="H732" s="298"/>
      <c r="I732" s="299"/>
      <c r="J732" s="299"/>
      <c r="K732" s="299"/>
      <c r="L732" s="299"/>
      <c r="M732" s="299"/>
      <c r="N732" s="299"/>
      <c r="O732" s="299"/>
      <c r="P732" s="299"/>
      <c r="Q732" s="299"/>
      <c r="R732" s="299"/>
      <c r="S732" s="299"/>
      <c r="T732" s="299"/>
    </row>
    <row r="733" ht="15.75" customHeight="1">
      <c r="G733" s="298"/>
      <c r="H733" s="298"/>
      <c r="I733" s="299"/>
      <c r="J733" s="299"/>
      <c r="K733" s="299"/>
      <c r="L733" s="299"/>
      <c r="M733" s="299"/>
      <c r="N733" s="299"/>
      <c r="O733" s="299"/>
      <c r="P733" s="299"/>
      <c r="Q733" s="299"/>
      <c r="R733" s="299"/>
      <c r="S733" s="299"/>
      <c r="T733" s="299"/>
    </row>
    <row r="734" ht="15.75" customHeight="1">
      <c r="G734" s="298"/>
      <c r="H734" s="298"/>
      <c r="I734" s="299"/>
      <c r="J734" s="299"/>
      <c r="K734" s="299"/>
      <c r="L734" s="299"/>
      <c r="M734" s="299"/>
      <c r="N734" s="299"/>
      <c r="O734" s="299"/>
      <c r="P734" s="299"/>
      <c r="Q734" s="299"/>
      <c r="R734" s="299"/>
      <c r="S734" s="299"/>
      <c r="T734" s="299"/>
    </row>
    <row r="735" ht="15.75" customHeight="1">
      <c r="G735" s="298"/>
      <c r="H735" s="298"/>
      <c r="I735" s="299"/>
      <c r="J735" s="299"/>
      <c r="K735" s="299"/>
      <c r="L735" s="299"/>
      <c r="M735" s="299"/>
      <c r="N735" s="299"/>
      <c r="O735" s="299"/>
      <c r="P735" s="299"/>
      <c r="Q735" s="299"/>
      <c r="R735" s="299"/>
      <c r="S735" s="299"/>
      <c r="T735" s="299"/>
    </row>
    <row r="736" ht="15.75" customHeight="1">
      <c r="G736" s="298"/>
      <c r="H736" s="298"/>
      <c r="I736" s="299"/>
      <c r="J736" s="299"/>
      <c r="K736" s="299"/>
      <c r="L736" s="299"/>
      <c r="M736" s="299"/>
      <c r="N736" s="299"/>
      <c r="O736" s="299"/>
      <c r="P736" s="299"/>
      <c r="Q736" s="299"/>
      <c r="R736" s="299"/>
      <c r="S736" s="299"/>
      <c r="T736" s="299"/>
    </row>
    <row r="737" ht="15.75" customHeight="1">
      <c r="G737" s="298"/>
      <c r="H737" s="298"/>
      <c r="I737" s="299"/>
      <c r="J737" s="299"/>
      <c r="K737" s="299"/>
      <c r="L737" s="299"/>
      <c r="M737" s="299"/>
      <c r="N737" s="299"/>
      <c r="O737" s="299"/>
      <c r="P737" s="299"/>
      <c r="Q737" s="299"/>
      <c r="R737" s="299"/>
      <c r="S737" s="299"/>
      <c r="T737" s="299"/>
    </row>
    <row r="738" ht="15.75" customHeight="1">
      <c r="G738" s="298"/>
      <c r="H738" s="298"/>
      <c r="I738" s="299"/>
      <c r="J738" s="299"/>
      <c r="K738" s="299"/>
      <c r="L738" s="299"/>
      <c r="M738" s="299"/>
      <c r="N738" s="299"/>
      <c r="O738" s="299"/>
      <c r="P738" s="299"/>
      <c r="Q738" s="299"/>
      <c r="R738" s="299"/>
      <c r="S738" s="299"/>
      <c r="T738" s="299"/>
    </row>
    <row r="739" ht="15.75" customHeight="1">
      <c r="G739" s="298"/>
      <c r="H739" s="298"/>
      <c r="I739" s="299"/>
      <c r="J739" s="299"/>
      <c r="K739" s="299"/>
      <c r="L739" s="299"/>
      <c r="M739" s="299"/>
      <c r="N739" s="299"/>
      <c r="O739" s="299"/>
      <c r="P739" s="299"/>
      <c r="Q739" s="299"/>
      <c r="R739" s="299"/>
      <c r="S739" s="299"/>
      <c r="T739" s="299"/>
    </row>
    <row r="740" ht="15.75" customHeight="1">
      <c r="G740" s="298"/>
      <c r="H740" s="298"/>
      <c r="I740" s="299"/>
      <c r="J740" s="299"/>
      <c r="K740" s="299"/>
      <c r="L740" s="299"/>
      <c r="M740" s="299"/>
      <c r="N740" s="299"/>
      <c r="O740" s="299"/>
      <c r="P740" s="299"/>
      <c r="Q740" s="299"/>
      <c r="R740" s="299"/>
      <c r="S740" s="299"/>
      <c r="T740" s="299"/>
    </row>
    <row r="741" ht="15.75" customHeight="1">
      <c r="G741" s="298"/>
      <c r="H741" s="298"/>
      <c r="I741" s="299"/>
      <c r="J741" s="299"/>
      <c r="K741" s="299"/>
      <c r="L741" s="299"/>
      <c r="M741" s="299"/>
      <c r="N741" s="299"/>
      <c r="O741" s="299"/>
      <c r="P741" s="299"/>
      <c r="Q741" s="299"/>
      <c r="R741" s="299"/>
      <c r="S741" s="299"/>
      <c r="T741" s="299"/>
    </row>
    <row r="742" ht="15.75" customHeight="1">
      <c r="G742" s="298"/>
      <c r="H742" s="298"/>
      <c r="I742" s="299"/>
      <c r="J742" s="299"/>
      <c r="K742" s="299"/>
      <c r="L742" s="299"/>
      <c r="M742" s="299"/>
      <c r="N742" s="299"/>
      <c r="O742" s="299"/>
      <c r="P742" s="299"/>
      <c r="Q742" s="299"/>
      <c r="R742" s="299"/>
      <c r="S742" s="299"/>
      <c r="T742" s="299"/>
    </row>
    <row r="743" ht="15.75" customHeight="1">
      <c r="G743" s="298"/>
      <c r="H743" s="298"/>
      <c r="I743" s="299"/>
      <c r="J743" s="299"/>
      <c r="K743" s="299"/>
      <c r="L743" s="299"/>
      <c r="M743" s="299"/>
      <c r="N743" s="299"/>
      <c r="O743" s="299"/>
      <c r="P743" s="299"/>
      <c r="Q743" s="299"/>
      <c r="R743" s="299"/>
      <c r="S743" s="299"/>
      <c r="T743" s="299"/>
    </row>
    <row r="744" ht="15.75" customHeight="1">
      <c r="G744" s="298"/>
      <c r="H744" s="298"/>
      <c r="I744" s="299"/>
      <c r="J744" s="299"/>
      <c r="K744" s="299"/>
      <c r="L744" s="299"/>
      <c r="M744" s="299"/>
      <c r="N744" s="299"/>
      <c r="O744" s="299"/>
      <c r="P744" s="299"/>
      <c r="Q744" s="299"/>
      <c r="R744" s="299"/>
      <c r="S744" s="299"/>
      <c r="T744" s="299"/>
    </row>
    <row r="745" ht="15.75" customHeight="1">
      <c r="G745" s="298"/>
      <c r="H745" s="298"/>
      <c r="I745" s="299"/>
      <c r="J745" s="299"/>
      <c r="K745" s="299"/>
      <c r="L745" s="299"/>
      <c r="M745" s="299"/>
      <c r="N745" s="299"/>
      <c r="O745" s="299"/>
      <c r="P745" s="299"/>
      <c r="Q745" s="299"/>
      <c r="R745" s="299"/>
      <c r="S745" s="299"/>
      <c r="T745" s="299"/>
    </row>
    <row r="746" ht="15.75" customHeight="1">
      <c r="G746" s="298"/>
      <c r="H746" s="298"/>
      <c r="I746" s="299"/>
      <c r="J746" s="299"/>
      <c r="K746" s="299"/>
      <c r="L746" s="299"/>
      <c r="M746" s="299"/>
      <c r="N746" s="299"/>
      <c r="O746" s="299"/>
      <c r="P746" s="299"/>
      <c r="Q746" s="299"/>
      <c r="R746" s="299"/>
      <c r="S746" s="299"/>
      <c r="T746" s="299"/>
    </row>
    <row r="747" ht="15.75" customHeight="1">
      <c r="G747" s="298"/>
      <c r="H747" s="298"/>
      <c r="I747" s="299"/>
      <c r="J747" s="299"/>
      <c r="K747" s="299"/>
      <c r="L747" s="299"/>
      <c r="M747" s="299"/>
      <c r="N747" s="299"/>
      <c r="O747" s="299"/>
      <c r="P747" s="299"/>
      <c r="Q747" s="299"/>
      <c r="R747" s="299"/>
      <c r="S747" s="299"/>
      <c r="T747" s="299"/>
    </row>
    <row r="748" ht="15.75" customHeight="1">
      <c r="G748" s="298"/>
      <c r="H748" s="298"/>
      <c r="I748" s="299"/>
      <c r="J748" s="299"/>
      <c r="K748" s="299"/>
      <c r="L748" s="299"/>
      <c r="M748" s="299"/>
      <c r="N748" s="299"/>
      <c r="O748" s="299"/>
      <c r="P748" s="299"/>
      <c r="Q748" s="299"/>
      <c r="R748" s="299"/>
      <c r="S748" s="299"/>
      <c r="T748" s="299"/>
    </row>
    <row r="749" ht="15.75" customHeight="1">
      <c r="G749" s="298"/>
      <c r="H749" s="298"/>
      <c r="I749" s="299"/>
      <c r="J749" s="299"/>
      <c r="K749" s="299"/>
      <c r="L749" s="299"/>
      <c r="M749" s="299"/>
      <c r="N749" s="299"/>
      <c r="O749" s="299"/>
      <c r="P749" s="299"/>
      <c r="Q749" s="299"/>
      <c r="R749" s="299"/>
      <c r="S749" s="299"/>
      <c r="T749" s="299"/>
    </row>
    <row r="750" ht="15.75" customHeight="1">
      <c r="G750" s="298"/>
      <c r="H750" s="298"/>
      <c r="I750" s="299"/>
      <c r="J750" s="299"/>
      <c r="K750" s="299"/>
      <c r="L750" s="299"/>
      <c r="M750" s="299"/>
      <c r="N750" s="299"/>
      <c r="O750" s="299"/>
      <c r="P750" s="299"/>
      <c r="Q750" s="299"/>
      <c r="R750" s="299"/>
      <c r="S750" s="299"/>
      <c r="T750" s="299"/>
    </row>
    <row r="751" ht="15.75" customHeight="1">
      <c r="G751" s="298"/>
      <c r="H751" s="298"/>
      <c r="I751" s="299"/>
      <c r="J751" s="299"/>
      <c r="K751" s="299"/>
      <c r="L751" s="299"/>
      <c r="M751" s="299"/>
      <c r="N751" s="299"/>
      <c r="O751" s="299"/>
      <c r="P751" s="299"/>
      <c r="Q751" s="299"/>
      <c r="R751" s="299"/>
      <c r="S751" s="299"/>
      <c r="T751" s="299"/>
    </row>
    <row r="752" ht="15.75" customHeight="1">
      <c r="G752" s="298"/>
      <c r="H752" s="298"/>
      <c r="I752" s="299"/>
      <c r="J752" s="299"/>
      <c r="K752" s="299"/>
      <c r="L752" s="299"/>
      <c r="M752" s="299"/>
      <c r="N752" s="299"/>
      <c r="O752" s="299"/>
      <c r="P752" s="299"/>
      <c r="Q752" s="299"/>
      <c r="R752" s="299"/>
      <c r="S752" s="299"/>
      <c r="T752" s="299"/>
    </row>
    <row r="753" ht="15.75" customHeight="1">
      <c r="G753" s="298"/>
      <c r="H753" s="298"/>
      <c r="I753" s="299"/>
      <c r="J753" s="299"/>
      <c r="K753" s="299"/>
      <c r="L753" s="299"/>
      <c r="M753" s="299"/>
      <c r="N753" s="299"/>
      <c r="O753" s="299"/>
      <c r="P753" s="299"/>
      <c r="Q753" s="299"/>
      <c r="R753" s="299"/>
      <c r="S753" s="299"/>
      <c r="T753" s="299"/>
    </row>
    <row r="754" ht="15.75" customHeight="1">
      <c r="G754" s="298"/>
      <c r="H754" s="298"/>
      <c r="I754" s="299"/>
      <c r="J754" s="299"/>
      <c r="K754" s="299"/>
      <c r="L754" s="299"/>
      <c r="M754" s="299"/>
      <c r="N754" s="299"/>
      <c r="O754" s="299"/>
      <c r="P754" s="299"/>
      <c r="Q754" s="299"/>
      <c r="R754" s="299"/>
      <c r="S754" s="299"/>
      <c r="T754" s="299"/>
    </row>
    <row r="755" ht="15.75" customHeight="1">
      <c r="G755" s="298"/>
      <c r="H755" s="298"/>
      <c r="I755" s="299"/>
      <c r="J755" s="299"/>
      <c r="K755" s="299"/>
      <c r="L755" s="299"/>
      <c r="M755" s="299"/>
      <c r="N755" s="299"/>
      <c r="O755" s="299"/>
      <c r="P755" s="299"/>
      <c r="Q755" s="299"/>
      <c r="R755" s="299"/>
      <c r="S755" s="299"/>
      <c r="T755" s="299"/>
    </row>
    <row r="756" ht="15.75" customHeight="1">
      <c r="G756" s="298"/>
      <c r="H756" s="298"/>
      <c r="I756" s="299"/>
      <c r="J756" s="299"/>
      <c r="K756" s="299"/>
      <c r="L756" s="299"/>
      <c r="M756" s="299"/>
      <c r="N756" s="299"/>
      <c r="O756" s="299"/>
      <c r="P756" s="299"/>
      <c r="Q756" s="299"/>
      <c r="R756" s="299"/>
      <c r="S756" s="299"/>
      <c r="T756" s="299"/>
    </row>
    <row r="757" ht="15.75" customHeight="1">
      <c r="G757" s="298"/>
      <c r="H757" s="298"/>
      <c r="I757" s="299"/>
      <c r="J757" s="299"/>
      <c r="K757" s="299"/>
      <c r="L757" s="299"/>
      <c r="M757" s="299"/>
      <c r="N757" s="299"/>
      <c r="O757" s="299"/>
      <c r="P757" s="299"/>
      <c r="Q757" s="299"/>
      <c r="R757" s="299"/>
      <c r="S757" s="299"/>
      <c r="T757" s="299"/>
    </row>
    <row r="758" ht="15.75" customHeight="1">
      <c r="G758" s="298"/>
      <c r="H758" s="298"/>
      <c r="I758" s="299"/>
      <c r="J758" s="299"/>
      <c r="K758" s="299"/>
      <c r="L758" s="299"/>
      <c r="M758" s="299"/>
      <c r="N758" s="299"/>
      <c r="O758" s="299"/>
      <c r="P758" s="299"/>
      <c r="Q758" s="299"/>
      <c r="R758" s="299"/>
      <c r="S758" s="299"/>
      <c r="T758" s="299"/>
    </row>
    <row r="759" ht="15.75" customHeight="1">
      <c r="G759" s="298"/>
      <c r="H759" s="298"/>
      <c r="I759" s="299"/>
      <c r="J759" s="299"/>
      <c r="K759" s="299"/>
      <c r="L759" s="299"/>
      <c r="M759" s="299"/>
      <c r="N759" s="299"/>
      <c r="O759" s="299"/>
      <c r="P759" s="299"/>
      <c r="Q759" s="299"/>
      <c r="R759" s="299"/>
      <c r="S759" s="299"/>
      <c r="T759" s="299"/>
    </row>
    <row r="760" ht="15.75" customHeight="1">
      <c r="G760" s="298"/>
      <c r="H760" s="298"/>
      <c r="I760" s="299"/>
      <c r="J760" s="299"/>
      <c r="K760" s="299"/>
      <c r="L760" s="299"/>
      <c r="M760" s="299"/>
      <c r="N760" s="299"/>
      <c r="O760" s="299"/>
      <c r="P760" s="299"/>
      <c r="Q760" s="299"/>
      <c r="R760" s="299"/>
      <c r="S760" s="299"/>
      <c r="T760" s="299"/>
    </row>
    <row r="761" ht="15.75" customHeight="1">
      <c r="G761" s="298"/>
      <c r="H761" s="298"/>
      <c r="I761" s="299"/>
      <c r="J761" s="299"/>
      <c r="K761" s="299"/>
      <c r="L761" s="299"/>
      <c r="M761" s="299"/>
      <c r="N761" s="299"/>
      <c r="O761" s="299"/>
      <c r="P761" s="299"/>
      <c r="Q761" s="299"/>
      <c r="R761" s="299"/>
      <c r="S761" s="299"/>
      <c r="T761" s="299"/>
    </row>
    <row r="762" ht="15.75" customHeight="1">
      <c r="G762" s="298"/>
      <c r="H762" s="298"/>
      <c r="I762" s="299"/>
      <c r="J762" s="299"/>
      <c r="K762" s="299"/>
      <c r="L762" s="299"/>
      <c r="M762" s="299"/>
      <c r="N762" s="299"/>
      <c r="O762" s="299"/>
      <c r="P762" s="299"/>
      <c r="Q762" s="299"/>
      <c r="R762" s="299"/>
      <c r="S762" s="299"/>
      <c r="T762" s="299"/>
    </row>
    <row r="763" ht="15.75" customHeight="1">
      <c r="G763" s="298"/>
      <c r="H763" s="298"/>
      <c r="I763" s="299"/>
      <c r="J763" s="299"/>
      <c r="K763" s="299"/>
      <c r="L763" s="299"/>
      <c r="M763" s="299"/>
      <c r="N763" s="299"/>
      <c r="O763" s="299"/>
      <c r="P763" s="299"/>
      <c r="Q763" s="299"/>
      <c r="R763" s="299"/>
      <c r="S763" s="299"/>
      <c r="T763" s="299"/>
    </row>
    <row r="764" ht="15.75" customHeight="1">
      <c r="G764" s="298"/>
      <c r="H764" s="298"/>
      <c r="I764" s="299"/>
      <c r="J764" s="299"/>
      <c r="K764" s="299"/>
      <c r="L764" s="299"/>
      <c r="M764" s="299"/>
      <c r="N764" s="299"/>
      <c r="O764" s="299"/>
      <c r="P764" s="299"/>
      <c r="Q764" s="299"/>
      <c r="R764" s="299"/>
      <c r="S764" s="299"/>
      <c r="T764" s="299"/>
    </row>
    <row r="765" ht="15.75" customHeight="1">
      <c r="G765" s="298"/>
      <c r="H765" s="298"/>
      <c r="I765" s="299"/>
      <c r="J765" s="299"/>
      <c r="K765" s="299"/>
      <c r="L765" s="299"/>
      <c r="M765" s="299"/>
      <c r="N765" s="299"/>
      <c r="O765" s="299"/>
      <c r="P765" s="299"/>
      <c r="Q765" s="299"/>
      <c r="R765" s="299"/>
      <c r="S765" s="299"/>
      <c r="T765" s="299"/>
    </row>
    <row r="766" ht="15.75" customHeight="1">
      <c r="G766" s="298"/>
      <c r="H766" s="298"/>
      <c r="I766" s="299"/>
      <c r="J766" s="299"/>
      <c r="K766" s="299"/>
      <c r="L766" s="299"/>
      <c r="M766" s="299"/>
      <c r="N766" s="299"/>
      <c r="O766" s="299"/>
      <c r="P766" s="299"/>
      <c r="Q766" s="299"/>
      <c r="R766" s="299"/>
      <c r="S766" s="299"/>
      <c r="T766" s="299"/>
    </row>
    <row r="767" ht="15.75" customHeight="1">
      <c r="G767" s="298"/>
      <c r="H767" s="298"/>
      <c r="I767" s="299"/>
      <c r="J767" s="299"/>
      <c r="K767" s="299"/>
      <c r="L767" s="299"/>
      <c r="M767" s="299"/>
      <c r="N767" s="299"/>
      <c r="O767" s="299"/>
      <c r="P767" s="299"/>
      <c r="Q767" s="299"/>
      <c r="R767" s="299"/>
      <c r="S767" s="299"/>
      <c r="T767" s="299"/>
    </row>
    <row r="768" ht="15.75" customHeight="1">
      <c r="G768" s="298"/>
      <c r="H768" s="298"/>
      <c r="I768" s="299"/>
      <c r="J768" s="299"/>
      <c r="K768" s="299"/>
      <c r="L768" s="299"/>
      <c r="M768" s="299"/>
      <c r="N768" s="299"/>
      <c r="O768" s="299"/>
      <c r="P768" s="299"/>
      <c r="Q768" s="299"/>
      <c r="R768" s="299"/>
      <c r="S768" s="299"/>
      <c r="T768" s="299"/>
    </row>
    <row r="769" ht="15.75" customHeight="1">
      <c r="G769" s="298"/>
      <c r="H769" s="298"/>
      <c r="I769" s="299"/>
      <c r="J769" s="299"/>
      <c r="K769" s="299"/>
      <c r="L769" s="299"/>
      <c r="M769" s="299"/>
      <c r="N769" s="299"/>
      <c r="O769" s="299"/>
      <c r="P769" s="299"/>
      <c r="Q769" s="299"/>
      <c r="R769" s="299"/>
      <c r="S769" s="299"/>
      <c r="T769" s="299"/>
    </row>
    <row r="770" ht="15.75" customHeight="1">
      <c r="G770" s="298"/>
      <c r="H770" s="298"/>
      <c r="I770" s="299"/>
      <c r="J770" s="299"/>
      <c r="K770" s="299"/>
      <c r="L770" s="299"/>
      <c r="M770" s="299"/>
      <c r="N770" s="299"/>
      <c r="O770" s="299"/>
      <c r="P770" s="299"/>
      <c r="Q770" s="299"/>
      <c r="R770" s="299"/>
      <c r="S770" s="299"/>
      <c r="T770" s="299"/>
    </row>
    <row r="771" ht="15.75" customHeight="1">
      <c r="G771" s="298"/>
      <c r="H771" s="298"/>
      <c r="I771" s="299"/>
      <c r="J771" s="299"/>
      <c r="K771" s="299"/>
      <c r="L771" s="299"/>
      <c r="M771" s="299"/>
      <c r="N771" s="299"/>
      <c r="O771" s="299"/>
      <c r="P771" s="299"/>
      <c r="Q771" s="299"/>
      <c r="R771" s="299"/>
      <c r="S771" s="299"/>
      <c r="T771" s="299"/>
    </row>
    <row r="772" ht="15.75" customHeight="1">
      <c r="G772" s="298"/>
      <c r="H772" s="298"/>
      <c r="I772" s="299"/>
      <c r="J772" s="299"/>
      <c r="K772" s="299"/>
      <c r="L772" s="299"/>
      <c r="M772" s="299"/>
      <c r="N772" s="299"/>
      <c r="O772" s="299"/>
      <c r="P772" s="299"/>
      <c r="Q772" s="299"/>
      <c r="R772" s="299"/>
      <c r="S772" s="299"/>
      <c r="T772" s="299"/>
    </row>
    <row r="773" ht="15.75" customHeight="1">
      <c r="G773" s="298"/>
      <c r="H773" s="298"/>
      <c r="I773" s="299"/>
      <c r="J773" s="299"/>
      <c r="K773" s="299"/>
      <c r="L773" s="299"/>
      <c r="M773" s="299"/>
      <c r="N773" s="299"/>
      <c r="O773" s="299"/>
      <c r="P773" s="299"/>
      <c r="Q773" s="299"/>
      <c r="R773" s="299"/>
      <c r="S773" s="299"/>
      <c r="T773" s="299"/>
    </row>
    <row r="774" ht="15.75" customHeight="1">
      <c r="G774" s="298"/>
      <c r="H774" s="298"/>
      <c r="I774" s="299"/>
      <c r="J774" s="299"/>
      <c r="K774" s="299"/>
      <c r="L774" s="299"/>
      <c r="M774" s="299"/>
      <c r="N774" s="299"/>
      <c r="O774" s="299"/>
      <c r="P774" s="299"/>
      <c r="Q774" s="299"/>
      <c r="R774" s="299"/>
      <c r="S774" s="299"/>
      <c r="T774" s="299"/>
    </row>
    <row r="775" ht="15.75" customHeight="1">
      <c r="G775" s="298"/>
      <c r="H775" s="298"/>
      <c r="I775" s="299"/>
      <c r="J775" s="299"/>
      <c r="K775" s="299"/>
      <c r="L775" s="299"/>
      <c r="M775" s="299"/>
      <c r="N775" s="299"/>
      <c r="O775" s="299"/>
      <c r="P775" s="299"/>
      <c r="Q775" s="299"/>
      <c r="R775" s="299"/>
      <c r="S775" s="299"/>
      <c r="T775" s="299"/>
    </row>
    <row r="776" ht="15.75" customHeight="1">
      <c r="G776" s="298"/>
      <c r="H776" s="298"/>
      <c r="I776" s="299"/>
      <c r="J776" s="299"/>
      <c r="K776" s="299"/>
      <c r="L776" s="299"/>
      <c r="M776" s="299"/>
      <c r="N776" s="299"/>
      <c r="O776" s="299"/>
      <c r="P776" s="299"/>
      <c r="Q776" s="299"/>
      <c r="R776" s="299"/>
      <c r="S776" s="299"/>
      <c r="T776" s="299"/>
    </row>
    <row r="777" ht="15.75" customHeight="1">
      <c r="G777" s="298"/>
      <c r="H777" s="298"/>
      <c r="I777" s="299"/>
      <c r="J777" s="299"/>
      <c r="K777" s="299"/>
      <c r="L777" s="299"/>
      <c r="M777" s="299"/>
      <c r="N777" s="299"/>
      <c r="O777" s="299"/>
      <c r="P777" s="299"/>
      <c r="Q777" s="299"/>
      <c r="R777" s="299"/>
      <c r="S777" s="299"/>
      <c r="T777" s="299"/>
    </row>
    <row r="778" ht="15.75" customHeight="1">
      <c r="G778" s="298"/>
      <c r="H778" s="298"/>
      <c r="I778" s="299"/>
      <c r="J778" s="299"/>
      <c r="K778" s="299"/>
      <c r="L778" s="299"/>
      <c r="M778" s="299"/>
      <c r="N778" s="299"/>
      <c r="O778" s="299"/>
      <c r="P778" s="299"/>
      <c r="Q778" s="299"/>
      <c r="R778" s="299"/>
      <c r="S778" s="299"/>
      <c r="T778" s="299"/>
    </row>
    <row r="779" ht="15.75" customHeight="1">
      <c r="G779" s="298"/>
      <c r="H779" s="298"/>
      <c r="I779" s="299"/>
      <c r="J779" s="299"/>
      <c r="K779" s="299"/>
      <c r="L779" s="299"/>
      <c r="M779" s="299"/>
      <c r="N779" s="299"/>
      <c r="O779" s="299"/>
      <c r="P779" s="299"/>
      <c r="Q779" s="299"/>
      <c r="R779" s="299"/>
      <c r="S779" s="299"/>
      <c r="T779" s="299"/>
    </row>
    <row r="780" ht="15.75" customHeight="1">
      <c r="G780" s="298"/>
      <c r="H780" s="298"/>
      <c r="I780" s="299"/>
      <c r="J780" s="299"/>
      <c r="K780" s="299"/>
      <c r="L780" s="299"/>
      <c r="M780" s="299"/>
      <c r="N780" s="299"/>
      <c r="O780" s="299"/>
      <c r="P780" s="299"/>
      <c r="Q780" s="299"/>
      <c r="R780" s="299"/>
      <c r="S780" s="299"/>
      <c r="T780" s="299"/>
    </row>
    <row r="781" ht="15.75" customHeight="1">
      <c r="G781" s="298"/>
      <c r="H781" s="298"/>
      <c r="I781" s="299"/>
      <c r="J781" s="299"/>
      <c r="K781" s="299"/>
      <c r="L781" s="299"/>
      <c r="M781" s="299"/>
      <c r="N781" s="299"/>
      <c r="O781" s="299"/>
      <c r="P781" s="299"/>
      <c r="Q781" s="299"/>
      <c r="R781" s="299"/>
      <c r="S781" s="299"/>
      <c r="T781" s="299"/>
    </row>
    <row r="782" ht="15.75" customHeight="1">
      <c r="G782" s="298"/>
      <c r="H782" s="298"/>
      <c r="I782" s="299"/>
      <c r="J782" s="299"/>
      <c r="K782" s="299"/>
      <c r="L782" s="299"/>
      <c r="M782" s="299"/>
      <c r="N782" s="299"/>
      <c r="O782" s="299"/>
      <c r="P782" s="299"/>
      <c r="Q782" s="299"/>
      <c r="R782" s="299"/>
      <c r="S782" s="299"/>
      <c r="T782" s="299"/>
    </row>
    <row r="783" ht="15.75" customHeight="1">
      <c r="G783" s="298"/>
      <c r="H783" s="298"/>
      <c r="I783" s="299"/>
      <c r="J783" s="299"/>
      <c r="K783" s="299"/>
      <c r="L783" s="299"/>
      <c r="M783" s="299"/>
      <c r="N783" s="299"/>
      <c r="O783" s="299"/>
      <c r="P783" s="299"/>
      <c r="Q783" s="299"/>
      <c r="R783" s="299"/>
      <c r="S783" s="299"/>
      <c r="T783" s="299"/>
    </row>
    <row r="784" ht="15.75" customHeight="1">
      <c r="G784" s="298"/>
      <c r="H784" s="298"/>
      <c r="I784" s="299"/>
      <c r="J784" s="299"/>
      <c r="K784" s="299"/>
      <c r="L784" s="299"/>
      <c r="M784" s="299"/>
      <c r="N784" s="299"/>
      <c r="O784" s="299"/>
      <c r="P784" s="299"/>
      <c r="Q784" s="299"/>
      <c r="R784" s="299"/>
      <c r="S784" s="299"/>
      <c r="T784" s="299"/>
    </row>
    <row r="785" ht="15.75" customHeight="1">
      <c r="G785" s="298"/>
      <c r="H785" s="298"/>
      <c r="I785" s="299"/>
      <c r="J785" s="299"/>
      <c r="K785" s="299"/>
      <c r="L785" s="299"/>
      <c r="M785" s="299"/>
      <c r="N785" s="299"/>
      <c r="O785" s="299"/>
      <c r="P785" s="299"/>
      <c r="Q785" s="299"/>
      <c r="R785" s="299"/>
      <c r="S785" s="299"/>
      <c r="T785" s="299"/>
    </row>
    <row r="786" ht="15.75" customHeight="1">
      <c r="G786" s="298"/>
      <c r="H786" s="298"/>
      <c r="I786" s="299"/>
      <c r="J786" s="299"/>
      <c r="K786" s="299"/>
      <c r="L786" s="299"/>
      <c r="M786" s="299"/>
      <c r="N786" s="299"/>
      <c r="O786" s="299"/>
      <c r="P786" s="299"/>
      <c r="Q786" s="299"/>
      <c r="R786" s="299"/>
      <c r="S786" s="299"/>
      <c r="T786" s="299"/>
    </row>
    <row r="787" ht="15.75" customHeight="1">
      <c r="G787" s="298"/>
      <c r="H787" s="298"/>
      <c r="I787" s="299"/>
      <c r="J787" s="299"/>
      <c r="K787" s="299"/>
      <c r="L787" s="299"/>
      <c r="M787" s="299"/>
      <c r="N787" s="299"/>
      <c r="O787" s="299"/>
      <c r="P787" s="299"/>
      <c r="Q787" s="299"/>
      <c r="R787" s="299"/>
      <c r="S787" s="299"/>
      <c r="T787" s="299"/>
    </row>
    <row r="788" ht="15.75" customHeight="1">
      <c r="G788" s="298"/>
      <c r="H788" s="298"/>
      <c r="I788" s="299"/>
      <c r="J788" s="299"/>
      <c r="K788" s="299"/>
      <c r="L788" s="299"/>
      <c r="M788" s="299"/>
      <c r="N788" s="299"/>
      <c r="O788" s="299"/>
      <c r="P788" s="299"/>
      <c r="Q788" s="299"/>
      <c r="R788" s="299"/>
      <c r="S788" s="299"/>
      <c r="T788" s="299"/>
    </row>
    <row r="789" ht="15.75" customHeight="1">
      <c r="G789" s="298"/>
      <c r="H789" s="298"/>
      <c r="I789" s="299"/>
      <c r="J789" s="299"/>
      <c r="K789" s="299"/>
      <c r="L789" s="299"/>
      <c r="M789" s="299"/>
      <c r="N789" s="299"/>
      <c r="O789" s="299"/>
      <c r="P789" s="299"/>
      <c r="Q789" s="299"/>
      <c r="R789" s="299"/>
      <c r="S789" s="299"/>
      <c r="T789" s="299"/>
    </row>
    <row r="790" ht="15.75" customHeight="1">
      <c r="G790" s="298"/>
      <c r="H790" s="298"/>
      <c r="I790" s="299"/>
      <c r="J790" s="299"/>
      <c r="K790" s="299"/>
      <c r="L790" s="299"/>
      <c r="M790" s="299"/>
      <c r="N790" s="299"/>
      <c r="O790" s="299"/>
      <c r="P790" s="299"/>
      <c r="Q790" s="299"/>
      <c r="R790" s="299"/>
      <c r="S790" s="299"/>
      <c r="T790" s="299"/>
    </row>
    <row r="791" ht="15.75" customHeight="1">
      <c r="G791" s="298"/>
      <c r="H791" s="298"/>
      <c r="I791" s="299"/>
      <c r="J791" s="299"/>
      <c r="K791" s="299"/>
      <c r="L791" s="299"/>
      <c r="M791" s="299"/>
      <c r="N791" s="299"/>
      <c r="O791" s="299"/>
      <c r="P791" s="299"/>
      <c r="Q791" s="299"/>
      <c r="R791" s="299"/>
      <c r="S791" s="299"/>
      <c r="T791" s="299"/>
    </row>
    <row r="792" ht="15.75" customHeight="1">
      <c r="G792" s="298"/>
      <c r="H792" s="298"/>
      <c r="I792" s="299"/>
      <c r="J792" s="299"/>
      <c r="K792" s="299"/>
      <c r="L792" s="299"/>
      <c r="M792" s="299"/>
      <c r="N792" s="299"/>
      <c r="O792" s="299"/>
      <c r="P792" s="299"/>
      <c r="Q792" s="299"/>
      <c r="R792" s="299"/>
      <c r="S792" s="299"/>
      <c r="T792" s="299"/>
    </row>
    <row r="793" ht="15.75" customHeight="1">
      <c r="G793" s="298"/>
      <c r="H793" s="298"/>
      <c r="I793" s="299"/>
      <c r="J793" s="299"/>
      <c r="K793" s="299"/>
      <c r="L793" s="299"/>
      <c r="M793" s="299"/>
      <c r="N793" s="299"/>
      <c r="O793" s="299"/>
      <c r="P793" s="299"/>
      <c r="Q793" s="299"/>
      <c r="R793" s="299"/>
      <c r="S793" s="299"/>
      <c r="T793" s="299"/>
    </row>
    <row r="794" ht="15.75" customHeight="1">
      <c r="G794" s="298"/>
      <c r="H794" s="298"/>
      <c r="I794" s="299"/>
      <c r="J794" s="299"/>
      <c r="K794" s="299"/>
      <c r="L794" s="299"/>
      <c r="M794" s="299"/>
      <c r="N794" s="299"/>
      <c r="O794" s="299"/>
      <c r="P794" s="299"/>
      <c r="Q794" s="299"/>
      <c r="R794" s="299"/>
      <c r="S794" s="299"/>
      <c r="T794" s="299"/>
    </row>
    <row r="795" ht="15.75" customHeight="1">
      <c r="G795" s="298"/>
      <c r="H795" s="298"/>
      <c r="I795" s="299"/>
      <c r="J795" s="299"/>
      <c r="K795" s="299"/>
      <c r="L795" s="299"/>
      <c r="M795" s="299"/>
      <c r="N795" s="299"/>
      <c r="O795" s="299"/>
      <c r="P795" s="299"/>
      <c r="Q795" s="299"/>
      <c r="R795" s="299"/>
      <c r="S795" s="299"/>
      <c r="T795" s="299"/>
    </row>
    <row r="796" ht="15.75" customHeight="1">
      <c r="G796" s="298"/>
      <c r="H796" s="298"/>
      <c r="I796" s="299"/>
      <c r="J796" s="299"/>
      <c r="K796" s="299"/>
      <c r="L796" s="299"/>
      <c r="M796" s="299"/>
      <c r="N796" s="299"/>
      <c r="O796" s="299"/>
      <c r="P796" s="299"/>
      <c r="Q796" s="299"/>
      <c r="R796" s="299"/>
      <c r="S796" s="299"/>
      <c r="T796" s="299"/>
    </row>
    <row r="797" ht="15.75" customHeight="1">
      <c r="G797" s="298"/>
      <c r="H797" s="298"/>
      <c r="I797" s="299"/>
      <c r="J797" s="299"/>
      <c r="K797" s="299"/>
      <c r="L797" s="299"/>
      <c r="M797" s="299"/>
      <c r="N797" s="299"/>
      <c r="O797" s="299"/>
      <c r="P797" s="299"/>
      <c r="Q797" s="299"/>
      <c r="R797" s="299"/>
      <c r="S797" s="299"/>
      <c r="T797" s="299"/>
    </row>
    <row r="798" ht="15.75" customHeight="1">
      <c r="G798" s="298"/>
      <c r="H798" s="298"/>
      <c r="I798" s="299"/>
      <c r="J798" s="299"/>
      <c r="K798" s="299"/>
      <c r="L798" s="299"/>
      <c r="M798" s="299"/>
      <c r="N798" s="299"/>
      <c r="O798" s="299"/>
      <c r="P798" s="299"/>
      <c r="Q798" s="299"/>
      <c r="R798" s="299"/>
      <c r="S798" s="299"/>
      <c r="T798" s="299"/>
    </row>
    <row r="799" ht="15.75" customHeight="1">
      <c r="G799" s="298"/>
      <c r="H799" s="298"/>
      <c r="I799" s="299"/>
      <c r="J799" s="299"/>
      <c r="K799" s="299"/>
      <c r="L799" s="299"/>
      <c r="M799" s="299"/>
      <c r="N799" s="299"/>
      <c r="O799" s="299"/>
      <c r="P799" s="299"/>
      <c r="Q799" s="299"/>
      <c r="R799" s="299"/>
      <c r="S799" s="299"/>
      <c r="T799" s="299"/>
    </row>
    <row r="800" ht="15.75" customHeight="1">
      <c r="G800" s="298"/>
      <c r="H800" s="298"/>
      <c r="I800" s="299"/>
      <c r="J800" s="299"/>
      <c r="K800" s="299"/>
      <c r="L800" s="299"/>
      <c r="M800" s="299"/>
      <c r="N800" s="299"/>
      <c r="O800" s="299"/>
      <c r="P800" s="299"/>
      <c r="Q800" s="299"/>
      <c r="R800" s="299"/>
      <c r="S800" s="299"/>
      <c r="T800" s="299"/>
    </row>
    <row r="801" ht="15.75" customHeight="1">
      <c r="G801" s="298"/>
      <c r="H801" s="298"/>
      <c r="I801" s="299"/>
      <c r="J801" s="299"/>
      <c r="K801" s="299"/>
      <c r="L801" s="299"/>
      <c r="M801" s="299"/>
      <c r="N801" s="299"/>
      <c r="O801" s="299"/>
      <c r="P801" s="299"/>
      <c r="Q801" s="299"/>
      <c r="R801" s="299"/>
      <c r="S801" s="299"/>
      <c r="T801" s="299"/>
    </row>
    <row r="802" ht="15.75" customHeight="1">
      <c r="G802" s="298"/>
      <c r="H802" s="298"/>
      <c r="I802" s="299"/>
      <c r="J802" s="299"/>
      <c r="K802" s="299"/>
      <c r="L802" s="299"/>
      <c r="M802" s="299"/>
      <c r="N802" s="299"/>
      <c r="O802" s="299"/>
      <c r="P802" s="299"/>
      <c r="Q802" s="299"/>
      <c r="R802" s="299"/>
      <c r="S802" s="299"/>
      <c r="T802" s="299"/>
    </row>
    <row r="803" ht="15.75" customHeight="1">
      <c r="G803" s="298"/>
      <c r="H803" s="298"/>
      <c r="I803" s="299"/>
      <c r="J803" s="299"/>
      <c r="K803" s="299"/>
      <c r="L803" s="299"/>
      <c r="M803" s="299"/>
      <c r="N803" s="299"/>
      <c r="O803" s="299"/>
      <c r="P803" s="299"/>
      <c r="Q803" s="299"/>
      <c r="R803" s="299"/>
      <c r="S803" s="299"/>
      <c r="T803" s="299"/>
    </row>
    <row r="804" ht="15.75" customHeight="1">
      <c r="G804" s="298"/>
      <c r="H804" s="298"/>
      <c r="I804" s="299"/>
      <c r="J804" s="299"/>
      <c r="K804" s="299"/>
      <c r="L804" s="299"/>
      <c r="M804" s="299"/>
      <c r="N804" s="299"/>
      <c r="O804" s="299"/>
      <c r="P804" s="299"/>
      <c r="Q804" s="299"/>
      <c r="R804" s="299"/>
      <c r="S804" s="299"/>
      <c r="T804" s="299"/>
    </row>
    <row r="805" ht="15.75" customHeight="1">
      <c r="G805" s="298"/>
      <c r="H805" s="298"/>
      <c r="I805" s="299"/>
      <c r="J805" s="299"/>
      <c r="K805" s="299"/>
      <c r="L805" s="299"/>
      <c r="M805" s="299"/>
      <c r="N805" s="299"/>
      <c r="O805" s="299"/>
      <c r="P805" s="299"/>
      <c r="Q805" s="299"/>
      <c r="R805" s="299"/>
      <c r="S805" s="299"/>
      <c r="T805" s="299"/>
    </row>
    <row r="806" ht="15.75" customHeight="1">
      <c r="G806" s="298"/>
      <c r="H806" s="298"/>
      <c r="I806" s="299"/>
      <c r="J806" s="299"/>
      <c r="K806" s="299"/>
      <c r="L806" s="299"/>
      <c r="M806" s="299"/>
      <c r="N806" s="299"/>
      <c r="O806" s="299"/>
      <c r="P806" s="299"/>
      <c r="Q806" s="299"/>
      <c r="R806" s="299"/>
      <c r="S806" s="299"/>
      <c r="T806" s="299"/>
    </row>
    <row r="807" ht="15.75" customHeight="1">
      <c r="G807" s="298"/>
      <c r="H807" s="298"/>
      <c r="I807" s="299"/>
      <c r="J807" s="299"/>
      <c r="K807" s="299"/>
      <c r="L807" s="299"/>
      <c r="M807" s="299"/>
      <c r="N807" s="299"/>
      <c r="O807" s="299"/>
      <c r="P807" s="299"/>
      <c r="Q807" s="299"/>
      <c r="R807" s="299"/>
      <c r="S807" s="299"/>
      <c r="T807" s="299"/>
    </row>
    <row r="808" ht="15.75" customHeight="1">
      <c r="G808" s="298"/>
      <c r="H808" s="298"/>
      <c r="I808" s="299"/>
      <c r="J808" s="299"/>
      <c r="K808" s="299"/>
      <c r="L808" s="299"/>
      <c r="M808" s="299"/>
      <c r="N808" s="299"/>
      <c r="O808" s="299"/>
      <c r="P808" s="299"/>
      <c r="Q808" s="299"/>
      <c r="R808" s="299"/>
      <c r="S808" s="299"/>
      <c r="T808" s="299"/>
    </row>
    <row r="809" ht="15.75" customHeight="1">
      <c r="G809" s="298"/>
      <c r="H809" s="298"/>
      <c r="I809" s="299"/>
      <c r="J809" s="299"/>
      <c r="K809" s="299"/>
      <c r="L809" s="299"/>
      <c r="M809" s="299"/>
      <c r="N809" s="299"/>
      <c r="O809" s="299"/>
      <c r="P809" s="299"/>
      <c r="Q809" s="299"/>
      <c r="R809" s="299"/>
      <c r="S809" s="299"/>
      <c r="T809" s="299"/>
    </row>
    <row r="810" ht="15.75" customHeight="1">
      <c r="G810" s="298"/>
      <c r="H810" s="298"/>
      <c r="I810" s="299"/>
      <c r="J810" s="299"/>
      <c r="K810" s="299"/>
      <c r="L810" s="299"/>
      <c r="M810" s="299"/>
      <c r="N810" s="299"/>
      <c r="O810" s="299"/>
      <c r="P810" s="299"/>
      <c r="Q810" s="299"/>
      <c r="R810" s="299"/>
      <c r="S810" s="299"/>
      <c r="T810" s="299"/>
    </row>
    <row r="811" ht="15.75" customHeight="1">
      <c r="G811" s="298"/>
      <c r="H811" s="298"/>
      <c r="I811" s="299"/>
      <c r="J811" s="299"/>
      <c r="K811" s="299"/>
      <c r="L811" s="299"/>
      <c r="M811" s="299"/>
      <c r="N811" s="299"/>
      <c r="O811" s="299"/>
      <c r="P811" s="299"/>
      <c r="Q811" s="299"/>
      <c r="R811" s="299"/>
      <c r="S811" s="299"/>
      <c r="T811" s="299"/>
    </row>
    <row r="812" ht="15.75" customHeight="1">
      <c r="G812" s="298"/>
      <c r="H812" s="298"/>
      <c r="I812" s="299"/>
      <c r="J812" s="299"/>
      <c r="K812" s="299"/>
      <c r="L812" s="299"/>
      <c r="M812" s="299"/>
      <c r="N812" s="299"/>
      <c r="O812" s="299"/>
      <c r="P812" s="299"/>
      <c r="Q812" s="299"/>
      <c r="R812" s="299"/>
      <c r="S812" s="299"/>
      <c r="T812" s="299"/>
    </row>
    <row r="813" ht="15.75" customHeight="1">
      <c r="G813" s="298"/>
      <c r="H813" s="298"/>
      <c r="I813" s="299"/>
      <c r="J813" s="299"/>
      <c r="K813" s="299"/>
      <c r="L813" s="299"/>
      <c r="M813" s="299"/>
      <c r="N813" s="299"/>
      <c r="O813" s="299"/>
      <c r="P813" s="299"/>
      <c r="Q813" s="299"/>
      <c r="R813" s="299"/>
      <c r="S813" s="299"/>
      <c r="T813" s="299"/>
    </row>
    <row r="814" ht="15.75" customHeight="1">
      <c r="G814" s="298"/>
      <c r="H814" s="298"/>
      <c r="I814" s="299"/>
      <c r="J814" s="299"/>
      <c r="K814" s="299"/>
      <c r="L814" s="299"/>
      <c r="M814" s="299"/>
      <c r="N814" s="299"/>
      <c r="O814" s="299"/>
      <c r="P814" s="299"/>
      <c r="Q814" s="299"/>
      <c r="R814" s="299"/>
      <c r="S814" s="299"/>
      <c r="T814" s="299"/>
    </row>
    <row r="815" ht="15.75" customHeight="1">
      <c r="G815" s="298"/>
      <c r="H815" s="298"/>
      <c r="I815" s="299"/>
      <c r="J815" s="299"/>
      <c r="K815" s="299"/>
      <c r="L815" s="299"/>
      <c r="M815" s="299"/>
      <c r="N815" s="299"/>
      <c r="O815" s="299"/>
      <c r="P815" s="299"/>
      <c r="Q815" s="299"/>
      <c r="R815" s="299"/>
      <c r="S815" s="299"/>
      <c r="T815" s="299"/>
    </row>
    <row r="816" ht="15.75" customHeight="1">
      <c r="G816" s="298"/>
      <c r="H816" s="298"/>
      <c r="I816" s="299"/>
      <c r="J816" s="299"/>
      <c r="K816" s="299"/>
      <c r="L816" s="299"/>
      <c r="M816" s="299"/>
      <c r="N816" s="299"/>
      <c r="O816" s="299"/>
      <c r="P816" s="299"/>
      <c r="Q816" s="299"/>
      <c r="R816" s="299"/>
      <c r="S816" s="299"/>
      <c r="T816" s="299"/>
    </row>
    <row r="817" ht="15.75" customHeight="1">
      <c r="G817" s="298"/>
      <c r="H817" s="298"/>
      <c r="I817" s="299"/>
      <c r="J817" s="299"/>
      <c r="K817" s="299"/>
      <c r="L817" s="299"/>
      <c r="M817" s="299"/>
      <c r="N817" s="299"/>
      <c r="O817" s="299"/>
      <c r="P817" s="299"/>
      <c r="Q817" s="299"/>
      <c r="R817" s="299"/>
      <c r="S817" s="299"/>
      <c r="T817" s="299"/>
    </row>
    <row r="818" ht="15.75" customHeight="1">
      <c r="G818" s="298"/>
      <c r="H818" s="298"/>
      <c r="I818" s="299"/>
      <c r="J818" s="299"/>
      <c r="K818" s="299"/>
      <c r="L818" s="299"/>
      <c r="M818" s="299"/>
      <c r="N818" s="299"/>
      <c r="O818" s="299"/>
      <c r="P818" s="299"/>
      <c r="Q818" s="299"/>
      <c r="R818" s="299"/>
      <c r="S818" s="299"/>
      <c r="T818" s="299"/>
    </row>
    <row r="819" ht="15.75" customHeight="1">
      <c r="G819" s="298"/>
      <c r="H819" s="298"/>
      <c r="I819" s="299"/>
      <c r="J819" s="299"/>
      <c r="K819" s="299"/>
      <c r="L819" s="299"/>
      <c r="M819" s="299"/>
      <c r="N819" s="299"/>
      <c r="O819" s="299"/>
      <c r="P819" s="299"/>
      <c r="Q819" s="299"/>
      <c r="R819" s="299"/>
      <c r="S819" s="299"/>
      <c r="T819" s="299"/>
    </row>
    <row r="820" ht="15.75" customHeight="1">
      <c r="G820" s="298"/>
      <c r="H820" s="298"/>
      <c r="I820" s="299"/>
      <c r="J820" s="299"/>
      <c r="K820" s="299"/>
      <c r="L820" s="299"/>
      <c r="M820" s="299"/>
      <c r="N820" s="299"/>
      <c r="O820" s="299"/>
      <c r="P820" s="299"/>
      <c r="Q820" s="299"/>
      <c r="R820" s="299"/>
      <c r="S820" s="299"/>
      <c r="T820" s="299"/>
    </row>
    <row r="821" ht="15.75" customHeight="1">
      <c r="G821" s="298"/>
      <c r="H821" s="298"/>
      <c r="I821" s="299"/>
      <c r="J821" s="299"/>
      <c r="K821" s="299"/>
      <c r="L821" s="299"/>
      <c r="M821" s="299"/>
      <c r="N821" s="299"/>
      <c r="O821" s="299"/>
      <c r="P821" s="299"/>
      <c r="Q821" s="299"/>
      <c r="R821" s="299"/>
      <c r="S821" s="299"/>
      <c r="T821" s="299"/>
    </row>
    <row r="822" ht="15.75" customHeight="1">
      <c r="G822" s="298"/>
      <c r="H822" s="298"/>
      <c r="I822" s="299"/>
      <c r="J822" s="299"/>
      <c r="K822" s="299"/>
      <c r="L822" s="299"/>
      <c r="M822" s="299"/>
      <c r="N822" s="299"/>
      <c r="O822" s="299"/>
      <c r="P822" s="299"/>
      <c r="Q822" s="299"/>
      <c r="R822" s="299"/>
      <c r="S822" s="299"/>
      <c r="T822" s="299"/>
    </row>
    <row r="823" ht="15.75" customHeight="1">
      <c r="G823" s="298"/>
      <c r="H823" s="298"/>
      <c r="I823" s="299"/>
      <c r="J823" s="299"/>
      <c r="K823" s="299"/>
      <c r="L823" s="299"/>
      <c r="M823" s="299"/>
      <c r="N823" s="299"/>
      <c r="O823" s="299"/>
      <c r="P823" s="299"/>
      <c r="Q823" s="299"/>
      <c r="R823" s="299"/>
      <c r="S823" s="299"/>
      <c r="T823" s="299"/>
    </row>
    <row r="824" ht="15.75" customHeight="1">
      <c r="G824" s="298"/>
      <c r="H824" s="298"/>
      <c r="I824" s="299"/>
      <c r="J824" s="299"/>
      <c r="K824" s="299"/>
      <c r="L824" s="299"/>
      <c r="M824" s="299"/>
      <c r="N824" s="299"/>
      <c r="O824" s="299"/>
      <c r="P824" s="299"/>
      <c r="Q824" s="299"/>
      <c r="R824" s="299"/>
      <c r="S824" s="299"/>
      <c r="T824" s="299"/>
    </row>
    <row r="825" ht="15.75" customHeight="1">
      <c r="G825" s="298"/>
      <c r="H825" s="298"/>
      <c r="I825" s="299"/>
      <c r="J825" s="299"/>
      <c r="K825" s="299"/>
      <c r="L825" s="299"/>
      <c r="M825" s="299"/>
      <c r="N825" s="299"/>
      <c r="O825" s="299"/>
      <c r="P825" s="299"/>
      <c r="Q825" s="299"/>
      <c r="R825" s="299"/>
      <c r="S825" s="299"/>
      <c r="T825" s="299"/>
    </row>
    <row r="826" ht="15.75" customHeight="1">
      <c r="G826" s="298"/>
      <c r="H826" s="298"/>
      <c r="I826" s="299"/>
      <c r="J826" s="299"/>
      <c r="K826" s="299"/>
      <c r="L826" s="299"/>
      <c r="M826" s="299"/>
      <c r="N826" s="299"/>
      <c r="O826" s="299"/>
      <c r="P826" s="299"/>
      <c r="Q826" s="299"/>
      <c r="R826" s="299"/>
      <c r="S826" s="299"/>
      <c r="T826" s="299"/>
    </row>
    <row r="827" ht="15.75" customHeight="1">
      <c r="G827" s="298"/>
      <c r="H827" s="298"/>
      <c r="I827" s="299"/>
      <c r="J827" s="299"/>
      <c r="K827" s="299"/>
      <c r="L827" s="299"/>
      <c r="M827" s="299"/>
      <c r="N827" s="299"/>
      <c r="O827" s="299"/>
      <c r="P827" s="299"/>
      <c r="Q827" s="299"/>
      <c r="R827" s="299"/>
      <c r="S827" s="299"/>
      <c r="T827" s="299"/>
    </row>
    <row r="828" ht="15.75" customHeight="1">
      <c r="G828" s="298"/>
      <c r="H828" s="298"/>
      <c r="I828" s="299"/>
      <c r="J828" s="299"/>
      <c r="K828" s="299"/>
      <c r="L828" s="299"/>
      <c r="M828" s="299"/>
      <c r="N828" s="299"/>
      <c r="O828" s="299"/>
      <c r="P828" s="299"/>
      <c r="Q828" s="299"/>
      <c r="R828" s="299"/>
      <c r="S828" s="299"/>
      <c r="T828" s="299"/>
    </row>
    <row r="829" ht="15.75" customHeight="1">
      <c r="G829" s="298"/>
      <c r="H829" s="298"/>
      <c r="I829" s="299"/>
      <c r="J829" s="299"/>
      <c r="K829" s="299"/>
      <c r="L829" s="299"/>
      <c r="M829" s="299"/>
      <c r="N829" s="299"/>
      <c r="O829" s="299"/>
      <c r="P829" s="299"/>
      <c r="Q829" s="299"/>
      <c r="R829" s="299"/>
      <c r="S829" s="299"/>
      <c r="T829" s="299"/>
    </row>
    <row r="830" ht="15.75" customHeight="1">
      <c r="G830" s="298"/>
      <c r="H830" s="298"/>
      <c r="I830" s="299"/>
      <c r="J830" s="299"/>
      <c r="K830" s="299"/>
      <c r="L830" s="299"/>
      <c r="M830" s="299"/>
      <c r="N830" s="299"/>
      <c r="O830" s="299"/>
      <c r="P830" s="299"/>
      <c r="Q830" s="299"/>
      <c r="R830" s="299"/>
      <c r="S830" s="299"/>
      <c r="T830" s="299"/>
    </row>
    <row r="831" ht="15.75" customHeight="1">
      <c r="G831" s="298"/>
      <c r="H831" s="298"/>
      <c r="I831" s="299"/>
      <c r="J831" s="299"/>
      <c r="K831" s="299"/>
      <c r="L831" s="299"/>
      <c r="M831" s="299"/>
      <c r="N831" s="299"/>
      <c r="O831" s="299"/>
      <c r="P831" s="299"/>
      <c r="Q831" s="299"/>
      <c r="R831" s="299"/>
      <c r="S831" s="299"/>
      <c r="T831" s="299"/>
    </row>
    <row r="832" ht="15.75" customHeight="1">
      <c r="G832" s="298"/>
      <c r="H832" s="298"/>
      <c r="I832" s="299"/>
      <c r="J832" s="299"/>
      <c r="K832" s="299"/>
      <c r="L832" s="299"/>
      <c r="M832" s="299"/>
      <c r="N832" s="299"/>
      <c r="O832" s="299"/>
      <c r="P832" s="299"/>
      <c r="Q832" s="299"/>
      <c r="R832" s="299"/>
      <c r="S832" s="299"/>
      <c r="T832" s="299"/>
    </row>
    <row r="833" ht="15.75" customHeight="1">
      <c r="G833" s="298"/>
      <c r="H833" s="298"/>
      <c r="I833" s="299"/>
      <c r="J833" s="299"/>
      <c r="K833" s="299"/>
      <c r="L833" s="299"/>
      <c r="M833" s="299"/>
      <c r="N833" s="299"/>
      <c r="O833" s="299"/>
      <c r="P833" s="299"/>
      <c r="Q833" s="299"/>
      <c r="R833" s="299"/>
      <c r="S833" s="299"/>
      <c r="T833" s="299"/>
    </row>
    <row r="834" ht="15.75" customHeight="1">
      <c r="G834" s="298"/>
      <c r="H834" s="298"/>
      <c r="I834" s="299"/>
      <c r="J834" s="299"/>
      <c r="K834" s="299"/>
      <c r="L834" s="299"/>
      <c r="M834" s="299"/>
      <c r="N834" s="299"/>
      <c r="O834" s="299"/>
      <c r="P834" s="299"/>
      <c r="Q834" s="299"/>
      <c r="R834" s="299"/>
      <c r="S834" s="299"/>
      <c r="T834" s="299"/>
    </row>
    <row r="835" ht="15.75" customHeight="1">
      <c r="G835" s="298"/>
      <c r="H835" s="298"/>
      <c r="I835" s="299"/>
      <c r="J835" s="299"/>
      <c r="K835" s="299"/>
      <c r="L835" s="299"/>
      <c r="M835" s="299"/>
      <c r="N835" s="299"/>
      <c r="O835" s="299"/>
      <c r="P835" s="299"/>
      <c r="Q835" s="299"/>
      <c r="R835" s="299"/>
      <c r="S835" s="299"/>
      <c r="T835" s="299"/>
    </row>
    <row r="836" ht="15.75" customHeight="1">
      <c r="G836" s="298"/>
      <c r="H836" s="298"/>
      <c r="I836" s="299"/>
      <c r="J836" s="299"/>
      <c r="K836" s="299"/>
      <c r="L836" s="299"/>
      <c r="M836" s="299"/>
      <c r="N836" s="299"/>
      <c r="O836" s="299"/>
      <c r="P836" s="299"/>
      <c r="Q836" s="299"/>
      <c r="R836" s="299"/>
      <c r="S836" s="299"/>
      <c r="T836" s="299"/>
    </row>
    <row r="837" ht="15.75" customHeight="1">
      <c r="G837" s="298"/>
      <c r="H837" s="298"/>
      <c r="I837" s="299"/>
      <c r="J837" s="299"/>
      <c r="K837" s="299"/>
      <c r="L837" s="299"/>
      <c r="M837" s="299"/>
      <c r="N837" s="299"/>
      <c r="O837" s="299"/>
      <c r="P837" s="299"/>
      <c r="Q837" s="299"/>
      <c r="R837" s="299"/>
      <c r="S837" s="299"/>
      <c r="T837" s="299"/>
    </row>
    <row r="838" ht="15.75" customHeight="1">
      <c r="G838" s="298"/>
      <c r="H838" s="298"/>
      <c r="I838" s="299"/>
      <c r="J838" s="299"/>
      <c r="K838" s="299"/>
      <c r="L838" s="299"/>
      <c r="M838" s="299"/>
      <c r="N838" s="299"/>
      <c r="O838" s="299"/>
      <c r="P838" s="299"/>
      <c r="Q838" s="299"/>
      <c r="R838" s="299"/>
      <c r="S838" s="299"/>
      <c r="T838" s="299"/>
    </row>
    <row r="839" ht="15.75" customHeight="1">
      <c r="G839" s="298"/>
      <c r="H839" s="298"/>
      <c r="I839" s="299"/>
      <c r="J839" s="299"/>
      <c r="K839" s="299"/>
      <c r="L839" s="299"/>
      <c r="M839" s="299"/>
      <c r="N839" s="299"/>
      <c r="O839" s="299"/>
      <c r="P839" s="299"/>
      <c r="Q839" s="299"/>
      <c r="R839" s="299"/>
      <c r="S839" s="299"/>
      <c r="T839" s="299"/>
    </row>
    <row r="840" ht="15.75" customHeight="1">
      <c r="G840" s="298"/>
      <c r="H840" s="298"/>
      <c r="I840" s="299"/>
      <c r="J840" s="299"/>
      <c r="K840" s="299"/>
      <c r="L840" s="299"/>
      <c r="M840" s="299"/>
      <c r="N840" s="299"/>
      <c r="O840" s="299"/>
      <c r="P840" s="299"/>
      <c r="Q840" s="299"/>
      <c r="R840" s="299"/>
      <c r="S840" s="299"/>
      <c r="T840" s="299"/>
    </row>
    <row r="841" ht="15.75" customHeight="1">
      <c r="G841" s="298"/>
      <c r="H841" s="298"/>
      <c r="I841" s="299"/>
      <c r="J841" s="299"/>
      <c r="K841" s="299"/>
      <c r="L841" s="299"/>
      <c r="M841" s="299"/>
      <c r="N841" s="299"/>
      <c r="O841" s="299"/>
      <c r="P841" s="299"/>
      <c r="Q841" s="299"/>
      <c r="R841" s="299"/>
      <c r="S841" s="299"/>
      <c r="T841" s="299"/>
    </row>
    <row r="842" ht="15.75" customHeight="1">
      <c r="G842" s="298"/>
      <c r="H842" s="298"/>
      <c r="I842" s="299"/>
      <c r="J842" s="299"/>
      <c r="K842" s="299"/>
      <c r="L842" s="299"/>
      <c r="M842" s="299"/>
      <c r="N842" s="299"/>
      <c r="O842" s="299"/>
      <c r="P842" s="299"/>
      <c r="Q842" s="299"/>
      <c r="R842" s="299"/>
      <c r="S842" s="299"/>
      <c r="T842" s="299"/>
    </row>
    <row r="843" ht="15.75" customHeight="1">
      <c r="G843" s="298"/>
      <c r="H843" s="298"/>
      <c r="I843" s="299"/>
      <c r="J843" s="299"/>
      <c r="K843" s="299"/>
      <c r="L843" s="299"/>
      <c r="M843" s="299"/>
      <c r="N843" s="299"/>
      <c r="O843" s="299"/>
      <c r="P843" s="299"/>
      <c r="Q843" s="299"/>
      <c r="R843" s="299"/>
      <c r="S843" s="299"/>
      <c r="T843" s="299"/>
    </row>
    <row r="844" ht="15.75" customHeight="1">
      <c r="G844" s="298"/>
      <c r="H844" s="298"/>
      <c r="I844" s="299"/>
      <c r="J844" s="299"/>
      <c r="K844" s="299"/>
      <c r="L844" s="299"/>
      <c r="M844" s="299"/>
      <c r="N844" s="299"/>
      <c r="O844" s="299"/>
      <c r="P844" s="299"/>
      <c r="Q844" s="299"/>
      <c r="R844" s="299"/>
      <c r="S844" s="299"/>
      <c r="T844" s="299"/>
    </row>
    <row r="845" ht="15.75" customHeight="1">
      <c r="G845" s="298"/>
      <c r="H845" s="298"/>
      <c r="I845" s="299"/>
      <c r="J845" s="299"/>
      <c r="K845" s="299"/>
      <c r="L845" s="299"/>
      <c r="M845" s="299"/>
      <c r="N845" s="299"/>
      <c r="O845" s="299"/>
      <c r="P845" s="299"/>
      <c r="Q845" s="299"/>
      <c r="R845" s="299"/>
      <c r="S845" s="299"/>
      <c r="T845" s="299"/>
    </row>
    <row r="846" ht="15.75" customHeight="1">
      <c r="G846" s="298"/>
      <c r="H846" s="298"/>
      <c r="I846" s="299"/>
      <c r="J846" s="299"/>
      <c r="K846" s="299"/>
      <c r="L846" s="299"/>
      <c r="M846" s="299"/>
      <c r="N846" s="299"/>
      <c r="O846" s="299"/>
      <c r="P846" s="299"/>
      <c r="Q846" s="299"/>
      <c r="R846" s="299"/>
      <c r="S846" s="299"/>
      <c r="T846" s="299"/>
    </row>
    <row r="847" ht="15.75" customHeight="1">
      <c r="G847" s="298"/>
      <c r="H847" s="298"/>
      <c r="I847" s="299"/>
      <c r="J847" s="299"/>
      <c r="K847" s="299"/>
      <c r="L847" s="299"/>
      <c r="M847" s="299"/>
      <c r="N847" s="299"/>
      <c r="O847" s="299"/>
      <c r="P847" s="299"/>
      <c r="Q847" s="299"/>
      <c r="R847" s="299"/>
      <c r="S847" s="299"/>
      <c r="T847" s="299"/>
    </row>
    <row r="848" ht="15.75" customHeight="1">
      <c r="G848" s="298"/>
      <c r="H848" s="298"/>
      <c r="I848" s="299"/>
      <c r="J848" s="299"/>
      <c r="K848" s="299"/>
      <c r="L848" s="299"/>
      <c r="M848" s="299"/>
      <c r="N848" s="299"/>
      <c r="O848" s="299"/>
      <c r="P848" s="299"/>
      <c r="Q848" s="299"/>
      <c r="R848" s="299"/>
      <c r="S848" s="299"/>
      <c r="T848" s="299"/>
    </row>
    <row r="849" ht="15.75" customHeight="1">
      <c r="G849" s="298"/>
      <c r="H849" s="298"/>
      <c r="I849" s="299"/>
      <c r="J849" s="299"/>
      <c r="K849" s="299"/>
      <c r="L849" s="299"/>
      <c r="M849" s="299"/>
      <c r="N849" s="299"/>
      <c r="O849" s="299"/>
      <c r="P849" s="299"/>
      <c r="Q849" s="299"/>
      <c r="R849" s="299"/>
      <c r="S849" s="299"/>
      <c r="T849" s="299"/>
    </row>
    <row r="850" ht="15.75" customHeight="1">
      <c r="G850" s="298"/>
      <c r="H850" s="298"/>
      <c r="I850" s="299"/>
      <c r="J850" s="299"/>
      <c r="K850" s="299"/>
      <c r="L850" s="299"/>
      <c r="M850" s="299"/>
      <c r="N850" s="299"/>
      <c r="O850" s="299"/>
      <c r="P850" s="299"/>
      <c r="Q850" s="299"/>
      <c r="R850" s="299"/>
      <c r="S850" s="299"/>
      <c r="T850" s="299"/>
    </row>
    <row r="851" ht="15.75" customHeight="1">
      <c r="G851" s="298"/>
      <c r="H851" s="298"/>
      <c r="I851" s="299"/>
      <c r="J851" s="299"/>
      <c r="K851" s="299"/>
      <c r="L851" s="299"/>
      <c r="M851" s="299"/>
      <c r="N851" s="299"/>
      <c r="O851" s="299"/>
      <c r="P851" s="299"/>
      <c r="Q851" s="299"/>
      <c r="R851" s="299"/>
      <c r="S851" s="299"/>
      <c r="T851" s="299"/>
    </row>
    <row r="852" ht="15.75" customHeight="1">
      <c r="G852" s="298"/>
      <c r="H852" s="298"/>
      <c r="I852" s="299"/>
      <c r="J852" s="299"/>
      <c r="K852" s="299"/>
      <c r="L852" s="299"/>
      <c r="M852" s="299"/>
      <c r="N852" s="299"/>
      <c r="O852" s="299"/>
      <c r="P852" s="299"/>
      <c r="Q852" s="299"/>
      <c r="R852" s="299"/>
      <c r="S852" s="299"/>
      <c r="T852" s="299"/>
    </row>
    <row r="853" ht="15.75" customHeight="1">
      <c r="G853" s="298"/>
      <c r="H853" s="298"/>
      <c r="I853" s="299"/>
      <c r="J853" s="299"/>
      <c r="K853" s="299"/>
      <c r="L853" s="299"/>
      <c r="M853" s="299"/>
      <c r="N853" s="299"/>
      <c r="O853" s="299"/>
      <c r="P853" s="299"/>
      <c r="Q853" s="299"/>
      <c r="R853" s="299"/>
      <c r="S853" s="299"/>
      <c r="T853" s="299"/>
    </row>
    <row r="854" ht="15.75" customHeight="1">
      <c r="G854" s="298"/>
      <c r="H854" s="298"/>
      <c r="I854" s="299"/>
      <c r="J854" s="299"/>
      <c r="K854" s="299"/>
      <c r="L854" s="299"/>
      <c r="M854" s="299"/>
      <c r="N854" s="299"/>
      <c r="O854" s="299"/>
      <c r="P854" s="299"/>
      <c r="Q854" s="299"/>
      <c r="R854" s="299"/>
      <c r="S854" s="299"/>
      <c r="T854" s="299"/>
    </row>
    <row r="855" ht="15.75" customHeight="1">
      <c r="G855" s="298"/>
      <c r="H855" s="298"/>
      <c r="I855" s="299"/>
      <c r="J855" s="299"/>
      <c r="K855" s="299"/>
      <c r="L855" s="299"/>
      <c r="M855" s="299"/>
      <c r="N855" s="299"/>
      <c r="O855" s="299"/>
      <c r="P855" s="299"/>
      <c r="Q855" s="299"/>
      <c r="R855" s="299"/>
      <c r="S855" s="299"/>
      <c r="T855" s="299"/>
    </row>
    <row r="856" ht="15.75" customHeight="1">
      <c r="G856" s="298"/>
      <c r="H856" s="298"/>
      <c r="I856" s="299"/>
      <c r="J856" s="299"/>
      <c r="K856" s="299"/>
      <c r="L856" s="299"/>
      <c r="M856" s="299"/>
      <c r="N856" s="299"/>
      <c r="O856" s="299"/>
      <c r="P856" s="299"/>
      <c r="Q856" s="299"/>
      <c r="R856" s="299"/>
      <c r="S856" s="299"/>
      <c r="T856" s="299"/>
    </row>
    <row r="857" ht="15.75" customHeight="1">
      <c r="G857" s="298"/>
      <c r="H857" s="298"/>
      <c r="I857" s="299"/>
      <c r="J857" s="299"/>
      <c r="K857" s="299"/>
      <c r="L857" s="299"/>
      <c r="M857" s="299"/>
      <c r="N857" s="299"/>
      <c r="O857" s="299"/>
      <c r="P857" s="299"/>
      <c r="Q857" s="299"/>
      <c r="R857" s="299"/>
      <c r="S857" s="299"/>
      <c r="T857" s="299"/>
    </row>
    <row r="858" ht="15.75" customHeight="1">
      <c r="G858" s="298"/>
      <c r="H858" s="298"/>
      <c r="I858" s="299"/>
      <c r="J858" s="299"/>
      <c r="K858" s="299"/>
      <c r="L858" s="299"/>
      <c r="M858" s="299"/>
      <c r="N858" s="299"/>
      <c r="O858" s="299"/>
      <c r="P858" s="299"/>
      <c r="Q858" s="299"/>
      <c r="R858" s="299"/>
      <c r="S858" s="299"/>
      <c r="T858" s="299"/>
    </row>
    <row r="859" ht="15.75" customHeight="1">
      <c r="G859" s="298"/>
      <c r="H859" s="298"/>
      <c r="I859" s="299"/>
      <c r="J859" s="299"/>
      <c r="K859" s="299"/>
      <c r="L859" s="299"/>
      <c r="M859" s="299"/>
      <c r="N859" s="299"/>
      <c r="O859" s="299"/>
      <c r="P859" s="299"/>
      <c r="Q859" s="299"/>
      <c r="R859" s="299"/>
      <c r="S859" s="299"/>
      <c r="T859" s="299"/>
    </row>
    <row r="860" ht="15.75" customHeight="1">
      <c r="G860" s="298"/>
      <c r="H860" s="298"/>
      <c r="I860" s="299"/>
      <c r="J860" s="299"/>
      <c r="K860" s="299"/>
      <c r="L860" s="299"/>
      <c r="M860" s="299"/>
      <c r="N860" s="299"/>
      <c r="O860" s="299"/>
      <c r="P860" s="299"/>
      <c r="Q860" s="299"/>
      <c r="R860" s="299"/>
      <c r="S860" s="299"/>
      <c r="T860" s="299"/>
    </row>
    <row r="861" ht="15.75" customHeight="1">
      <c r="G861" s="298"/>
      <c r="H861" s="298"/>
      <c r="I861" s="299"/>
      <c r="J861" s="299"/>
      <c r="K861" s="299"/>
      <c r="L861" s="299"/>
      <c r="M861" s="299"/>
      <c r="N861" s="299"/>
      <c r="O861" s="299"/>
      <c r="P861" s="299"/>
      <c r="Q861" s="299"/>
      <c r="R861" s="299"/>
      <c r="S861" s="299"/>
      <c r="T861" s="299"/>
    </row>
    <row r="862" ht="15.75" customHeight="1">
      <c r="G862" s="298"/>
      <c r="H862" s="298"/>
      <c r="I862" s="299"/>
      <c r="J862" s="299"/>
      <c r="K862" s="299"/>
      <c r="L862" s="299"/>
      <c r="M862" s="299"/>
      <c r="N862" s="299"/>
      <c r="O862" s="299"/>
      <c r="P862" s="299"/>
      <c r="Q862" s="299"/>
      <c r="R862" s="299"/>
      <c r="S862" s="299"/>
      <c r="T862" s="299"/>
    </row>
    <row r="863" ht="15.75" customHeight="1">
      <c r="G863" s="298"/>
      <c r="H863" s="298"/>
      <c r="I863" s="299"/>
      <c r="J863" s="299"/>
      <c r="K863" s="299"/>
      <c r="L863" s="299"/>
      <c r="M863" s="299"/>
      <c r="N863" s="299"/>
      <c r="O863" s="299"/>
      <c r="P863" s="299"/>
      <c r="Q863" s="299"/>
      <c r="R863" s="299"/>
      <c r="S863" s="299"/>
      <c r="T863" s="299"/>
    </row>
    <row r="864" ht="15.75" customHeight="1">
      <c r="G864" s="298"/>
      <c r="H864" s="298"/>
      <c r="I864" s="299"/>
      <c r="J864" s="299"/>
      <c r="K864" s="299"/>
      <c r="L864" s="299"/>
      <c r="M864" s="299"/>
      <c r="N864" s="299"/>
      <c r="O864" s="299"/>
      <c r="P864" s="299"/>
      <c r="Q864" s="299"/>
      <c r="R864" s="299"/>
      <c r="S864" s="299"/>
      <c r="T864" s="299"/>
    </row>
    <row r="865" ht="15.75" customHeight="1">
      <c r="G865" s="298"/>
      <c r="H865" s="298"/>
      <c r="I865" s="299"/>
      <c r="J865" s="299"/>
      <c r="K865" s="299"/>
      <c r="L865" s="299"/>
      <c r="M865" s="299"/>
      <c r="N865" s="299"/>
      <c r="O865" s="299"/>
      <c r="P865" s="299"/>
      <c r="Q865" s="299"/>
      <c r="R865" s="299"/>
      <c r="S865" s="299"/>
      <c r="T865" s="299"/>
    </row>
    <row r="866" ht="15.75" customHeight="1">
      <c r="G866" s="298"/>
      <c r="H866" s="298"/>
      <c r="I866" s="299"/>
      <c r="J866" s="299"/>
      <c r="K866" s="299"/>
      <c r="L866" s="299"/>
      <c r="M866" s="299"/>
      <c r="N866" s="299"/>
      <c r="O866" s="299"/>
      <c r="P866" s="299"/>
      <c r="Q866" s="299"/>
      <c r="R866" s="299"/>
      <c r="S866" s="299"/>
      <c r="T866" s="299"/>
    </row>
    <row r="867" ht="15.75" customHeight="1">
      <c r="G867" s="298"/>
      <c r="H867" s="298"/>
      <c r="I867" s="299"/>
      <c r="J867" s="299"/>
      <c r="K867" s="299"/>
      <c r="L867" s="299"/>
      <c r="M867" s="299"/>
      <c r="N867" s="299"/>
      <c r="O867" s="299"/>
      <c r="P867" s="299"/>
      <c r="Q867" s="299"/>
      <c r="R867" s="299"/>
      <c r="S867" s="299"/>
      <c r="T867" s="299"/>
    </row>
    <row r="868" ht="15.75" customHeight="1">
      <c r="G868" s="298"/>
      <c r="H868" s="298"/>
      <c r="I868" s="299"/>
      <c r="J868" s="299"/>
      <c r="K868" s="299"/>
      <c r="L868" s="299"/>
      <c r="M868" s="299"/>
      <c r="N868" s="299"/>
      <c r="O868" s="299"/>
      <c r="P868" s="299"/>
      <c r="Q868" s="299"/>
      <c r="R868" s="299"/>
      <c r="S868" s="299"/>
      <c r="T868" s="299"/>
    </row>
    <row r="869" ht="15.75" customHeight="1">
      <c r="G869" s="298"/>
      <c r="H869" s="298"/>
      <c r="I869" s="299"/>
      <c r="J869" s="299"/>
      <c r="K869" s="299"/>
      <c r="L869" s="299"/>
      <c r="M869" s="299"/>
      <c r="N869" s="299"/>
      <c r="O869" s="299"/>
      <c r="P869" s="299"/>
      <c r="Q869" s="299"/>
      <c r="R869" s="299"/>
      <c r="S869" s="299"/>
      <c r="T869" s="299"/>
    </row>
    <row r="870" ht="15.75" customHeight="1">
      <c r="G870" s="298"/>
      <c r="H870" s="298"/>
      <c r="I870" s="299"/>
      <c r="J870" s="299"/>
      <c r="K870" s="299"/>
      <c r="L870" s="299"/>
      <c r="M870" s="299"/>
      <c r="N870" s="299"/>
      <c r="O870" s="299"/>
      <c r="P870" s="299"/>
      <c r="Q870" s="299"/>
      <c r="R870" s="299"/>
      <c r="S870" s="299"/>
      <c r="T870" s="299"/>
    </row>
    <row r="871" ht="15.75" customHeight="1">
      <c r="G871" s="298"/>
      <c r="H871" s="298"/>
      <c r="I871" s="299"/>
      <c r="J871" s="299"/>
      <c r="K871" s="299"/>
      <c r="L871" s="299"/>
      <c r="M871" s="299"/>
      <c r="N871" s="299"/>
      <c r="O871" s="299"/>
      <c r="P871" s="299"/>
      <c r="Q871" s="299"/>
      <c r="R871" s="299"/>
      <c r="S871" s="299"/>
      <c r="T871" s="299"/>
    </row>
    <row r="872" ht="15.75" customHeight="1">
      <c r="G872" s="298"/>
      <c r="H872" s="298"/>
      <c r="I872" s="299"/>
      <c r="J872" s="299"/>
      <c r="K872" s="299"/>
      <c r="L872" s="299"/>
      <c r="M872" s="299"/>
      <c r="N872" s="299"/>
      <c r="O872" s="299"/>
      <c r="P872" s="299"/>
      <c r="Q872" s="299"/>
      <c r="R872" s="299"/>
      <c r="S872" s="299"/>
      <c r="T872" s="299"/>
    </row>
    <row r="873" ht="15.75" customHeight="1">
      <c r="G873" s="298"/>
      <c r="H873" s="298"/>
      <c r="I873" s="299"/>
      <c r="J873" s="299"/>
      <c r="K873" s="299"/>
      <c r="L873" s="299"/>
      <c r="M873" s="299"/>
      <c r="N873" s="299"/>
      <c r="O873" s="299"/>
      <c r="P873" s="299"/>
      <c r="Q873" s="299"/>
      <c r="R873" s="299"/>
      <c r="S873" s="299"/>
      <c r="T873" s="299"/>
    </row>
    <row r="874" ht="15.75" customHeight="1">
      <c r="G874" s="298"/>
      <c r="H874" s="298"/>
      <c r="I874" s="299"/>
      <c r="J874" s="299"/>
      <c r="K874" s="299"/>
      <c r="L874" s="299"/>
      <c r="M874" s="299"/>
      <c r="N874" s="299"/>
      <c r="O874" s="299"/>
      <c r="P874" s="299"/>
      <c r="Q874" s="299"/>
      <c r="R874" s="299"/>
      <c r="S874" s="299"/>
      <c r="T874" s="299"/>
    </row>
    <row r="875" ht="15.75" customHeight="1">
      <c r="G875" s="298"/>
      <c r="H875" s="298"/>
      <c r="I875" s="299"/>
      <c r="J875" s="299"/>
      <c r="K875" s="299"/>
      <c r="L875" s="299"/>
      <c r="M875" s="299"/>
      <c r="N875" s="299"/>
      <c r="O875" s="299"/>
      <c r="P875" s="299"/>
      <c r="Q875" s="299"/>
      <c r="R875" s="299"/>
      <c r="S875" s="299"/>
      <c r="T875" s="299"/>
    </row>
    <row r="876" ht="15.75" customHeight="1">
      <c r="G876" s="298"/>
      <c r="H876" s="298"/>
      <c r="I876" s="299"/>
      <c r="J876" s="299"/>
      <c r="K876" s="299"/>
      <c r="L876" s="299"/>
      <c r="M876" s="299"/>
      <c r="N876" s="299"/>
      <c r="O876" s="299"/>
      <c r="P876" s="299"/>
      <c r="Q876" s="299"/>
      <c r="R876" s="299"/>
      <c r="S876" s="299"/>
      <c r="T876" s="299"/>
    </row>
    <row r="877" ht="15.75" customHeight="1">
      <c r="G877" s="298"/>
      <c r="H877" s="298"/>
      <c r="I877" s="299"/>
      <c r="J877" s="299"/>
      <c r="K877" s="299"/>
      <c r="L877" s="299"/>
      <c r="M877" s="299"/>
      <c r="N877" s="299"/>
      <c r="O877" s="299"/>
      <c r="P877" s="299"/>
      <c r="Q877" s="299"/>
      <c r="R877" s="299"/>
      <c r="S877" s="299"/>
      <c r="T877" s="299"/>
    </row>
    <row r="878" ht="15.75" customHeight="1">
      <c r="G878" s="298"/>
      <c r="H878" s="298"/>
      <c r="I878" s="299"/>
      <c r="J878" s="299"/>
      <c r="K878" s="299"/>
      <c r="L878" s="299"/>
      <c r="M878" s="299"/>
      <c r="N878" s="299"/>
      <c r="O878" s="299"/>
      <c r="P878" s="299"/>
      <c r="Q878" s="299"/>
      <c r="R878" s="299"/>
      <c r="S878" s="299"/>
      <c r="T878" s="299"/>
    </row>
    <row r="879" ht="15.75" customHeight="1">
      <c r="G879" s="298"/>
      <c r="H879" s="298"/>
      <c r="I879" s="299"/>
      <c r="J879" s="299"/>
      <c r="K879" s="299"/>
      <c r="L879" s="299"/>
      <c r="M879" s="299"/>
      <c r="N879" s="299"/>
      <c r="O879" s="299"/>
      <c r="P879" s="299"/>
      <c r="Q879" s="299"/>
      <c r="R879" s="299"/>
      <c r="S879" s="299"/>
      <c r="T879" s="299"/>
    </row>
    <row r="880" ht="15.75" customHeight="1">
      <c r="G880" s="298"/>
      <c r="H880" s="298"/>
      <c r="I880" s="299"/>
      <c r="J880" s="299"/>
      <c r="K880" s="299"/>
      <c r="L880" s="299"/>
      <c r="M880" s="299"/>
      <c r="N880" s="299"/>
      <c r="O880" s="299"/>
      <c r="P880" s="299"/>
      <c r="Q880" s="299"/>
      <c r="R880" s="299"/>
      <c r="S880" s="299"/>
      <c r="T880" s="299"/>
    </row>
    <row r="881" ht="15.75" customHeight="1">
      <c r="G881" s="298"/>
      <c r="H881" s="298"/>
      <c r="I881" s="299"/>
      <c r="J881" s="299"/>
      <c r="K881" s="299"/>
      <c r="L881" s="299"/>
      <c r="M881" s="299"/>
      <c r="N881" s="299"/>
      <c r="O881" s="299"/>
      <c r="P881" s="299"/>
      <c r="Q881" s="299"/>
      <c r="R881" s="299"/>
      <c r="S881" s="299"/>
      <c r="T881" s="299"/>
    </row>
    <row r="882" ht="15.75" customHeight="1">
      <c r="G882" s="298"/>
      <c r="H882" s="298"/>
      <c r="I882" s="299"/>
      <c r="J882" s="299"/>
      <c r="K882" s="299"/>
      <c r="L882" s="299"/>
      <c r="M882" s="299"/>
      <c r="N882" s="299"/>
      <c r="O882" s="299"/>
      <c r="P882" s="299"/>
      <c r="Q882" s="299"/>
      <c r="R882" s="299"/>
      <c r="S882" s="299"/>
      <c r="T882" s="299"/>
    </row>
    <row r="883" ht="15.75" customHeight="1">
      <c r="G883" s="298"/>
      <c r="H883" s="298"/>
      <c r="I883" s="299"/>
      <c r="J883" s="299"/>
      <c r="K883" s="299"/>
      <c r="L883" s="299"/>
      <c r="M883" s="299"/>
      <c r="N883" s="299"/>
      <c r="O883" s="299"/>
      <c r="P883" s="299"/>
      <c r="Q883" s="299"/>
      <c r="R883" s="299"/>
      <c r="S883" s="299"/>
      <c r="T883" s="299"/>
    </row>
    <row r="884" ht="15.75" customHeight="1">
      <c r="G884" s="298"/>
      <c r="H884" s="298"/>
      <c r="I884" s="299"/>
      <c r="J884" s="299"/>
      <c r="K884" s="299"/>
      <c r="L884" s="299"/>
      <c r="M884" s="299"/>
      <c r="N884" s="299"/>
      <c r="O884" s="299"/>
      <c r="P884" s="299"/>
      <c r="Q884" s="299"/>
      <c r="R884" s="299"/>
      <c r="S884" s="299"/>
      <c r="T884" s="299"/>
    </row>
    <row r="885" ht="15.75" customHeight="1">
      <c r="G885" s="298"/>
      <c r="H885" s="298"/>
      <c r="I885" s="299"/>
      <c r="J885" s="299"/>
      <c r="K885" s="299"/>
      <c r="L885" s="299"/>
      <c r="M885" s="299"/>
      <c r="N885" s="299"/>
      <c r="O885" s="299"/>
      <c r="P885" s="299"/>
      <c r="Q885" s="299"/>
      <c r="R885" s="299"/>
      <c r="S885" s="299"/>
      <c r="T885" s="299"/>
    </row>
    <row r="886" ht="15.75" customHeight="1">
      <c r="G886" s="298"/>
      <c r="H886" s="298"/>
      <c r="I886" s="299"/>
      <c r="J886" s="299"/>
      <c r="K886" s="299"/>
      <c r="L886" s="299"/>
      <c r="M886" s="299"/>
      <c r="N886" s="299"/>
      <c r="O886" s="299"/>
      <c r="P886" s="299"/>
      <c r="Q886" s="299"/>
      <c r="R886" s="299"/>
      <c r="S886" s="299"/>
      <c r="T886" s="299"/>
    </row>
    <row r="887" ht="15.75" customHeight="1">
      <c r="G887" s="298"/>
      <c r="H887" s="298"/>
      <c r="I887" s="299"/>
      <c r="J887" s="299"/>
      <c r="K887" s="299"/>
      <c r="L887" s="299"/>
      <c r="M887" s="299"/>
      <c r="N887" s="299"/>
      <c r="O887" s="299"/>
      <c r="P887" s="299"/>
      <c r="Q887" s="299"/>
      <c r="R887" s="299"/>
      <c r="S887" s="299"/>
      <c r="T887" s="299"/>
    </row>
    <row r="888" ht="15.75" customHeight="1">
      <c r="G888" s="298"/>
      <c r="H888" s="298"/>
      <c r="I888" s="299"/>
      <c r="J888" s="299"/>
      <c r="K888" s="299"/>
      <c r="L888" s="299"/>
      <c r="M888" s="299"/>
      <c r="N888" s="299"/>
      <c r="O888" s="299"/>
      <c r="P888" s="299"/>
      <c r="Q888" s="299"/>
      <c r="R888" s="299"/>
      <c r="S888" s="299"/>
      <c r="T888" s="299"/>
    </row>
    <row r="889" ht="15.75" customHeight="1">
      <c r="G889" s="298"/>
      <c r="H889" s="298"/>
      <c r="I889" s="299"/>
      <c r="J889" s="299"/>
      <c r="K889" s="299"/>
      <c r="L889" s="299"/>
      <c r="M889" s="299"/>
      <c r="N889" s="299"/>
      <c r="O889" s="299"/>
      <c r="P889" s="299"/>
      <c r="Q889" s="299"/>
      <c r="R889" s="299"/>
      <c r="S889" s="299"/>
      <c r="T889" s="299"/>
    </row>
    <row r="890" ht="15.75" customHeight="1">
      <c r="G890" s="298"/>
      <c r="H890" s="298"/>
      <c r="I890" s="299"/>
      <c r="J890" s="299"/>
      <c r="K890" s="299"/>
      <c r="L890" s="299"/>
      <c r="M890" s="299"/>
      <c r="N890" s="299"/>
      <c r="O890" s="299"/>
      <c r="P890" s="299"/>
      <c r="Q890" s="299"/>
      <c r="R890" s="299"/>
      <c r="S890" s="299"/>
      <c r="T890" s="299"/>
    </row>
    <row r="891" ht="15.75" customHeight="1">
      <c r="G891" s="298"/>
      <c r="H891" s="298"/>
      <c r="I891" s="299"/>
      <c r="J891" s="299"/>
      <c r="K891" s="299"/>
      <c r="L891" s="299"/>
      <c r="M891" s="299"/>
      <c r="N891" s="299"/>
      <c r="O891" s="299"/>
      <c r="P891" s="299"/>
      <c r="Q891" s="299"/>
      <c r="R891" s="299"/>
      <c r="S891" s="299"/>
      <c r="T891" s="299"/>
    </row>
    <row r="892" ht="15.75" customHeight="1">
      <c r="G892" s="298"/>
      <c r="H892" s="298"/>
      <c r="I892" s="299"/>
      <c r="J892" s="299"/>
      <c r="K892" s="299"/>
      <c r="L892" s="299"/>
      <c r="M892" s="299"/>
      <c r="N892" s="299"/>
      <c r="O892" s="299"/>
      <c r="P892" s="299"/>
      <c r="Q892" s="299"/>
      <c r="R892" s="299"/>
      <c r="S892" s="299"/>
      <c r="T892" s="299"/>
    </row>
    <row r="893" ht="15.75" customHeight="1">
      <c r="G893" s="298"/>
      <c r="H893" s="298"/>
      <c r="I893" s="299"/>
      <c r="J893" s="299"/>
      <c r="K893" s="299"/>
      <c r="L893" s="299"/>
      <c r="M893" s="299"/>
      <c r="N893" s="299"/>
      <c r="O893" s="299"/>
      <c r="P893" s="299"/>
      <c r="Q893" s="299"/>
      <c r="R893" s="299"/>
      <c r="S893" s="299"/>
      <c r="T893" s="299"/>
    </row>
    <row r="894" ht="15.75" customHeight="1">
      <c r="G894" s="298"/>
      <c r="H894" s="298"/>
      <c r="I894" s="299"/>
      <c r="J894" s="299"/>
      <c r="K894" s="299"/>
      <c r="L894" s="299"/>
      <c r="M894" s="299"/>
      <c r="N894" s="299"/>
      <c r="O894" s="299"/>
      <c r="P894" s="299"/>
      <c r="Q894" s="299"/>
      <c r="R894" s="299"/>
      <c r="S894" s="299"/>
      <c r="T894" s="299"/>
    </row>
    <row r="895" ht="15.75" customHeight="1">
      <c r="G895" s="298"/>
      <c r="H895" s="298"/>
      <c r="I895" s="299"/>
      <c r="J895" s="299"/>
      <c r="K895" s="299"/>
      <c r="L895" s="299"/>
      <c r="M895" s="299"/>
      <c r="N895" s="299"/>
      <c r="O895" s="299"/>
      <c r="P895" s="299"/>
      <c r="Q895" s="299"/>
      <c r="R895" s="299"/>
      <c r="S895" s="299"/>
      <c r="T895" s="299"/>
    </row>
    <row r="896" ht="15.75" customHeight="1">
      <c r="G896" s="298"/>
      <c r="H896" s="298"/>
      <c r="I896" s="299"/>
      <c r="J896" s="299"/>
      <c r="K896" s="299"/>
      <c r="L896" s="299"/>
      <c r="M896" s="299"/>
      <c r="N896" s="299"/>
      <c r="O896" s="299"/>
      <c r="P896" s="299"/>
      <c r="Q896" s="299"/>
      <c r="R896" s="299"/>
      <c r="S896" s="299"/>
      <c r="T896" s="299"/>
    </row>
    <row r="897" ht="15.75" customHeight="1">
      <c r="G897" s="298"/>
      <c r="H897" s="298"/>
      <c r="I897" s="299"/>
      <c r="J897" s="299"/>
      <c r="K897" s="299"/>
      <c r="L897" s="299"/>
      <c r="M897" s="299"/>
      <c r="N897" s="299"/>
      <c r="O897" s="299"/>
      <c r="P897" s="299"/>
      <c r="Q897" s="299"/>
      <c r="R897" s="299"/>
      <c r="S897" s="299"/>
      <c r="T897" s="299"/>
    </row>
    <row r="898" ht="15.75" customHeight="1">
      <c r="G898" s="298"/>
      <c r="H898" s="298"/>
      <c r="I898" s="299"/>
      <c r="J898" s="299"/>
      <c r="K898" s="299"/>
      <c r="L898" s="299"/>
      <c r="M898" s="299"/>
      <c r="N898" s="299"/>
      <c r="O898" s="299"/>
      <c r="P898" s="299"/>
      <c r="Q898" s="299"/>
      <c r="R898" s="299"/>
      <c r="S898" s="299"/>
      <c r="T898" s="299"/>
    </row>
    <row r="899" ht="15.75" customHeight="1">
      <c r="G899" s="298"/>
      <c r="H899" s="298"/>
      <c r="I899" s="299"/>
      <c r="J899" s="299"/>
      <c r="K899" s="299"/>
      <c r="L899" s="299"/>
      <c r="M899" s="299"/>
      <c r="N899" s="299"/>
      <c r="O899" s="299"/>
      <c r="P899" s="299"/>
      <c r="Q899" s="299"/>
      <c r="R899" s="299"/>
      <c r="S899" s="299"/>
      <c r="T899" s="299"/>
    </row>
    <row r="900" ht="15.75" customHeight="1">
      <c r="G900" s="298"/>
      <c r="H900" s="298"/>
      <c r="I900" s="299"/>
      <c r="J900" s="299"/>
      <c r="K900" s="299"/>
      <c r="L900" s="299"/>
      <c r="M900" s="299"/>
      <c r="N900" s="299"/>
      <c r="O900" s="299"/>
      <c r="P900" s="299"/>
      <c r="Q900" s="299"/>
      <c r="R900" s="299"/>
      <c r="S900" s="299"/>
      <c r="T900" s="299"/>
    </row>
    <row r="901" ht="15.75" customHeight="1">
      <c r="G901" s="298"/>
      <c r="H901" s="298"/>
      <c r="I901" s="299"/>
      <c r="J901" s="299"/>
      <c r="K901" s="299"/>
      <c r="L901" s="299"/>
      <c r="M901" s="299"/>
      <c r="N901" s="299"/>
      <c r="O901" s="299"/>
      <c r="P901" s="299"/>
      <c r="Q901" s="299"/>
      <c r="R901" s="299"/>
      <c r="S901" s="299"/>
      <c r="T901" s="299"/>
    </row>
    <row r="902" ht="15.75" customHeight="1">
      <c r="G902" s="298"/>
      <c r="H902" s="298"/>
      <c r="I902" s="299"/>
      <c r="J902" s="299"/>
      <c r="K902" s="299"/>
      <c r="L902" s="299"/>
      <c r="M902" s="299"/>
      <c r="N902" s="299"/>
      <c r="O902" s="299"/>
      <c r="P902" s="299"/>
      <c r="Q902" s="299"/>
      <c r="R902" s="299"/>
      <c r="S902" s="299"/>
      <c r="T902" s="299"/>
    </row>
    <row r="903" ht="15.75" customHeight="1">
      <c r="G903" s="298"/>
      <c r="H903" s="298"/>
      <c r="I903" s="299"/>
      <c r="J903" s="299"/>
      <c r="K903" s="299"/>
      <c r="L903" s="299"/>
      <c r="M903" s="299"/>
      <c r="N903" s="299"/>
      <c r="O903" s="299"/>
      <c r="P903" s="299"/>
      <c r="Q903" s="299"/>
      <c r="R903" s="299"/>
      <c r="S903" s="299"/>
      <c r="T903" s="299"/>
    </row>
    <row r="904" ht="15.75" customHeight="1">
      <c r="G904" s="298"/>
      <c r="H904" s="298"/>
      <c r="I904" s="299"/>
      <c r="J904" s="299"/>
      <c r="K904" s="299"/>
      <c r="L904" s="299"/>
      <c r="M904" s="299"/>
      <c r="N904" s="299"/>
      <c r="O904" s="299"/>
      <c r="P904" s="299"/>
      <c r="Q904" s="299"/>
      <c r="R904" s="299"/>
      <c r="S904" s="299"/>
      <c r="T904" s="299"/>
    </row>
    <row r="905" ht="15.75" customHeight="1">
      <c r="G905" s="298"/>
      <c r="H905" s="298"/>
      <c r="I905" s="299"/>
      <c r="J905" s="299"/>
      <c r="K905" s="299"/>
      <c r="L905" s="299"/>
      <c r="M905" s="299"/>
      <c r="N905" s="299"/>
      <c r="O905" s="299"/>
      <c r="P905" s="299"/>
      <c r="Q905" s="299"/>
      <c r="R905" s="299"/>
      <c r="S905" s="299"/>
      <c r="T905" s="299"/>
    </row>
    <row r="906" ht="15.75" customHeight="1">
      <c r="G906" s="298"/>
      <c r="H906" s="298"/>
      <c r="I906" s="299"/>
      <c r="J906" s="299"/>
      <c r="K906" s="299"/>
      <c r="L906" s="299"/>
      <c r="M906" s="299"/>
      <c r="N906" s="299"/>
      <c r="O906" s="299"/>
      <c r="P906" s="299"/>
      <c r="Q906" s="299"/>
      <c r="R906" s="299"/>
      <c r="S906" s="299"/>
      <c r="T906" s="299"/>
    </row>
    <row r="907" ht="15.75" customHeight="1">
      <c r="G907" s="298"/>
      <c r="H907" s="298"/>
      <c r="I907" s="299"/>
      <c r="J907" s="299"/>
      <c r="K907" s="299"/>
      <c r="L907" s="299"/>
      <c r="M907" s="299"/>
      <c r="N907" s="299"/>
      <c r="O907" s="299"/>
      <c r="P907" s="299"/>
      <c r="Q907" s="299"/>
      <c r="R907" s="299"/>
      <c r="S907" s="299"/>
      <c r="T907" s="299"/>
    </row>
    <row r="908" ht="15.75" customHeight="1">
      <c r="G908" s="298"/>
      <c r="H908" s="298"/>
      <c r="I908" s="299"/>
      <c r="J908" s="299"/>
      <c r="K908" s="299"/>
      <c r="L908" s="299"/>
      <c r="M908" s="299"/>
      <c r="N908" s="299"/>
      <c r="O908" s="299"/>
      <c r="P908" s="299"/>
      <c r="Q908" s="299"/>
      <c r="R908" s="299"/>
      <c r="S908" s="299"/>
      <c r="T908" s="299"/>
    </row>
    <row r="909" ht="15.75" customHeight="1">
      <c r="G909" s="298"/>
      <c r="H909" s="298"/>
      <c r="I909" s="299"/>
      <c r="J909" s="299"/>
      <c r="K909" s="299"/>
      <c r="L909" s="299"/>
      <c r="M909" s="299"/>
      <c r="N909" s="299"/>
      <c r="O909" s="299"/>
      <c r="P909" s="299"/>
      <c r="Q909" s="299"/>
      <c r="R909" s="299"/>
      <c r="S909" s="299"/>
      <c r="T909" s="299"/>
    </row>
    <row r="910" ht="15.75" customHeight="1">
      <c r="G910" s="298"/>
      <c r="H910" s="298"/>
      <c r="I910" s="299"/>
      <c r="J910" s="299"/>
      <c r="K910" s="299"/>
      <c r="L910" s="299"/>
      <c r="M910" s="299"/>
      <c r="N910" s="299"/>
      <c r="O910" s="299"/>
      <c r="P910" s="299"/>
      <c r="Q910" s="299"/>
      <c r="R910" s="299"/>
      <c r="S910" s="299"/>
      <c r="T910" s="299"/>
    </row>
    <row r="911" ht="15.75" customHeight="1">
      <c r="G911" s="298"/>
      <c r="H911" s="298"/>
      <c r="I911" s="299"/>
      <c r="J911" s="299"/>
      <c r="K911" s="299"/>
      <c r="L911" s="299"/>
      <c r="M911" s="299"/>
      <c r="N911" s="299"/>
      <c r="O911" s="299"/>
      <c r="P911" s="299"/>
      <c r="Q911" s="299"/>
      <c r="R911" s="299"/>
      <c r="S911" s="299"/>
      <c r="T911" s="299"/>
    </row>
    <row r="912" ht="15.75" customHeight="1">
      <c r="G912" s="298"/>
      <c r="H912" s="298"/>
      <c r="I912" s="299"/>
      <c r="J912" s="299"/>
      <c r="K912" s="299"/>
      <c r="L912" s="299"/>
      <c r="M912" s="299"/>
      <c r="N912" s="299"/>
      <c r="O912" s="299"/>
      <c r="P912" s="299"/>
      <c r="Q912" s="299"/>
      <c r="R912" s="299"/>
      <c r="S912" s="299"/>
      <c r="T912" s="299"/>
    </row>
    <row r="913" ht="15.75" customHeight="1">
      <c r="G913" s="298"/>
      <c r="H913" s="298"/>
      <c r="I913" s="299"/>
      <c r="J913" s="299"/>
      <c r="K913" s="299"/>
      <c r="L913" s="299"/>
      <c r="M913" s="299"/>
      <c r="N913" s="299"/>
      <c r="O913" s="299"/>
      <c r="P913" s="299"/>
      <c r="Q913" s="299"/>
      <c r="R913" s="299"/>
      <c r="S913" s="299"/>
      <c r="T913" s="299"/>
    </row>
    <row r="914" ht="15.75" customHeight="1">
      <c r="G914" s="298"/>
      <c r="H914" s="298"/>
      <c r="I914" s="299"/>
      <c r="J914" s="299"/>
      <c r="K914" s="299"/>
      <c r="L914" s="299"/>
      <c r="M914" s="299"/>
      <c r="N914" s="299"/>
      <c r="O914" s="299"/>
      <c r="P914" s="299"/>
      <c r="Q914" s="299"/>
      <c r="R914" s="299"/>
      <c r="S914" s="299"/>
      <c r="T914" s="299"/>
    </row>
    <row r="915" ht="15.75" customHeight="1">
      <c r="G915" s="298"/>
      <c r="H915" s="298"/>
      <c r="I915" s="299"/>
      <c r="J915" s="299"/>
      <c r="K915" s="299"/>
      <c r="L915" s="299"/>
      <c r="M915" s="299"/>
      <c r="N915" s="299"/>
      <c r="O915" s="299"/>
      <c r="P915" s="299"/>
      <c r="Q915" s="299"/>
      <c r="R915" s="299"/>
      <c r="S915" s="299"/>
      <c r="T915" s="299"/>
    </row>
    <row r="916" ht="15.75" customHeight="1">
      <c r="G916" s="298"/>
      <c r="H916" s="298"/>
      <c r="I916" s="299"/>
      <c r="J916" s="299"/>
      <c r="K916" s="299"/>
      <c r="L916" s="299"/>
      <c r="M916" s="299"/>
      <c r="N916" s="299"/>
      <c r="O916" s="299"/>
      <c r="P916" s="299"/>
      <c r="Q916" s="299"/>
      <c r="R916" s="299"/>
      <c r="S916" s="299"/>
      <c r="T916" s="299"/>
    </row>
    <row r="917" ht="15.75" customHeight="1">
      <c r="G917" s="298"/>
      <c r="H917" s="298"/>
      <c r="I917" s="299"/>
      <c r="J917" s="299"/>
      <c r="K917" s="299"/>
      <c r="L917" s="299"/>
      <c r="M917" s="299"/>
      <c r="N917" s="299"/>
      <c r="O917" s="299"/>
      <c r="P917" s="299"/>
      <c r="Q917" s="299"/>
      <c r="R917" s="299"/>
      <c r="S917" s="299"/>
      <c r="T917" s="299"/>
    </row>
    <row r="918" ht="15.75" customHeight="1">
      <c r="G918" s="298"/>
      <c r="H918" s="298"/>
      <c r="I918" s="299"/>
      <c r="J918" s="299"/>
      <c r="K918" s="299"/>
      <c r="L918" s="299"/>
      <c r="M918" s="299"/>
      <c r="N918" s="299"/>
      <c r="O918" s="299"/>
      <c r="P918" s="299"/>
      <c r="Q918" s="299"/>
      <c r="R918" s="299"/>
      <c r="S918" s="299"/>
      <c r="T918" s="299"/>
    </row>
    <row r="919" ht="15.75" customHeight="1">
      <c r="G919" s="298"/>
      <c r="H919" s="298"/>
      <c r="I919" s="299"/>
      <c r="J919" s="299"/>
      <c r="K919" s="299"/>
      <c r="L919" s="299"/>
      <c r="M919" s="299"/>
      <c r="N919" s="299"/>
      <c r="O919" s="299"/>
      <c r="P919" s="299"/>
      <c r="Q919" s="299"/>
      <c r="R919" s="299"/>
      <c r="S919" s="299"/>
      <c r="T919" s="299"/>
    </row>
    <row r="920" ht="15.75" customHeight="1">
      <c r="G920" s="298"/>
      <c r="H920" s="298"/>
      <c r="I920" s="299"/>
      <c r="J920" s="299"/>
      <c r="K920" s="299"/>
      <c r="L920" s="299"/>
      <c r="M920" s="299"/>
      <c r="N920" s="299"/>
      <c r="O920" s="299"/>
      <c r="P920" s="299"/>
      <c r="Q920" s="299"/>
      <c r="R920" s="299"/>
      <c r="S920" s="299"/>
      <c r="T920" s="299"/>
    </row>
    <row r="921" ht="15.75" customHeight="1">
      <c r="G921" s="298"/>
      <c r="H921" s="298"/>
      <c r="I921" s="299"/>
      <c r="J921" s="299"/>
      <c r="K921" s="299"/>
      <c r="L921" s="299"/>
      <c r="M921" s="299"/>
      <c r="N921" s="299"/>
      <c r="O921" s="299"/>
      <c r="P921" s="299"/>
      <c r="Q921" s="299"/>
      <c r="R921" s="299"/>
      <c r="S921" s="299"/>
      <c r="T921" s="299"/>
    </row>
    <row r="922" ht="15.75" customHeight="1">
      <c r="G922" s="298"/>
      <c r="H922" s="298"/>
      <c r="I922" s="299"/>
      <c r="J922" s="299"/>
      <c r="K922" s="299"/>
      <c r="L922" s="299"/>
      <c r="M922" s="299"/>
      <c r="N922" s="299"/>
      <c r="O922" s="299"/>
      <c r="P922" s="299"/>
      <c r="Q922" s="299"/>
      <c r="R922" s="299"/>
      <c r="S922" s="299"/>
      <c r="T922" s="299"/>
    </row>
    <row r="923" ht="15.75" customHeight="1">
      <c r="G923" s="298"/>
      <c r="H923" s="298"/>
      <c r="I923" s="299"/>
      <c r="J923" s="299"/>
      <c r="K923" s="299"/>
      <c r="L923" s="299"/>
      <c r="M923" s="299"/>
      <c r="N923" s="299"/>
      <c r="O923" s="299"/>
      <c r="P923" s="299"/>
      <c r="Q923" s="299"/>
      <c r="R923" s="299"/>
      <c r="S923" s="299"/>
      <c r="T923" s="299"/>
    </row>
    <row r="924" ht="15.75" customHeight="1">
      <c r="G924" s="298"/>
      <c r="H924" s="298"/>
      <c r="I924" s="299"/>
      <c r="J924" s="299"/>
      <c r="K924" s="299"/>
      <c r="L924" s="299"/>
      <c r="M924" s="299"/>
      <c r="N924" s="299"/>
      <c r="O924" s="299"/>
      <c r="P924" s="299"/>
      <c r="Q924" s="299"/>
      <c r="R924" s="299"/>
      <c r="S924" s="299"/>
      <c r="T924" s="299"/>
    </row>
    <row r="925" ht="15.75" customHeight="1">
      <c r="G925" s="298"/>
      <c r="H925" s="298"/>
      <c r="I925" s="299"/>
      <c r="J925" s="299"/>
      <c r="K925" s="299"/>
      <c r="L925" s="299"/>
      <c r="M925" s="299"/>
      <c r="N925" s="299"/>
      <c r="O925" s="299"/>
      <c r="P925" s="299"/>
      <c r="Q925" s="299"/>
      <c r="R925" s="299"/>
      <c r="S925" s="299"/>
      <c r="T925" s="299"/>
    </row>
    <row r="926" ht="15.75" customHeight="1">
      <c r="G926" s="298"/>
      <c r="H926" s="298"/>
      <c r="I926" s="299"/>
      <c r="J926" s="299"/>
      <c r="K926" s="299"/>
      <c r="L926" s="299"/>
      <c r="M926" s="299"/>
      <c r="N926" s="299"/>
      <c r="O926" s="299"/>
      <c r="P926" s="299"/>
      <c r="Q926" s="299"/>
      <c r="R926" s="299"/>
      <c r="S926" s="299"/>
      <c r="T926" s="299"/>
    </row>
    <row r="927" ht="15.75" customHeight="1">
      <c r="G927" s="298"/>
      <c r="H927" s="298"/>
      <c r="I927" s="299"/>
      <c r="J927" s="299"/>
      <c r="K927" s="299"/>
      <c r="L927" s="299"/>
      <c r="M927" s="299"/>
      <c r="N927" s="299"/>
      <c r="O927" s="299"/>
      <c r="P927" s="299"/>
      <c r="Q927" s="299"/>
      <c r="R927" s="299"/>
      <c r="S927" s="299"/>
      <c r="T927" s="299"/>
    </row>
    <row r="928" ht="15.75" customHeight="1">
      <c r="G928" s="298"/>
      <c r="H928" s="298"/>
      <c r="I928" s="299"/>
      <c r="J928" s="299"/>
      <c r="K928" s="299"/>
      <c r="L928" s="299"/>
      <c r="M928" s="299"/>
      <c r="N928" s="299"/>
      <c r="O928" s="299"/>
      <c r="P928" s="299"/>
      <c r="Q928" s="299"/>
      <c r="R928" s="299"/>
      <c r="S928" s="299"/>
      <c r="T928" s="299"/>
    </row>
    <row r="929" ht="15.75" customHeight="1">
      <c r="G929" s="298"/>
      <c r="H929" s="298"/>
      <c r="I929" s="299"/>
      <c r="J929" s="299"/>
      <c r="K929" s="299"/>
      <c r="L929" s="299"/>
      <c r="M929" s="299"/>
      <c r="N929" s="299"/>
      <c r="O929" s="299"/>
      <c r="P929" s="299"/>
      <c r="Q929" s="299"/>
      <c r="R929" s="299"/>
      <c r="S929" s="299"/>
      <c r="T929" s="299"/>
    </row>
    <row r="930" ht="15.75" customHeight="1">
      <c r="G930" s="298"/>
      <c r="H930" s="298"/>
      <c r="I930" s="299"/>
      <c r="J930" s="299"/>
      <c r="K930" s="299"/>
      <c r="L930" s="299"/>
      <c r="M930" s="299"/>
      <c r="N930" s="299"/>
      <c r="O930" s="299"/>
      <c r="P930" s="299"/>
      <c r="Q930" s="299"/>
      <c r="R930" s="299"/>
      <c r="S930" s="299"/>
      <c r="T930" s="299"/>
    </row>
    <row r="931" ht="15.75" customHeight="1">
      <c r="G931" s="298"/>
      <c r="H931" s="298"/>
      <c r="I931" s="299"/>
      <c r="J931" s="299"/>
      <c r="K931" s="299"/>
      <c r="L931" s="299"/>
      <c r="M931" s="299"/>
      <c r="N931" s="299"/>
      <c r="O931" s="299"/>
      <c r="P931" s="299"/>
      <c r="Q931" s="299"/>
      <c r="R931" s="299"/>
      <c r="S931" s="299"/>
      <c r="T931" s="299"/>
    </row>
    <row r="932" ht="15.75" customHeight="1">
      <c r="G932" s="298"/>
      <c r="H932" s="298"/>
      <c r="I932" s="299"/>
      <c r="J932" s="299"/>
      <c r="K932" s="299"/>
      <c r="L932" s="299"/>
      <c r="M932" s="299"/>
      <c r="N932" s="299"/>
      <c r="O932" s="299"/>
      <c r="P932" s="299"/>
      <c r="Q932" s="299"/>
      <c r="R932" s="299"/>
      <c r="S932" s="299"/>
      <c r="T932" s="299"/>
    </row>
    <row r="933" ht="15.75" customHeight="1">
      <c r="G933" s="298"/>
      <c r="H933" s="298"/>
      <c r="I933" s="299"/>
      <c r="J933" s="299"/>
      <c r="K933" s="299"/>
      <c r="L933" s="299"/>
      <c r="M933" s="299"/>
      <c r="N933" s="299"/>
      <c r="O933" s="299"/>
      <c r="P933" s="299"/>
      <c r="Q933" s="299"/>
      <c r="R933" s="299"/>
      <c r="S933" s="299"/>
      <c r="T933" s="299"/>
    </row>
    <row r="934" ht="15.75" customHeight="1">
      <c r="G934" s="298"/>
      <c r="H934" s="298"/>
      <c r="I934" s="299"/>
      <c r="J934" s="299"/>
      <c r="K934" s="299"/>
      <c r="L934" s="299"/>
      <c r="M934" s="299"/>
      <c r="N934" s="299"/>
      <c r="O934" s="299"/>
      <c r="P934" s="299"/>
      <c r="Q934" s="299"/>
      <c r="R934" s="299"/>
      <c r="S934" s="299"/>
      <c r="T934" s="299"/>
    </row>
    <row r="935" ht="15.75" customHeight="1">
      <c r="G935" s="298"/>
      <c r="H935" s="298"/>
      <c r="I935" s="299"/>
      <c r="J935" s="299"/>
      <c r="K935" s="299"/>
      <c r="L935" s="299"/>
      <c r="M935" s="299"/>
      <c r="N935" s="299"/>
      <c r="O935" s="299"/>
      <c r="P935" s="299"/>
      <c r="Q935" s="299"/>
      <c r="R935" s="299"/>
      <c r="S935" s="299"/>
      <c r="T935" s="299"/>
    </row>
    <row r="936" ht="15.75" customHeight="1">
      <c r="G936" s="298"/>
      <c r="H936" s="298"/>
      <c r="I936" s="299"/>
      <c r="J936" s="299"/>
      <c r="K936" s="299"/>
      <c r="L936" s="299"/>
      <c r="M936" s="299"/>
      <c r="N936" s="299"/>
      <c r="O936" s="299"/>
      <c r="P936" s="299"/>
      <c r="Q936" s="299"/>
      <c r="R936" s="299"/>
      <c r="S936" s="299"/>
      <c r="T936" s="299"/>
    </row>
    <row r="937" ht="15.75" customHeight="1">
      <c r="G937" s="298"/>
      <c r="H937" s="298"/>
      <c r="I937" s="299"/>
      <c r="J937" s="299"/>
      <c r="K937" s="299"/>
      <c r="L937" s="299"/>
      <c r="M937" s="299"/>
      <c r="N937" s="299"/>
      <c r="O937" s="299"/>
      <c r="P937" s="299"/>
      <c r="Q937" s="299"/>
      <c r="R937" s="299"/>
      <c r="S937" s="299"/>
      <c r="T937" s="299"/>
    </row>
    <row r="938" ht="15.75" customHeight="1">
      <c r="G938" s="298"/>
      <c r="H938" s="298"/>
      <c r="I938" s="299"/>
      <c r="J938" s="299"/>
      <c r="K938" s="299"/>
      <c r="L938" s="299"/>
      <c r="M938" s="299"/>
      <c r="N938" s="299"/>
      <c r="O938" s="299"/>
      <c r="P938" s="299"/>
      <c r="Q938" s="299"/>
      <c r="R938" s="299"/>
      <c r="S938" s="299"/>
      <c r="T938" s="299"/>
    </row>
    <row r="939" ht="15.75" customHeight="1">
      <c r="G939" s="298"/>
      <c r="H939" s="298"/>
      <c r="I939" s="299"/>
      <c r="J939" s="299"/>
      <c r="K939" s="299"/>
      <c r="L939" s="299"/>
      <c r="M939" s="299"/>
      <c r="N939" s="299"/>
      <c r="O939" s="299"/>
      <c r="P939" s="299"/>
      <c r="Q939" s="299"/>
      <c r="R939" s="299"/>
      <c r="S939" s="299"/>
      <c r="T939" s="299"/>
    </row>
    <row r="940" ht="15.75" customHeight="1">
      <c r="G940" s="298"/>
      <c r="H940" s="298"/>
      <c r="I940" s="299"/>
      <c r="J940" s="299"/>
      <c r="K940" s="299"/>
      <c r="L940" s="299"/>
      <c r="M940" s="299"/>
      <c r="N940" s="299"/>
      <c r="O940" s="299"/>
      <c r="P940" s="299"/>
      <c r="Q940" s="299"/>
      <c r="R940" s="299"/>
      <c r="S940" s="299"/>
      <c r="T940" s="299"/>
    </row>
    <row r="941" ht="15.75" customHeight="1">
      <c r="G941" s="298"/>
      <c r="H941" s="298"/>
      <c r="I941" s="299"/>
      <c r="J941" s="299"/>
      <c r="K941" s="299"/>
      <c r="L941" s="299"/>
      <c r="M941" s="299"/>
      <c r="N941" s="299"/>
      <c r="O941" s="299"/>
      <c r="P941" s="299"/>
      <c r="Q941" s="299"/>
      <c r="R941" s="299"/>
      <c r="S941" s="299"/>
      <c r="T941" s="299"/>
    </row>
    <row r="942" ht="15.75" customHeight="1">
      <c r="G942" s="298"/>
      <c r="H942" s="298"/>
      <c r="I942" s="299"/>
      <c r="J942" s="299"/>
      <c r="K942" s="299"/>
      <c r="L942" s="299"/>
      <c r="M942" s="299"/>
      <c r="N942" s="299"/>
      <c r="O942" s="299"/>
      <c r="P942" s="299"/>
      <c r="Q942" s="299"/>
      <c r="R942" s="299"/>
      <c r="S942" s="299"/>
      <c r="T942" s="299"/>
    </row>
    <row r="943" ht="15.75" customHeight="1">
      <c r="G943" s="298"/>
      <c r="H943" s="298"/>
      <c r="I943" s="299"/>
      <c r="J943" s="299"/>
      <c r="K943" s="299"/>
      <c r="L943" s="299"/>
      <c r="M943" s="299"/>
      <c r="N943" s="299"/>
      <c r="O943" s="299"/>
      <c r="P943" s="299"/>
      <c r="Q943" s="299"/>
      <c r="R943" s="299"/>
      <c r="S943" s="299"/>
      <c r="T943" s="299"/>
    </row>
    <row r="944" ht="15.75" customHeight="1">
      <c r="G944" s="298"/>
      <c r="H944" s="298"/>
      <c r="I944" s="299"/>
      <c r="J944" s="299"/>
      <c r="K944" s="299"/>
      <c r="L944" s="299"/>
      <c r="M944" s="299"/>
      <c r="N944" s="299"/>
      <c r="O944" s="299"/>
      <c r="P944" s="299"/>
      <c r="Q944" s="299"/>
      <c r="R944" s="299"/>
      <c r="S944" s="299"/>
      <c r="T944" s="299"/>
    </row>
    <row r="945" ht="15.75" customHeight="1">
      <c r="G945" s="298"/>
      <c r="H945" s="298"/>
      <c r="I945" s="299"/>
      <c r="J945" s="299"/>
      <c r="K945" s="299"/>
      <c r="L945" s="299"/>
      <c r="M945" s="299"/>
      <c r="N945" s="299"/>
      <c r="O945" s="299"/>
      <c r="P945" s="299"/>
      <c r="Q945" s="299"/>
      <c r="R945" s="299"/>
      <c r="S945" s="299"/>
      <c r="T945" s="299"/>
    </row>
    <row r="946" ht="15.75" customHeight="1">
      <c r="G946" s="298"/>
      <c r="H946" s="298"/>
      <c r="I946" s="299"/>
      <c r="J946" s="299"/>
      <c r="K946" s="299"/>
      <c r="L946" s="299"/>
      <c r="M946" s="299"/>
      <c r="N946" s="299"/>
      <c r="O946" s="299"/>
      <c r="P946" s="299"/>
      <c r="Q946" s="299"/>
      <c r="R946" s="299"/>
      <c r="S946" s="299"/>
      <c r="T946" s="299"/>
    </row>
    <row r="947" ht="15.75" customHeight="1">
      <c r="G947" s="298"/>
      <c r="H947" s="298"/>
      <c r="I947" s="299"/>
      <c r="J947" s="299"/>
      <c r="K947" s="299"/>
      <c r="L947" s="299"/>
      <c r="M947" s="299"/>
      <c r="N947" s="299"/>
      <c r="O947" s="299"/>
      <c r="P947" s="299"/>
      <c r="Q947" s="299"/>
      <c r="R947" s="299"/>
      <c r="S947" s="299"/>
      <c r="T947" s="299"/>
    </row>
    <row r="948" ht="15.75" customHeight="1">
      <c r="G948" s="298"/>
      <c r="H948" s="298"/>
      <c r="I948" s="299"/>
      <c r="J948" s="299"/>
      <c r="K948" s="299"/>
      <c r="L948" s="299"/>
      <c r="M948" s="299"/>
      <c r="N948" s="299"/>
      <c r="O948" s="299"/>
      <c r="P948" s="299"/>
      <c r="Q948" s="299"/>
      <c r="R948" s="299"/>
      <c r="S948" s="299"/>
      <c r="T948" s="299"/>
    </row>
    <row r="949" ht="15.75" customHeight="1">
      <c r="G949" s="298"/>
      <c r="H949" s="298"/>
      <c r="I949" s="299"/>
      <c r="J949" s="299"/>
      <c r="K949" s="299"/>
      <c r="L949" s="299"/>
      <c r="M949" s="299"/>
      <c r="N949" s="299"/>
      <c r="O949" s="299"/>
      <c r="P949" s="299"/>
      <c r="Q949" s="299"/>
      <c r="R949" s="299"/>
      <c r="S949" s="299"/>
      <c r="T949" s="299"/>
    </row>
    <row r="950" ht="15.75" customHeight="1">
      <c r="G950" s="298"/>
      <c r="H950" s="298"/>
      <c r="I950" s="299"/>
      <c r="J950" s="299"/>
      <c r="K950" s="299"/>
      <c r="L950" s="299"/>
      <c r="M950" s="299"/>
      <c r="N950" s="299"/>
      <c r="O950" s="299"/>
      <c r="P950" s="299"/>
      <c r="Q950" s="299"/>
      <c r="R950" s="299"/>
      <c r="S950" s="299"/>
      <c r="T950" s="299"/>
    </row>
    <row r="951" ht="15.75" customHeight="1">
      <c r="G951" s="298"/>
      <c r="H951" s="298"/>
      <c r="I951" s="299"/>
      <c r="J951" s="299"/>
      <c r="K951" s="299"/>
      <c r="L951" s="299"/>
      <c r="M951" s="299"/>
      <c r="N951" s="299"/>
      <c r="O951" s="299"/>
      <c r="P951" s="299"/>
      <c r="Q951" s="299"/>
      <c r="R951" s="299"/>
      <c r="S951" s="299"/>
      <c r="T951" s="299"/>
    </row>
    <row r="952" ht="15.75" customHeight="1">
      <c r="G952" s="298"/>
      <c r="H952" s="298"/>
      <c r="I952" s="299"/>
      <c r="J952" s="299"/>
      <c r="K952" s="299"/>
      <c r="L952" s="299"/>
      <c r="M952" s="299"/>
      <c r="N952" s="299"/>
      <c r="O952" s="299"/>
      <c r="P952" s="299"/>
      <c r="Q952" s="299"/>
      <c r="R952" s="299"/>
      <c r="S952" s="299"/>
      <c r="T952" s="299"/>
    </row>
    <row r="953" ht="15.75" customHeight="1">
      <c r="G953" s="298"/>
      <c r="H953" s="298"/>
      <c r="I953" s="299"/>
      <c r="J953" s="299"/>
      <c r="K953" s="299"/>
      <c r="L953" s="299"/>
      <c r="M953" s="299"/>
      <c r="N953" s="299"/>
      <c r="O953" s="299"/>
      <c r="P953" s="299"/>
      <c r="Q953" s="299"/>
      <c r="R953" s="299"/>
      <c r="S953" s="299"/>
      <c r="T953" s="299"/>
    </row>
    <row r="954" ht="15.75" customHeight="1">
      <c r="G954" s="298"/>
      <c r="H954" s="298"/>
      <c r="I954" s="299"/>
      <c r="J954" s="299"/>
      <c r="K954" s="299"/>
      <c r="L954" s="299"/>
      <c r="M954" s="299"/>
      <c r="N954" s="299"/>
      <c r="O954" s="299"/>
      <c r="P954" s="299"/>
      <c r="Q954" s="299"/>
      <c r="R954" s="299"/>
      <c r="S954" s="299"/>
      <c r="T954" s="299"/>
    </row>
    <row r="955" ht="15.75" customHeight="1">
      <c r="G955" s="298"/>
      <c r="H955" s="298"/>
      <c r="I955" s="299"/>
      <c r="J955" s="299"/>
      <c r="K955" s="299"/>
      <c r="L955" s="299"/>
      <c r="M955" s="299"/>
      <c r="N955" s="299"/>
      <c r="O955" s="299"/>
      <c r="P955" s="299"/>
      <c r="Q955" s="299"/>
      <c r="R955" s="299"/>
      <c r="S955" s="299"/>
      <c r="T955" s="299"/>
    </row>
    <row r="956" ht="15.75" customHeight="1">
      <c r="G956" s="298"/>
      <c r="H956" s="298"/>
      <c r="I956" s="299"/>
      <c r="J956" s="299"/>
      <c r="K956" s="299"/>
      <c r="L956" s="299"/>
      <c r="M956" s="299"/>
      <c r="N956" s="299"/>
      <c r="O956" s="299"/>
      <c r="P956" s="299"/>
      <c r="Q956" s="299"/>
      <c r="R956" s="299"/>
      <c r="S956" s="299"/>
      <c r="T956" s="299"/>
    </row>
    <row r="957" ht="15.75" customHeight="1">
      <c r="G957" s="298"/>
      <c r="H957" s="298"/>
      <c r="I957" s="299"/>
      <c r="J957" s="299"/>
      <c r="K957" s="299"/>
      <c r="L957" s="299"/>
      <c r="M957" s="299"/>
      <c r="N957" s="299"/>
      <c r="O957" s="299"/>
      <c r="P957" s="299"/>
      <c r="Q957" s="299"/>
      <c r="R957" s="299"/>
      <c r="S957" s="299"/>
      <c r="T957" s="299"/>
    </row>
    <row r="958" ht="15.75" customHeight="1">
      <c r="G958" s="298"/>
      <c r="H958" s="298"/>
      <c r="I958" s="299"/>
      <c r="J958" s="299"/>
      <c r="K958" s="299"/>
      <c r="L958" s="299"/>
      <c r="M958" s="299"/>
      <c r="N958" s="299"/>
      <c r="O958" s="299"/>
      <c r="P958" s="299"/>
      <c r="Q958" s="299"/>
      <c r="R958" s="299"/>
      <c r="S958" s="299"/>
      <c r="T958" s="299"/>
    </row>
    <row r="959" ht="15.75" customHeight="1">
      <c r="G959" s="298"/>
      <c r="H959" s="298"/>
      <c r="I959" s="299"/>
      <c r="J959" s="299"/>
      <c r="K959" s="299"/>
      <c r="L959" s="299"/>
      <c r="M959" s="299"/>
      <c r="N959" s="299"/>
      <c r="O959" s="299"/>
      <c r="P959" s="299"/>
      <c r="Q959" s="299"/>
      <c r="R959" s="299"/>
      <c r="S959" s="299"/>
      <c r="T959" s="299"/>
    </row>
    <row r="960" ht="15.75" customHeight="1">
      <c r="G960" s="298"/>
      <c r="H960" s="298"/>
      <c r="I960" s="299"/>
      <c r="J960" s="299"/>
      <c r="K960" s="299"/>
      <c r="L960" s="299"/>
      <c r="M960" s="299"/>
      <c r="N960" s="299"/>
      <c r="O960" s="299"/>
      <c r="P960" s="299"/>
      <c r="Q960" s="299"/>
      <c r="R960" s="299"/>
      <c r="S960" s="299"/>
      <c r="T960" s="299"/>
    </row>
    <row r="961" ht="15.75" customHeight="1">
      <c r="G961" s="298"/>
      <c r="H961" s="298"/>
      <c r="I961" s="299"/>
      <c r="J961" s="299"/>
      <c r="K961" s="299"/>
      <c r="L961" s="299"/>
      <c r="M961" s="299"/>
      <c r="N961" s="299"/>
      <c r="O961" s="299"/>
      <c r="P961" s="299"/>
      <c r="Q961" s="299"/>
      <c r="R961" s="299"/>
      <c r="S961" s="299"/>
      <c r="T961" s="299"/>
    </row>
    <row r="962" ht="15.75" customHeight="1">
      <c r="G962" s="298"/>
      <c r="H962" s="298"/>
      <c r="I962" s="299"/>
      <c r="J962" s="299"/>
      <c r="K962" s="299"/>
      <c r="L962" s="299"/>
      <c r="M962" s="299"/>
      <c r="N962" s="299"/>
      <c r="O962" s="299"/>
      <c r="P962" s="299"/>
      <c r="Q962" s="299"/>
      <c r="R962" s="299"/>
      <c r="S962" s="299"/>
      <c r="T962" s="299"/>
    </row>
    <row r="963" ht="15.75" customHeight="1">
      <c r="G963" s="298"/>
      <c r="H963" s="298"/>
      <c r="I963" s="299"/>
      <c r="J963" s="299"/>
      <c r="K963" s="299"/>
      <c r="L963" s="299"/>
      <c r="M963" s="299"/>
      <c r="N963" s="299"/>
      <c r="O963" s="299"/>
      <c r="P963" s="299"/>
      <c r="Q963" s="299"/>
      <c r="R963" s="299"/>
      <c r="S963" s="299"/>
      <c r="T963" s="299"/>
    </row>
    <row r="964" ht="15.75" customHeight="1">
      <c r="G964" s="298"/>
      <c r="H964" s="298"/>
      <c r="I964" s="299"/>
      <c r="J964" s="299"/>
      <c r="K964" s="299"/>
      <c r="L964" s="299"/>
      <c r="M964" s="299"/>
      <c r="N964" s="299"/>
      <c r="O964" s="299"/>
      <c r="P964" s="299"/>
      <c r="Q964" s="299"/>
      <c r="R964" s="299"/>
      <c r="S964" s="299"/>
      <c r="T964" s="299"/>
    </row>
    <row r="965" ht="15.75" customHeight="1">
      <c r="G965" s="298"/>
      <c r="H965" s="298"/>
      <c r="I965" s="299"/>
      <c r="J965" s="299"/>
      <c r="K965" s="299"/>
      <c r="L965" s="299"/>
      <c r="M965" s="299"/>
      <c r="N965" s="299"/>
      <c r="O965" s="299"/>
      <c r="P965" s="299"/>
      <c r="Q965" s="299"/>
      <c r="R965" s="299"/>
      <c r="S965" s="299"/>
      <c r="T965" s="299"/>
    </row>
    <row r="966" ht="15.75" customHeight="1">
      <c r="G966" s="298"/>
      <c r="H966" s="298"/>
      <c r="I966" s="299"/>
      <c r="J966" s="299"/>
      <c r="K966" s="299"/>
      <c r="L966" s="299"/>
      <c r="M966" s="299"/>
      <c r="N966" s="299"/>
      <c r="O966" s="299"/>
      <c r="P966" s="299"/>
      <c r="Q966" s="299"/>
      <c r="R966" s="299"/>
      <c r="S966" s="299"/>
      <c r="T966" s="299"/>
    </row>
    <row r="967" ht="15.75" customHeight="1">
      <c r="G967" s="298"/>
      <c r="H967" s="298"/>
      <c r="I967" s="299"/>
      <c r="J967" s="299"/>
      <c r="K967" s="299"/>
      <c r="L967" s="299"/>
      <c r="M967" s="299"/>
      <c r="N967" s="299"/>
      <c r="O967" s="299"/>
      <c r="P967" s="299"/>
      <c r="Q967" s="299"/>
      <c r="R967" s="299"/>
      <c r="S967" s="299"/>
      <c r="T967" s="299"/>
    </row>
    <row r="968" ht="15.75" customHeight="1">
      <c r="G968" s="298"/>
      <c r="H968" s="298"/>
      <c r="I968" s="299"/>
      <c r="J968" s="299"/>
      <c r="K968" s="299"/>
      <c r="L968" s="299"/>
      <c r="M968" s="299"/>
      <c r="N968" s="299"/>
      <c r="O968" s="299"/>
      <c r="P968" s="299"/>
      <c r="Q968" s="299"/>
      <c r="R968" s="299"/>
      <c r="S968" s="299"/>
      <c r="T968" s="299"/>
    </row>
    <row r="969" ht="15.75" customHeight="1">
      <c r="G969" s="298"/>
      <c r="H969" s="298"/>
      <c r="I969" s="299"/>
      <c r="J969" s="299"/>
      <c r="K969" s="299"/>
      <c r="L969" s="299"/>
      <c r="M969" s="299"/>
      <c r="N969" s="299"/>
      <c r="O969" s="299"/>
      <c r="P969" s="299"/>
      <c r="Q969" s="299"/>
      <c r="R969" s="299"/>
      <c r="S969" s="299"/>
      <c r="T969" s="299"/>
    </row>
    <row r="970" ht="15.75" customHeight="1">
      <c r="G970" s="298"/>
      <c r="H970" s="298"/>
      <c r="I970" s="299"/>
      <c r="J970" s="299"/>
      <c r="K970" s="299"/>
      <c r="L970" s="299"/>
      <c r="M970" s="299"/>
      <c r="N970" s="299"/>
      <c r="O970" s="299"/>
      <c r="P970" s="299"/>
      <c r="Q970" s="299"/>
      <c r="R970" s="299"/>
      <c r="S970" s="299"/>
      <c r="T970" s="299"/>
    </row>
    <row r="971" ht="15.75" customHeight="1">
      <c r="G971" s="298"/>
      <c r="H971" s="298"/>
      <c r="I971" s="299"/>
      <c r="J971" s="299"/>
      <c r="K971" s="299"/>
      <c r="L971" s="299"/>
      <c r="M971" s="299"/>
      <c r="N971" s="299"/>
      <c r="O971" s="299"/>
      <c r="P971" s="299"/>
      <c r="Q971" s="299"/>
      <c r="R971" s="299"/>
      <c r="S971" s="299"/>
      <c r="T971" s="299"/>
    </row>
    <row r="972" ht="15.75" customHeight="1">
      <c r="G972" s="298"/>
      <c r="H972" s="298"/>
      <c r="I972" s="299"/>
      <c r="J972" s="299"/>
      <c r="K972" s="299"/>
      <c r="L972" s="299"/>
      <c r="M972" s="299"/>
      <c r="N972" s="299"/>
      <c r="O972" s="299"/>
      <c r="P972" s="299"/>
      <c r="Q972" s="299"/>
      <c r="R972" s="299"/>
      <c r="S972" s="299"/>
      <c r="T972" s="299"/>
    </row>
    <row r="973" ht="15.75" customHeight="1">
      <c r="G973" s="298"/>
      <c r="H973" s="298"/>
      <c r="I973" s="299"/>
      <c r="J973" s="299"/>
      <c r="K973" s="299"/>
      <c r="L973" s="299"/>
      <c r="M973" s="299"/>
      <c r="N973" s="299"/>
      <c r="O973" s="299"/>
      <c r="P973" s="299"/>
      <c r="Q973" s="299"/>
      <c r="R973" s="299"/>
      <c r="S973" s="299"/>
      <c r="T973" s="299"/>
    </row>
    <row r="974" ht="15.75" customHeight="1">
      <c r="G974" s="298"/>
      <c r="H974" s="298"/>
      <c r="I974" s="299"/>
      <c r="J974" s="299"/>
      <c r="K974" s="299"/>
      <c r="L974" s="299"/>
      <c r="M974" s="299"/>
      <c r="N974" s="299"/>
      <c r="O974" s="299"/>
      <c r="P974" s="299"/>
      <c r="Q974" s="299"/>
      <c r="R974" s="299"/>
      <c r="S974" s="299"/>
      <c r="T974" s="299"/>
    </row>
    <row r="975" ht="15.75" customHeight="1">
      <c r="G975" s="298"/>
      <c r="H975" s="298"/>
      <c r="I975" s="299"/>
      <c r="J975" s="299"/>
      <c r="K975" s="299"/>
      <c r="L975" s="299"/>
      <c r="M975" s="299"/>
      <c r="N975" s="299"/>
      <c r="O975" s="299"/>
      <c r="P975" s="299"/>
      <c r="Q975" s="299"/>
      <c r="R975" s="299"/>
      <c r="S975" s="299"/>
      <c r="T975" s="299"/>
    </row>
    <row r="976" ht="15.75" customHeight="1">
      <c r="G976" s="298"/>
      <c r="H976" s="298"/>
      <c r="I976" s="299"/>
      <c r="J976" s="299"/>
      <c r="K976" s="299"/>
      <c r="L976" s="299"/>
      <c r="M976" s="299"/>
      <c r="N976" s="299"/>
      <c r="O976" s="299"/>
      <c r="P976" s="299"/>
      <c r="Q976" s="299"/>
      <c r="R976" s="299"/>
      <c r="S976" s="299"/>
      <c r="T976" s="299"/>
    </row>
    <row r="977" ht="15.75" customHeight="1">
      <c r="G977" s="298"/>
      <c r="H977" s="298"/>
      <c r="I977" s="299"/>
      <c r="J977" s="299"/>
      <c r="K977" s="299"/>
      <c r="L977" s="299"/>
      <c r="M977" s="299"/>
      <c r="N977" s="299"/>
      <c r="O977" s="299"/>
      <c r="P977" s="299"/>
      <c r="Q977" s="299"/>
      <c r="R977" s="299"/>
      <c r="S977" s="299"/>
      <c r="T977" s="299"/>
    </row>
    <row r="978" ht="15.75" customHeight="1">
      <c r="G978" s="298"/>
      <c r="H978" s="298"/>
      <c r="I978" s="299"/>
      <c r="J978" s="299"/>
      <c r="K978" s="299"/>
      <c r="L978" s="299"/>
      <c r="M978" s="299"/>
      <c r="N978" s="299"/>
      <c r="O978" s="299"/>
      <c r="P978" s="299"/>
      <c r="Q978" s="299"/>
      <c r="R978" s="299"/>
      <c r="S978" s="299"/>
      <c r="T978" s="299"/>
    </row>
    <row r="979" ht="15.75" customHeight="1">
      <c r="G979" s="298"/>
      <c r="H979" s="298"/>
      <c r="I979" s="299"/>
      <c r="J979" s="299"/>
      <c r="K979" s="299"/>
      <c r="L979" s="299"/>
      <c r="M979" s="299"/>
      <c r="N979" s="299"/>
      <c r="O979" s="299"/>
      <c r="P979" s="299"/>
      <c r="Q979" s="299"/>
      <c r="R979" s="299"/>
      <c r="S979" s="299"/>
      <c r="T979" s="299"/>
    </row>
    <row r="980" ht="15.75" customHeight="1">
      <c r="G980" s="298"/>
      <c r="H980" s="298"/>
      <c r="I980" s="299"/>
      <c r="J980" s="299"/>
      <c r="K980" s="299"/>
      <c r="L980" s="299"/>
      <c r="M980" s="299"/>
      <c r="N980" s="299"/>
      <c r="O980" s="299"/>
      <c r="P980" s="299"/>
      <c r="Q980" s="299"/>
      <c r="R980" s="299"/>
      <c r="S980" s="299"/>
      <c r="T980" s="299"/>
    </row>
    <row r="981" ht="15.75" customHeight="1">
      <c r="G981" s="298"/>
      <c r="H981" s="298"/>
      <c r="I981" s="299"/>
      <c r="J981" s="299"/>
      <c r="K981" s="299"/>
      <c r="L981" s="299"/>
      <c r="M981" s="299"/>
      <c r="N981" s="299"/>
      <c r="O981" s="299"/>
      <c r="P981" s="299"/>
      <c r="Q981" s="299"/>
      <c r="R981" s="299"/>
      <c r="S981" s="299"/>
      <c r="T981" s="299"/>
    </row>
    <row r="982" ht="15.75" customHeight="1">
      <c r="G982" s="298"/>
      <c r="H982" s="298"/>
      <c r="I982" s="299"/>
      <c r="J982" s="299"/>
      <c r="K982" s="299"/>
      <c r="L982" s="299"/>
      <c r="M982" s="299"/>
      <c r="N982" s="299"/>
      <c r="O982" s="299"/>
      <c r="P982" s="299"/>
      <c r="Q982" s="299"/>
      <c r="R982" s="299"/>
      <c r="S982" s="299"/>
      <c r="T982" s="299"/>
    </row>
    <row r="983" ht="15.75" customHeight="1">
      <c r="G983" s="298"/>
      <c r="H983" s="298"/>
      <c r="I983" s="299"/>
      <c r="J983" s="299"/>
      <c r="K983" s="299"/>
      <c r="L983" s="299"/>
      <c r="M983" s="299"/>
      <c r="N983" s="299"/>
      <c r="O983" s="299"/>
      <c r="P983" s="299"/>
      <c r="Q983" s="299"/>
      <c r="R983" s="299"/>
      <c r="S983" s="299"/>
      <c r="T983" s="299"/>
    </row>
    <row r="984" ht="15.75" customHeight="1">
      <c r="G984" s="298"/>
      <c r="H984" s="298"/>
      <c r="I984" s="299"/>
      <c r="J984" s="299"/>
      <c r="K984" s="299"/>
      <c r="L984" s="299"/>
      <c r="M984" s="299"/>
      <c r="N984" s="299"/>
      <c r="O984" s="299"/>
      <c r="P984" s="299"/>
      <c r="Q984" s="299"/>
      <c r="R984" s="299"/>
      <c r="S984" s="299"/>
      <c r="T984" s="299"/>
    </row>
    <row r="985" ht="15.75" customHeight="1">
      <c r="G985" s="298"/>
      <c r="H985" s="298"/>
      <c r="I985" s="299"/>
      <c r="J985" s="299"/>
      <c r="K985" s="299"/>
      <c r="L985" s="299"/>
      <c r="M985" s="299"/>
      <c r="N985" s="299"/>
      <c r="O985" s="299"/>
      <c r="P985" s="299"/>
      <c r="Q985" s="299"/>
      <c r="R985" s="299"/>
      <c r="S985" s="299"/>
      <c r="T985" s="299"/>
    </row>
    <row r="986" ht="15.75" customHeight="1">
      <c r="G986" s="298"/>
      <c r="H986" s="298"/>
      <c r="I986" s="299"/>
      <c r="J986" s="299"/>
      <c r="K986" s="299"/>
      <c r="L986" s="299"/>
      <c r="M986" s="299"/>
      <c r="N986" s="299"/>
      <c r="O986" s="299"/>
      <c r="P986" s="299"/>
      <c r="Q986" s="299"/>
      <c r="R986" s="299"/>
      <c r="S986" s="299"/>
      <c r="T986" s="299"/>
    </row>
    <row r="987" ht="15.75" customHeight="1">
      <c r="G987" s="298"/>
      <c r="H987" s="298"/>
      <c r="I987" s="299"/>
      <c r="J987" s="299"/>
      <c r="K987" s="299"/>
      <c r="L987" s="299"/>
      <c r="M987" s="299"/>
      <c r="N987" s="299"/>
      <c r="O987" s="299"/>
      <c r="P987" s="299"/>
      <c r="Q987" s="299"/>
      <c r="R987" s="299"/>
      <c r="S987" s="299"/>
      <c r="T987" s="299"/>
    </row>
    <row r="988" ht="15.75" customHeight="1">
      <c r="G988" s="298"/>
      <c r="H988" s="298"/>
      <c r="I988" s="299"/>
      <c r="J988" s="299"/>
      <c r="K988" s="299"/>
      <c r="L988" s="299"/>
      <c r="M988" s="299"/>
      <c r="N988" s="299"/>
      <c r="O988" s="299"/>
      <c r="P988" s="299"/>
      <c r="Q988" s="299"/>
      <c r="R988" s="299"/>
      <c r="S988" s="299"/>
      <c r="T988" s="299"/>
    </row>
    <row r="989" ht="15.75" customHeight="1">
      <c r="G989" s="298"/>
      <c r="H989" s="298"/>
      <c r="I989" s="299"/>
      <c r="J989" s="299"/>
      <c r="K989" s="299"/>
      <c r="L989" s="299"/>
      <c r="M989" s="299"/>
      <c r="N989" s="299"/>
      <c r="O989" s="299"/>
      <c r="P989" s="299"/>
      <c r="Q989" s="299"/>
      <c r="R989" s="299"/>
      <c r="S989" s="299"/>
      <c r="T989" s="299"/>
    </row>
    <row r="990" ht="15.75" customHeight="1">
      <c r="G990" s="298"/>
      <c r="H990" s="298"/>
      <c r="I990" s="299"/>
      <c r="J990" s="299"/>
      <c r="K990" s="299"/>
      <c r="L990" s="299"/>
      <c r="M990" s="299"/>
      <c r="N990" s="299"/>
      <c r="O990" s="299"/>
      <c r="P990" s="299"/>
      <c r="Q990" s="299"/>
      <c r="R990" s="299"/>
      <c r="S990" s="299"/>
      <c r="T990" s="299"/>
    </row>
    <row r="991" ht="15.75" customHeight="1">
      <c r="G991" s="298"/>
      <c r="H991" s="298"/>
      <c r="I991" s="299"/>
      <c r="J991" s="299"/>
      <c r="K991" s="299"/>
      <c r="L991" s="299"/>
      <c r="M991" s="299"/>
      <c r="N991" s="299"/>
      <c r="O991" s="299"/>
      <c r="P991" s="299"/>
      <c r="Q991" s="299"/>
      <c r="R991" s="299"/>
      <c r="S991" s="299"/>
      <c r="T991" s="299"/>
    </row>
    <row r="992" ht="15.75" customHeight="1">
      <c r="G992" s="298"/>
      <c r="H992" s="298"/>
      <c r="I992" s="299"/>
      <c r="J992" s="299"/>
      <c r="K992" s="299"/>
      <c r="L992" s="299"/>
      <c r="M992" s="299"/>
      <c r="N992" s="299"/>
      <c r="O992" s="299"/>
      <c r="P992" s="299"/>
      <c r="Q992" s="299"/>
      <c r="R992" s="299"/>
      <c r="S992" s="299"/>
      <c r="T992" s="299"/>
    </row>
    <row r="993" ht="15.75" customHeight="1">
      <c r="G993" s="298"/>
      <c r="H993" s="298"/>
      <c r="I993" s="299"/>
      <c r="J993" s="299"/>
      <c r="K993" s="299"/>
      <c r="L993" s="299"/>
      <c r="M993" s="299"/>
      <c r="N993" s="299"/>
      <c r="O993" s="299"/>
      <c r="P993" s="299"/>
      <c r="Q993" s="299"/>
      <c r="R993" s="299"/>
      <c r="S993" s="299"/>
      <c r="T993" s="299"/>
    </row>
    <row r="994" ht="15.75" customHeight="1">
      <c r="G994" s="298"/>
      <c r="H994" s="298"/>
      <c r="I994" s="299"/>
      <c r="J994" s="299"/>
      <c r="K994" s="299"/>
      <c r="L994" s="299"/>
      <c r="M994" s="299"/>
      <c r="N994" s="299"/>
      <c r="O994" s="299"/>
      <c r="P994" s="299"/>
      <c r="Q994" s="299"/>
      <c r="R994" s="299"/>
      <c r="S994" s="299"/>
      <c r="T994" s="299"/>
    </row>
    <row r="995" ht="15.75" customHeight="1">
      <c r="G995" s="298"/>
      <c r="H995" s="298"/>
      <c r="I995" s="299"/>
      <c r="J995" s="299"/>
      <c r="K995" s="299"/>
      <c r="L995" s="299"/>
      <c r="M995" s="299"/>
      <c r="N995" s="299"/>
      <c r="O995" s="299"/>
      <c r="P995" s="299"/>
      <c r="Q995" s="299"/>
      <c r="R995" s="299"/>
      <c r="S995" s="299"/>
      <c r="T995" s="299"/>
    </row>
    <row r="996" ht="15.75" customHeight="1">
      <c r="G996" s="298"/>
      <c r="H996" s="298"/>
      <c r="I996" s="299"/>
      <c r="J996" s="299"/>
      <c r="K996" s="299"/>
      <c r="L996" s="299"/>
      <c r="M996" s="299"/>
      <c r="N996" s="299"/>
      <c r="O996" s="299"/>
      <c r="P996" s="299"/>
      <c r="Q996" s="299"/>
      <c r="R996" s="299"/>
      <c r="S996" s="299"/>
      <c r="T996" s="299"/>
    </row>
    <row r="997" ht="15.75" customHeight="1">
      <c r="G997" s="298"/>
      <c r="H997" s="298"/>
      <c r="I997" s="299"/>
      <c r="J997" s="299"/>
      <c r="K997" s="299"/>
      <c r="L997" s="299"/>
      <c r="M997" s="299"/>
      <c r="N997" s="299"/>
      <c r="O997" s="299"/>
      <c r="P997" s="299"/>
      <c r="Q997" s="299"/>
      <c r="R997" s="299"/>
      <c r="S997" s="299"/>
      <c r="T997" s="299"/>
    </row>
    <row r="998" ht="15.75" customHeight="1">
      <c r="G998" s="298"/>
      <c r="H998" s="298"/>
      <c r="I998" s="299"/>
      <c r="J998" s="299"/>
      <c r="K998" s="299"/>
      <c r="L998" s="299"/>
      <c r="M998" s="299"/>
      <c r="N998" s="299"/>
      <c r="O998" s="299"/>
      <c r="P998" s="299"/>
      <c r="Q998" s="299"/>
      <c r="R998" s="299"/>
      <c r="S998" s="299"/>
      <c r="T998" s="299"/>
    </row>
    <row r="999" ht="15.75" customHeight="1">
      <c r="G999" s="298"/>
      <c r="H999" s="298"/>
      <c r="I999" s="299"/>
      <c r="J999" s="299"/>
      <c r="K999" s="299"/>
      <c r="L999" s="299"/>
      <c r="M999" s="299"/>
      <c r="N999" s="299"/>
      <c r="O999" s="299"/>
      <c r="P999" s="299"/>
      <c r="Q999" s="299"/>
      <c r="R999" s="299"/>
      <c r="S999" s="299"/>
      <c r="T999" s="299"/>
    </row>
    <row r="1000" ht="15.75" customHeight="1">
      <c r="G1000" s="298"/>
      <c r="H1000" s="298"/>
      <c r="I1000" s="299"/>
      <c r="J1000" s="299"/>
      <c r="K1000" s="299"/>
      <c r="L1000" s="299"/>
      <c r="M1000" s="299"/>
      <c r="N1000" s="299"/>
      <c r="O1000" s="299"/>
      <c r="P1000" s="299"/>
      <c r="Q1000" s="299"/>
      <c r="R1000" s="299"/>
      <c r="S1000" s="299"/>
      <c r="T1000" s="299"/>
    </row>
    <row r="1001" ht="15.75" customHeight="1">
      <c r="G1001" s="298"/>
      <c r="H1001" s="298"/>
      <c r="I1001" s="299"/>
      <c r="J1001" s="299"/>
      <c r="K1001" s="299"/>
      <c r="L1001" s="299"/>
      <c r="M1001" s="299"/>
      <c r="N1001" s="299"/>
      <c r="O1001" s="299"/>
      <c r="P1001" s="299"/>
      <c r="Q1001" s="299"/>
      <c r="R1001" s="299"/>
      <c r="S1001" s="299"/>
      <c r="T1001" s="299"/>
    </row>
    <row r="1002" ht="15.75" customHeight="1">
      <c r="G1002" s="298"/>
      <c r="H1002" s="298"/>
      <c r="I1002" s="299"/>
      <c r="J1002" s="299"/>
      <c r="K1002" s="299"/>
      <c r="L1002" s="299"/>
      <c r="M1002" s="299"/>
      <c r="N1002" s="299"/>
      <c r="O1002" s="299"/>
      <c r="P1002" s="299"/>
      <c r="Q1002" s="299"/>
      <c r="R1002" s="299"/>
      <c r="S1002" s="299"/>
      <c r="T1002" s="299"/>
    </row>
    <row r="1003" ht="15.75" customHeight="1">
      <c r="G1003" s="298"/>
      <c r="H1003" s="298"/>
      <c r="I1003" s="299"/>
      <c r="J1003" s="299"/>
      <c r="K1003" s="299"/>
      <c r="L1003" s="299"/>
      <c r="M1003" s="299"/>
      <c r="N1003" s="299"/>
      <c r="O1003" s="299"/>
      <c r="P1003" s="299"/>
      <c r="Q1003" s="299"/>
      <c r="R1003" s="299"/>
      <c r="S1003" s="299"/>
      <c r="T1003" s="299"/>
    </row>
    <row r="1004" ht="15.75" customHeight="1">
      <c r="G1004" s="298"/>
      <c r="H1004" s="298"/>
      <c r="I1004" s="299"/>
      <c r="J1004" s="299"/>
      <c r="K1004" s="299"/>
      <c r="L1004" s="299"/>
      <c r="M1004" s="299"/>
      <c r="N1004" s="299"/>
      <c r="O1004" s="299"/>
      <c r="P1004" s="299"/>
      <c r="Q1004" s="299"/>
      <c r="R1004" s="299"/>
      <c r="S1004" s="299"/>
      <c r="T1004" s="299"/>
    </row>
    <row r="1005" ht="15.75" customHeight="1">
      <c r="G1005" s="298"/>
      <c r="H1005" s="298"/>
      <c r="I1005" s="299"/>
      <c r="J1005" s="299"/>
      <c r="K1005" s="299"/>
      <c r="L1005" s="299"/>
      <c r="M1005" s="299"/>
      <c r="N1005" s="299"/>
      <c r="O1005" s="299"/>
      <c r="P1005" s="299"/>
      <c r="Q1005" s="299"/>
      <c r="R1005" s="299"/>
      <c r="S1005" s="299"/>
      <c r="T1005" s="299"/>
    </row>
    <row r="1006" ht="15.75" customHeight="1">
      <c r="G1006" s="298"/>
      <c r="H1006" s="298"/>
      <c r="I1006" s="299"/>
      <c r="J1006" s="299"/>
      <c r="K1006" s="299"/>
      <c r="L1006" s="299"/>
      <c r="M1006" s="299"/>
      <c r="N1006" s="299"/>
      <c r="O1006" s="299"/>
      <c r="P1006" s="299"/>
      <c r="Q1006" s="299"/>
      <c r="R1006" s="299"/>
      <c r="S1006" s="299"/>
      <c r="T1006" s="299"/>
    </row>
    <row r="1007" ht="15.75" customHeight="1">
      <c r="G1007" s="298"/>
      <c r="H1007" s="298"/>
      <c r="I1007" s="299"/>
      <c r="J1007" s="299"/>
      <c r="K1007" s="299"/>
      <c r="L1007" s="299"/>
      <c r="M1007" s="299"/>
      <c r="N1007" s="299"/>
      <c r="O1007" s="299"/>
      <c r="P1007" s="299"/>
      <c r="Q1007" s="299"/>
      <c r="R1007" s="299"/>
      <c r="S1007" s="299"/>
      <c r="T1007" s="299"/>
    </row>
    <row r="1008" ht="15.75" customHeight="1">
      <c r="G1008" s="298"/>
      <c r="H1008" s="298"/>
      <c r="I1008" s="299"/>
      <c r="J1008" s="299"/>
      <c r="K1008" s="299"/>
      <c r="L1008" s="299"/>
      <c r="M1008" s="299"/>
      <c r="N1008" s="299"/>
      <c r="O1008" s="299"/>
      <c r="P1008" s="299"/>
      <c r="Q1008" s="299"/>
      <c r="R1008" s="299"/>
      <c r="S1008" s="299"/>
      <c r="T1008" s="299"/>
    </row>
    <row r="1009" ht="15.75" customHeight="1">
      <c r="G1009" s="298"/>
      <c r="H1009" s="298"/>
      <c r="I1009" s="299"/>
      <c r="J1009" s="299"/>
      <c r="K1009" s="299"/>
      <c r="L1009" s="299"/>
      <c r="M1009" s="299"/>
      <c r="N1009" s="299"/>
      <c r="O1009" s="299"/>
      <c r="P1009" s="299"/>
      <c r="Q1009" s="299"/>
      <c r="R1009" s="299"/>
      <c r="S1009" s="299"/>
      <c r="T1009" s="299"/>
    </row>
    <row r="1010" ht="15.75" customHeight="1">
      <c r="G1010" s="298"/>
      <c r="H1010" s="298"/>
      <c r="I1010" s="299"/>
      <c r="J1010" s="299"/>
      <c r="K1010" s="299"/>
      <c r="L1010" s="299"/>
      <c r="M1010" s="299"/>
      <c r="N1010" s="299"/>
      <c r="O1010" s="299"/>
      <c r="P1010" s="299"/>
      <c r="Q1010" s="299"/>
      <c r="R1010" s="299"/>
      <c r="S1010" s="299"/>
      <c r="T1010" s="299"/>
    </row>
    <row r="1011" ht="15.75" customHeight="1">
      <c r="G1011" s="298"/>
      <c r="H1011" s="298"/>
      <c r="I1011" s="299"/>
      <c r="J1011" s="299"/>
      <c r="K1011" s="299"/>
      <c r="L1011" s="299"/>
      <c r="M1011" s="299"/>
      <c r="N1011" s="299"/>
      <c r="O1011" s="299"/>
      <c r="P1011" s="299"/>
      <c r="Q1011" s="299"/>
      <c r="R1011" s="299"/>
      <c r="S1011" s="299"/>
      <c r="T1011" s="299"/>
    </row>
    <row r="1012" ht="15.75" customHeight="1">
      <c r="G1012" s="298"/>
      <c r="H1012" s="298"/>
      <c r="I1012" s="299"/>
      <c r="J1012" s="299"/>
      <c r="K1012" s="299"/>
      <c r="L1012" s="299"/>
      <c r="M1012" s="299"/>
      <c r="N1012" s="299"/>
      <c r="O1012" s="299"/>
      <c r="P1012" s="299"/>
      <c r="Q1012" s="299"/>
      <c r="R1012" s="299"/>
      <c r="S1012" s="299"/>
      <c r="T1012" s="299"/>
    </row>
    <row r="1013" ht="15.75" customHeight="1">
      <c r="G1013" s="298"/>
      <c r="H1013" s="298"/>
      <c r="I1013" s="299"/>
      <c r="J1013" s="299"/>
      <c r="K1013" s="299"/>
      <c r="L1013" s="299"/>
      <c r="M1013" s="299"/>
      <c r="N1013" s="299"/>
      <c r="O1013" s="299"/>
      <c r="P1013" s="299"/>
      <c r="Q1013" s="299"/>
      <c r="R1013" s="299"/>
      <c r="S1013" s="299"/>
      <c r="T1013" s="299"/>
    </row>
    <row r="1014" ht="15.75" customHeight="1">
      <c r="G1014" s="298"/>
      <c r="H1014" s="298"/>
      <c r="I1014" s="299"/>
      <c r="J1014" s="299"/>
      <c r="K1014" s="299"/>
      <c r="L1014" s="299"/>
      <c r="M1014" s="299"/>
      <c r="N1014" s="299"/>
      <c r="O1014" s="299"/>
      <c r="P1014" s="299"/>
      <c r="Q1014" s="299"/>
      <c r="R1014" s="299"/>
      <c r="S1014" s="299"/>
      <c r="T1014" s="299"/>
    </row>
    <row r="1015" ht="15.75" customHeight="1">
      <c r="G1015" s="298"/>
      <c r="H1015" s="298"/>
      <c r="I1015" s="299"/>
      <c r="J1015" s="299"/>
      <c r="K1015" s="299"/>
      <c r="L1015" s="299"/>
      <c r="M1015" s="299"/>
      <c r="N1015" s="299"/>
      <c r="O1015" s="299"/>
      <c r="P1015" s="299"/>
      <c r="Q1015" s="299"/>
      <c r="R1015" s="299"/>
      <c r="S1015" s="299"/>
      <c r="T1015" s="299"/>
    </row>
    <row r="1016" ht="15.75" customHeight="1">
      <c r="G1016" s="298"/>
      <c r="H1016" s="298"/>
      <c r="I1016" s="299"/>
      <c r="J1016" s="299"/>
      <c r="K1016" s="299"/>
      <c r="L1016" s="299"/>
      <c r="M1016" s="299"/>
      <c r="N1016" s="299"/>
      <c r="O1016" s="299"/>
      <c r="P1016" s="299"/>
      <c r="Q1016" s="299"/>
      <c r="R1016" s="299"/>
      <c r="S1016" s="299"/>
      <c r="T1016" s="299"/>
    </row>
    <row r="1017" ht="15.75" customHeight="1">
      <c r="G1017" s="298"/>
      <c r="H1017" s="298"/>
      <c r="I1017" s="299"/>
      <c r="J1017" s="299"/>
      <c r="K1017" s="299"/>
      <c r="L1017" s="299"/>
      <c r="M1017" s="299"/>
      <c r="N1017" s="299"/>
      <c r="O1017" s="299"/>
      <c r="P1017" s="299"/>
      <c r="Q1017" s="299"/>
      <c r="R1017" s="299"/>
      <c r="S1017" s="299"/>
      <c r="T1017" s="299"/>
    </row>
    <row r="1018" ht="15.75" customHeight="1">
      <c r="G1018" s="298"/>
      <c r="H1018" s="298"/>
      <c r="I1018" s="299"/>
      <c r="J1018" s="299"/>
      <c r="K1018" s="299"/>
      <c r="L1018" s="299"/>
      <c r="M1018" s="299"/>
      <c r="N1018" s="299"/>
      <c r="O1018" s="299"/>
      <c r="P1018" s="299"/>
      <c r="Q1018" s="299"/>
      <c r="R1018" s="299"/>
      <c r="S1018" s="299"/>
      <c r="T1018" s="299"/>
    </row>
    <row r="1019" ht="15.75" customHeight="1">
      <c r="G1019" s="298"/>
      <c r="H1019" s="298"/>
      <c r="I1019" s="299"/>
      <c r="J1019" s="299"/>
      <c r="K1019" s="299"/>
      <c r="L1019" s="299"/>
      <c r="M1019" s="299"/>
      <c r="N1019" s="299"/>
      <c r="O1019" s="299"/>
      <c r="P1019" s="299"/>
      <c r="Q1019" s="299"/>
      <c r="R1019" s="299"/>
      <c r="S1019" s="299"/>
      <c r="T1019" s="299"/>
    </row>
    <row r="1020" ht="15.75" customHeight="1">
      <c r="G1020" s="298"/>
      <c r="H1020" s="298"/>
      <c r="I1020" s="299"/>
      <c r="J1020" s="299"/>
      <c r="K1020" s="299"/>
      <c r="L1020" s="299"/>
      <c r="M1020" s="299"/>
      <c r="N1020" s="299"/>
      <c r="O1020" s="299"/>
      <c r="P1020" s="299"/>
      <c r="Q1020" s="299"/>
      <c r="R1020" s="299"/>
      <c r="S1020" s="299"/>
      <c r="T1020" s="299"/>
    </row>
    <row r="1021" ht="15.75" customHeight="1">
      <c r="G1021" s="298"/>
      <c r="H1021" s="298"/>
      <c r="I1021" s="299"/>
      <c r="J1021" s="299"/>
      <c r="K1021" s="299"/>
      <c r="L1021" s="299"/>
      <c r="M1021" s="299"/>
      <c r="N1021" s="299"/>
      <c r="O1021" s="299"/>
      <c r="P1021" s="299"/>
      <c r="Q1021" s="299"/>
      <c r="R1021" s="299"/>
      <c r="S1021" s="299"/>
      <c r="T1021" s="299"/>
    </row>
    <row r="1022" ht="15.75" customHeight="1">
      <c r="G1022" s="298"/>
      <c r="H1022" s="298"/>
      <c r="I1022" s="299"/>
      <c r="J1022" s="299"/>
      <c r="K1022" s="299"/>
      <c r="L1022" s="299"/>
      <c r="M1022" s="299"/>
      <c r="N1022" s="299"/>
      <c r="O1022" s="299"/>
      <c r="P1022" s="299"/>
      <c r="Q1022" s="299"/>
      <c r="R1022" s="299"/>
      <c r="S1022" s="299"/>
      <c r="T1022" s="299"/>
    </row>
    <row r="1023" ht="15.75" customHeight="1">
      <c r="G1023" s="298"/>
      <c r="H1023" s="298"/>
      <c r="I1023" s="299"/>
      <c r="J1023" s="299"/>
      <c r="K1023" s="299"/>
      <c r="L1023" s="299"/>
      <c r="M1023" s="299"/>
      <c r="N1023" s="299"/>
      <c r="O1023" s="299"/>
      <c r="P1023" s="299"/>
      <c r="Q1023" s="299"/>
      <c r="R1023" s="299"/>
      <c r="S1023" s="299"/>
      <c r="T1023" s="299"/>
    </row>
    <row r="1024" ht="15.75" customHeight="1">
      <c r="G1024" s="298"/>
      <c r="H1024" s="298"/>
      <c r="I1024" s="299"/>
      <c r="J1024" s="299"/>
      <c r="K1024" s="299"/>
      <c r="L1024" s="299"/>
      <c r="M1024" s="299"/>
      <c r="N1024" s="299"/>
      <c r="O1024" s="299"/>
      <c r="P1024" s="299"/>
      <c r="Q1024" s="299"/>
      <c r="R1024" s="299"/>
      <c r="S1024" s="299"/>
      <c r="T1024" s="299"/>
    </row>
    <row r="1025" ht="15.75" customHeight="1">
      <c r="G1025" s="298"/>
      <c r="H1025" s="298"/>
      <c r="I1025" s="299"/>
      <c r="J1025" s="299"/>
      <c r="K1025" s="299"/>
      <c r="L1025" s="299"/>
      <c r="M1025" s="299"/>
      <c r="N1025" s="299"/>
      <c r="O1025" s="299"/>
      <c r="P1025" s="299"/>
      <c r="Q1025" s="299"/>
      <c r="R1025" s="299"/>
      <c r="S1025" s="299"/>
      <c r="T1025" s="299"/>
    </row>
    <row r="1026" ht="15.75" customHeight="1">
      <c r="G1026" s="298"/>
      <c r="H1026" s="298"/>
      <c r="I1026" s="299"/>
      <c r="J1026" s="299"/>
      <c r="K1026" s="299"/>
      <c r="L1026" s="299"/>
      <c r="M1026" s="299"/>
      <c r="N1026" s="299"/>
      <c r="O1026" s="299"/>
      <c r="P1026" s="299"/>
      <c r="Q1026" s="299"/>
      <c r="R1026" s="299"/>
      <c r="S1026" s="299"/>
      <c r="T1026" s="299"/>
    </row>
    <row r="1027" ht="15.75" customHeight="1">
      <c r="G1027" s="298"/>
      <c r="H1027" s="298"/>
      <c r="I1027" s="299"/>
      <c r="J1027" s="299"/>
      <c r="K1027" s="299"/>
      <c r="L1027" s="299"/>
      <c r="M1027" s="299"/>
      <c r="N1027" s="299"/>
      <c r="O1027" s="299"/>
      <c r="P1027" s="299"/>
      <c r="Q1027" s="299"/>
      <c r="R1027" s="299"/>
      <c r="S1027" s="299"/>
      <c r="T1027" s="299"/>
    </row>
    <row r="1028" ht="15.75" customHeight="1">
      <c r="G1028" s="298"/>
      <c r="H1028" s="298"/>
      <c r="I1028" s="299"/>
      <c r="J1028" s="299"/>
      <c r="K1028" s="299"/>
      <c r="L1028" s="299"/>
      <c r="M1028" s="299"/>
      <c r="N1028" s="299"/>
      <c r="O1028" s="299"/>
      <c r="P1028" s="299"/>
      <c r="Q1028" s="299"/>
      <c r="R1028" s="299"/>
      <c r="S1028" s="299"/>
      <c r="T1028" s="299"/>
    </row>
    <row r="1029" ht="15.75" customHeight="1">
      <c r="G1029" s="298"/>
      <c r="H1029" s="298"/>
      <c r="I1029" s="299"/>
      <c r="J1029" s="299"/>
      <c r="K1029" s="299"/>
      <c r="L1029" s="299"/>
      <c r="M1029" s="299"/>
      <c r="N1029" s="299"/>
      <c r="O1029" s="299"/>
      <c r="P1029" s="299"/>
      <c r="Q1029" s="299"/>
      <c r="R1029" s="299"/>
      <c r="S1029" s="299"/>
      <c r="T1029" s="299"/>
    </row>
    <row r="1030" ht="15.75" customHeight="1">
      <c r="G1030" s="298"/>
      <c r="H1030" s="298"/>
      <c r="I1030" s="299"/>
      <c r="J1030" s="299"/>
      <c r="K1030" s="299"/>
      <c r="L1030" s="299"/>
      <c r="M1030" s="299"/>
      <c r="N1030" s="299"/>
      <c r="O1030" s="299"/>
      <c r="P1030" s="299"/>
      <c r="Q1030" s="299"/>
      <c r="R1030" s="299"/>
      <c r="S1030" s="299"/>
      <c r="T1030" s="299"/>
    </row>
    <row r="1031" ht="15.75" customHeight="1">
      <c r="G1031" s="298"/>
      <c r="H1031" s="298"/>
      <c r="I1031" s="299"/>
      <c r="J1031" s="299"/>
      <c r="K1031" s="299"/>
      <c r="L1031" s="299"/>
      <c r="M1031" s="299"/>
      <c r="N1031" s="299"/>
      <c r="O1031" s="299"/>
      <c r="P1031" s="299"/>
      <c r="Q1031" s="299"/>
      <c r="R1031" s="299"/>
      <c r="S1031" s="299"/>
      <c r="T1031" s="299"/>
    </row>
    <row r="1032" ht="15.75" customHeight="1">
      <c r="G1032" s="298"/>
      <c r="H1032" s="298"/>
      <c r="I1032" s="299"/>
      <c r="J1032" s="299"/>
      <c r="K1032" s="299"/>
      <c r="L1032" s="299"/>
      <c r="M1032" s="299"/>
      <c r="N1032" s="299"/>
      <c r="O1032" s="299"/>
      <c r="P1032" s="299"/>
      <c r="Q1032" s="299"/>
      <c r="R1032" s="299"/>
      <c r="S1032" s="299"/>
      <c r="T1032" s="299"/>
    </row>
    <row r="1033" ht="15.75" customHeight="1">
      <c r="G1033" s="298"/>
      <c r="H1033" s="298"/>
      <c r="I1033" s="299"/>
      <c r="J1033" s="299"/>
      <c r="K1033" s="299"/>
      <c r="L1033" s="299"/>
      <c r="M1033" s="299"/>
      <c r="N1033" s="299"/>
      <c r="O1033" s="299"/>
      <c r="P1033" s="299"/>
      <c r="Q1033" s="299"/>
      <c r="R1033" s="299"/>
      <c r="S1033" s="299"/>
      <c r="T1033" s="299"/>
    </row>
    <row r="1034" ht="15.75" customHeight="1">
      <c r="G1034" s="298"/>
      <c r="H1034" s="298"/>
      <c r="I1034" s="299"/>
      <c r="J1034" s="299"/>
      <c r="K1034" s="299"/>
      <c r="L1034" s="299"/>
      <c r="M1034" s="299"/>
      <c r="N1034" s="299"/>
      <c r="O1034" s="299"/>
      <c r="P1034" s="299"/>
      <c r="Q1034" s="299"/>
      <c r="R1034" s="299"/>
      <c r="S1034" s="299"/>
      <c r="T1034" s="299"/>
    </row>
    <row r="1035" ht="15.75" customHeight="1">
      <c r="G1035" s="298"/>
      <c r="H1035" s="298"/>
      <c r="I1035" s="299"/>
      <c r="J1035" s="299"/>
      <c r="K1035" s="299"/>
      <c r="L1035" s="299"/>
      <c r="M1035" s="299"/>
      <c r="N1035" s="299"/>
      <c r="O1035" s="299"/>
      <c r="P1035" s="299"/>
      <c r="Q1035" s="299"/>
      <c r="R1035" s="299"/>
      <c r="S1035" s="299"/>
      <c r="T1035" s="299"/>
    </row>
    <row r="1036" ht="15.75" customHeight="1">
      <c r="G1036" s="298"/>
      <c r="H1036" s="298"/>
      <c r="I1036" s="299"/>
      <c r="J1036" s="299"/>
      <c r="K1036" s="299"/>
      <c r="L1036" s="299"/>
      <c r="M1036" s="299"/>
      <c r="N1036" s="299"/>
      <c r="O1036" s="299"/>
      <c r="P1036" s="299"/>
      <c r="Q1036" s="299"/>
      <c r="R1036" s="299"/>
      <c r="S1036" s="299"/>
      <c r="T1036" s="299"/>
    </row>
    <row r="1037" ht="15.75" customHeight="1">
      <c r="G1037" s="298"/>
      <c r="H1037" s="298"/>
      <c r="I1037" s="299"/>
      <c r="J1037" s="299"/>
      <c r="K1037" s="299"/>
      <c r="L1037" s="299"/>
      <c r="M1037" s="299"/>
      <c r="N1037" s="299"/>
      <c r="O1037" s="299"/>
      <c r="P1037" s="299"/>
      <c r="Q1037" s="299"/>
      <c r="R1037" s="299"/>
      <c r="S1037" s="299"/>
      <c r="T1037" s="299"/>
    </row>
    <row r="1038" ht="15.75" customHeight="1">
      <c r="G1038" s="298"/>
      <c r="H1038" s="298"/>
      <c r="I1038" s="299"/>
      <c r="J1038" s="299"/>
      <c r="K1038" s="299"/>
      <c r="L1038" s="299"/>
      <c r="M1038" s="299"/>
      <c r="N1038" s="299"/>
      <c r="O1038" s="299"/>
      <c r="P1038" s="299"/>
      <c r="Q1038" s="299"/>
      <c r="R1038" s="299"/>
      <c r="S1038" s="299"/>
      <c r="T1038" s="299"/>
    </row>
    <row r="1039" ht="15.75" customHeight="1">
      <c r="G1039" s="298"/>
      <c r="H1039" s="298"/>
      <c r="I1039" s="299"/>
      <c r="J1039" s="299"/>
      <c r="K1039" s="299"/>
      <c r="L1039" s="299"/>
      <c r="M1039" s="299"/>
      <c r="N1039" s="299"/>
      <c r="O1039" s="299"/>
      <c r="P1039" s="299"/>
      <c r="Q1039" s="299"/>
      <c r="R1039" s="299"/>
      <c r="S1039" s="299"/>
      <c r="T1039" s="299"/>
    </row>
    <row r="1040" ht="15.75" customHeight="1">
      <c r="G1040" s="298"/>
      <c r="H1040" s="298"/>
      <c r="I1040" s="299"/>
      <c r="J1040" s="299"/>
      <c r="K1040" s="299"/>
      <c r="L1040" s="299"/>
      <c r="M1040" s="299"/>
      <c r="N1040" s="299"/>
      <c r="O1040" s="299"/>
      <c r="P1040" s="299"/>
      <c r="Q1040" s="299"/>
      <c r="R1040" s="299"/>
      <c r="S1040" s="299"/>
      <c r="T1040" s="299"/>
    </row>
    <row r="1041" ht="15.75" customHeight="1">
      <c r="G1041" s="298"/>
      <c r="H1041" s="298"/>
      <c r="I1041" s="299"/>
      <c r="J1041" s="299"/>
      <c r="K1041" s="299"/>
      <c r="L1041" s="299"/>
      <c r="M1041" s="299"/>
      <c r="N1041" s="299"/>
      <c r="O1041" s="299"/>
      <c r="P1041" s="299"/>
      <c r="Q1041" s="299"/>
      <c r="R1041" s="299"/>
      <c r="S1041" s="299"/>
      <c r="T1041" s="299"/>
    </row>
    <row r="1042" ht="15.75" customHeight="1">
      <c r="G1042" s="298"/>
      <c r="H1042" s="298"/>
      <c r="I1042" s="299"/>
      <c r="J1042" s="299"/>
      <c r="K1042" s="299"/>
      <c r="L1042" s="299"/>
      <c r="M1042" s="299"/>
      <c r="N1042" s="299"/>
      <c r="O1042" s="299"/>
      <c r="P1042" s="299"/>
      <c r="Q1042" s="299"/>
      <c r="R1042" s="299"/>
      <c r="S1042" s="299"/>
      <c r="T1042" s="299"/>
    </row>
    <row r="1043" ht="15.75" customHeight="1">
      <c r="G1043" s="298"/>
      <c r="H1043" s="298"/>
      <c r="I1043" s="299"/>
      <c r="J1043" s="299"/>
      <c r="K1043" s="299"/>
      <c r="L1043" s="299"/>
      <c r="M1043" s="299"/>
      <c r="N1043" s="299"/>
      <c r="O1043" s="299"/>
      <c r="P1043" s="299"/>
      <c r="Q1043" s="299"/>
      <c r="R1043" s="299"/>
      <c r="S1043" s="299"/>
      <c r="T1043" s="299"/>
    </row>
    <row r="1044" ht="15.75" customHeight="1">
      <c r="G1044" s="298"/>
      <c r="H1044" s="298"/>
      <c r="I1044" s="299"/>
      <c r="J1044" s="299"/>
      <c r="K1044" s="299"/>
      <c r="L1044" s="299"/>
      <c r="M1044" s="299"/>
      <c r="N1044" s="299"/>
      <c r="O1044" s="299"/>
      <c r="P1044" s="299"/>
      <c r="Q1044" s="299"/>
      <c r="R1044" s="299"/>
      <c r="S1044" s="299"/>
      <c r="T1044" s="299"/>
    </row>
    <row r="1045" ht="15.75" customHeight="1">
      <c r="G1045" s="298"/>
      <c r="H1045" s="298"/>
      <c r="I1045" s="299"/>
      <c r="J1045" s="299"/>
      <c r="K1045" s="299"/>
      <c r="L1045" s="299"/>
      <c r="M1045" s="299"/>
      <c r="N1045" s="299"/>
      <c r="O1045" s="299"/>
      <c r="P1045" s="299"/>
      <c r="Q1045" s="299"/>
      <c r="R1045" s="299"/>
      <c r="S1045" s="299"/>
      <c r="T1045" s="299"/>
    </row>
    <row r="1046" ht="15.75" customHeight="1">
      <c r="G1046" s="298"/>
      <c r="H1046" s="298"/>
      <c r="I1046" s="299"/>
      <c r="J1046" s="299"/>
      <c r="K1046" s="299"/>
      <c r="L1046" s="299"/>
      <c r="M1046" s="299"/>
      <c r="N1046" s="299"/>
      <c r="O1046" s="299"/>
      <c r="P1046" s="299"/>
      <c r="Q1046" s="299"/>
      <c r="R1046" s="299"/>
      <c r="S1046" s="299"/>
      <c r="T1046" s="299"/>
    </row>
    <row r="1047" ht="15.75" customHeight="1">
      <c r="G1047" s="298"/>
      <c r="H1047" s="298"/>
      <c r="I1047" s="299"/>
      <c r="J1047" s="299"/>
      <c r="K1047" s="299"/>
      <c r="L1047" s="299"/>
      <c r="M1047" s="299"/>
      <c r="N1047" s="299"/>
      <c r="O1047" s="299"/>
      <c r="P1047" s="299"/>
      <c r="Q1047" s="299"/>
      <c r="R1047" s="299"/>
      <c r="S1047" s="299"/>
      <c r="T1047" s="299"/>
    </row>
    <row r="1048" ht="15.75" customHeight="1">
      <c r="G1048" s="298"/>
      <c r="H1048" s="298"/>
      <c r="I1048" s="299"/>
      <c r="J1048" s="299"/>
      <c r="K1048" s="299"/>
      <c r="L1048" s="299"/>
      <c r="M1048" s="299"/>
      <c r="N1048" s="299"/>
      <c r="O1048" s="299"/>
      <c r="P1048" s="299"/>
      <c r="Q1048" s="299"/>
      <c r="R1048" s="299"/>
      <c r="S1048" s="299"/>
      <c r="T1048" s="299"/>
    </row>
    <row r="1049" ht="15.75" customHeight="1">
      <c r="G1049" s="298"/>
      <c r="H1049" s="298"/>
      <c r="I1049" s="299"/>
      <c r="J1049" s="299"/>
      <c r="K1049" s="299"/>
      <c r="L1049" s="299"/>
      <c r="M1049" s="299"/>
      <c r="N1049" s="299"/>
      <c r="O1049" s="299"/>
      <c r="P1049" s="299"/>
      <c r="Q1049" s="299"/>
      <c r="R1049" s="299"/>
      <c r="S1049" s="299"/>
      <c r="T1049" s="299"/>
    </row>
    <row r="1050" ht="15.75" customHeight="1">
      <c r="G1050" s="298"/>
      <c r="H1050" s="298"/>
      <c r="I1050" s="299"/>
      <c r="J1050" s="299"/>
      <c r="K1050" s="299"/>
      <c r="L1050" s="299"/>
      <c r="M1050" s="299"/>
      <c r="N1050" s="299"/>
      <c r="O1050" s="299"/>
      <c r="P1050" s="299"/>
      <c r="Q1050" s="299"/>
      <c r="R1050" s="299"/>
      <c r="S1050" s="299"/>
      <c r="T1050" s="299"/>
    </row>
    <row r="1051" ht="15.75" customHeight="1">
      <c r="G1051" s="298"/>
      <c r="H1051" s="298"/>
      <c r="I1051" s="299"/>
      <c r="J1051" s="299"/>
      <c r="K1051" s="299"/>
      <c r="L1051" s="299"/>
      <c r="M1051" s="299"/>
      <c r="N1051" s="299"/>
      <c r="O1051" s="299"/>
      <c r="P1051" s="299"/>
      <c r="Q1051" s="299"/>
      <c r="R1051" s="299"/>
      <c r="S1051" s="299"/>
      <c r="T1051" s="299"/>
    </row>
    <row r="1052" ht="15.75" customHeight="1">
      <c r="G1052" s="298"/>
      <c r="H1052" s="298"/>
      <c r="I1052" s="299"/>
      <c r="J1052" s="299"/>
      <c r="K1052" s="299"/>
      <c r="L1052" s="299"/>
      <c r="M1052" s="299"/>
      <c r="N1052" s="299"/>
      <c r="O1052" s="299"/>
      <c r="P1052" s="299"/>
      <c r="Q1052" s="299"/>
      <c r="R1052" s="299"/>
      <c r="S1052" s="299"/>
      <c r="T1052" s="299"/>
    </row>
    <row r="1053" ht="15.75" customHeight="1">
      <c r="G1053" s="298"/>
      <c r="H1053" s="298"/>
      <c r="I1053" s="299"/>
      <c r="J1053" s="299"/>
      <c r="K1053" s="299"/>
      <c r="L1053" s="299"/>
      <c r="M1053" s="299"/>
      <c r="N1053" s="299"/>
      <c r="O1053" s="299"/>
      <c r="P1053" s="299"/>
      <c r="Q1053" s="299"/>
      <c r="R1053" s="299"/>
      <c r="S1053" s="299"/>
      <c r="T1053" s="299"/>
    </row>
    <row r="1054" ht="15.75" customHeight="1">
      <c r="G1054" s="298"/>
      <c r="H1054" s="298"/>
      <c r="I1054" s="299"/>
      <c r="J1054" s="299"/>
      <c r="K1054" s="299"/>
      <c r="L1054" s="299"/>
      <c r="M1054" s="299"/>
      <c r="N1054" s="299"/>
      <c r="O1054" s="299"/>
      <c r="P1054" s="299"/>
      <c r="Q1054" s="299"/>
      <c r="R1054" s="299"/>
      <c r="S1054" s="299"/>
      <c r="T1054" s="299"/>
    </row>
    <row r="1055" ht="15.75" customHeight="1">
      <c r="G1055" s="298"/>
      <c r="H1055" s="298"/>
      <c r="I1055" s="299"/>
      <c r="J1055" s="299"/>
      <c r="K1055" s="299"/>
      <c r="L1055" s="299"/>
      <c r="M1055" s="299"/>
      <c r="N1055" s="299"/>
      <c r="O1055" s="299"/>
      <c r="P1055" s="299"/>
      <c r="Q1055" s="299"/>
      <c r="R1055" s="299"/>
      <c r="S1055" s="299"/>
      <c r="T1055" s="299"/>
    </row>
    <row r="1056" ht="15.75" customHeight="1">
      <c r="G1056" s="298"/>
      <c r="H1056" s="298"/>
      <c r="I1056" s="299"/>
      <c r="J1056" s="299"/>
      <c r="K1056" s="299"/>
      <c r="L1056" s="299"/>
      <c r="M1056" s="299"/>
      <c r="N1056" s="299"/>
      <c r="O1056" s="299"/>
      <c r="P1056" s="299"/>
      <c r="Q1056" s="299"/>
      <c r="R1056" s="299"/>
      <c r="S1056" s="299"/>
      <c r="T1056" s="299"/>
    </row>
    <row r="1057" ht="15.75" customHeight="1">
      <c r="G1057" s="298"/>
      <c r="H1057" s="298"/>
      <c r="I1057" s="299"/>
      <c r="J1057" s="299"/>
      <c r="K1057" s="299"/>
      <c r="L1057" s="299"/>
      <c r="M1057" s="299"/>
      <c r="N1057" s="299"/>
      <c r="O1057" s="299"/>
      <c r="P1057" s="299"/>
      <c r="Q1057" s="299"/>
      <c r="R1057" s="299"/>
      <c r="S1057" s="299"/>
      <c r="T1057" s="299"/>
    </row>
    <row r="1058" ht="15.75" customHeight="1">
      <c r="G1058" s="298"/>
      <c r="H1058" s="298"/>
      <c r="I1058" s="299"/>
      <c r="J1058" s="299"/>
      <c r="K1058" s="299"/>
      <c r="L1058" s="299"/>
      <c r="M1058" s="299"/>
      <c r="N1058" s="299"/>
      <c r="O1058" s="299"/>
      <c r="P1058" s="299"/>
      <c r="Q1058" s="299"/>
      <c r="R1058" s="299"/>
      <c r="S1058" s="299"/>
      <c r="T1058" s="299"/>
    </row>
    <row r="1059" ht="15.75" customHeight="1">
      <c r="G1059" s="298"/>
      <c r="H1059" s="298"/>
      <c r="I1059" s="299"/>
      <c r="J1059" s="299"/>
      <c r="K1059" s="299"/>
      <c r="L1059" s="299"/>
      <c r="M1059" s="299"/>
      <c r="N1059" s="299"/>
      <c r="O1059" s="299"/>
      <c r="P1059" s="299"/>
      <c r="Q1059" s="299"/>
      <c r="R1059" s="299"/>
      <c r="S1059" s="299"/>
      <c r="T1059" s="299"/>
    </row>
    <row r="1060" ht="15.75" customHeight="1">
      <c r="G1060" s="298"/>
      <c r="H1060" s="298"/>
      <c r="I1060" s="299"/>
      <c r="J1060" s="299"/>
      <c r="K1060" s="299"/>
      <c r="L1060" s="299"/>
      <c r="M1060" s="299"/>
      <c r="N1060" s="299"/>
      <c r="O1060" s="299"/>
      <c r="P1060" s="299"/>
      <c r="Q1060" s="299"/>
      <c r="R1060" s="299"/>
      <c r="S1060" s="299"/>
      <c r="T1060" s="299"/>
    </row>
    <row r="1061" ht="15.75" customHeight="1">
      <c r="G1061" s="298"/>
      <c r="H1061" s="298"/>
      <c r="I1061" s="299"/>
      <c r="J1061" s="299"/>
      <c r="K1061" s="299"/>
      <c r="L1061" s="299"/>
      <c r="M1061" s="299"/>
      <c r="N1061" s="299"/>
      <c r="O1061" s="299"/>
      <c r="P1061" s="299"/>
      <c r="Q1061" s="299"/>
      <c r="R1061" s="299"/>
      <c r="S1061" s="299"/>
      <c r="T1061" s="299"/>
    </row>
    <row r="1062" ht="15.75" customHeight="1">
      <c r="G1062" s="298"/>
      <c r="H1062" s="298"/>
      <c r="I1062" s="299"/>
      <c r="J1062" s="299"/>
      <c r="K1062" s="299"/>
      <c r="L1062" s="299"/>
      <c r="M1062" s="299"/>
      <c r="N1062" s="299"/>
      <c r="O1062" s="299"/>
      <c r="P1062" s="299"/>
      <c r="Q1062" s="299"/>
      <c r="R1062" s="299"/>
      <c r="S1062" s="299"/>
      <c r="T1062" s="299"/>
    </row>
    <row r="1063" ht="15.75" customHeight="1">
      <c r="G1063" s="298"/>
      <c r="H1063" s="298"/>
      <c r="I1063" s="299"/>
      <c r="J1063" s="299"/>
      <c r="K1063" s="299"/>
      <c r="L1063" s="299"/>
      <c r="M1063" s="299"/>
      <c r="N1063" s="299"/>
      <c r="O1063" s="299"/>
      <c r="P1063" s="299"/>
      <c r="Q1063" s="299"/>
      <c r="R1063" s="299"/>
      <c r="S1063" s="299"/>
      <c r="T1063" s="299"/>
    </row>
    <row r="1064" ht="15.75" customHeight="1">
      <c r="G1064" s="298"/>
      <c r="H1064" s="298"/>
      <c r="I1064" s="299"/>
      <c r="J1064" s="299"/>
      <c r="K1064" s="299"/>
      <c r="L1064" s="299"/>
      <c r="M1064" s="299"/>
      <c r="N1064" s="299"/>
      <c r="O1064" s="299"/>
      <c r="P1064" s="299"/>
      <c r="Q1064" s="299"/>
      <c r="R1064" s="299"/>
      <c r="S1064" s="299"/>
      <c r="T1064" s="299"/>
    </row>
    <row r="1065" ht="15.75" customHeight="1">
      <c r="G1065" s="298"/>
      <c r="H1065" s="298"/>
      <c r="I1065" s="299"/>
      <c r="J1065" s="299"/>
      <c r="K1065" s="299"/>
      <c r="L1065" s="299"/>
      <c r="M1065" s="299"/>
      <c r="N1065" s="299"/>
      <c r="O1065" s="299"/>
      <c r="P1065" s="299"/>
      <c r="Q1065" s="299"/>
      <c r="R1065" s="299"/>
      <c r="S1065" s="299"/>
      <c r="T1065" s="299"/>
    </row>
    <row r="1066" ht="15.75" customHeight="1">
      <c r="G1066" s="298"/>
      <c r="H1066" s="298"/>
      <c r="I1066" s="299"/>
      <c r="J1066" s="299"/>
      <c r="K1066" s="299"/>
      <c r="L1066" s="299"/>
      <c r="M1066" s="299"/>
      <c r="N1066" s="299"/>
      <c r="O1066" s="299"/>
      <c r="P1066" s="299"/>
      <c r="Q1066" s="299"/>
      <c r="R1066" s="299"/>
      <c r="S1066" s="299"/>
      <c r="T1066" s="299"/>
    </row>
    <row r="1067" ht="15.75" customHeight="1">
      <c r="G1067" s="298"/>
      <c r="H1067" s="298"/>
      <c r="I1067" s="299"/>
      <c r="J1067" s="299"/>
      <c r="K1067" s="299"/>
      <c r="L1067" s="299"/>
      <c r="M1067" s="299"/>
      <c r="N1067" s="299"/>
      <c r="O1067" s="299"/>
      <c r="P1067" s="299"/>
      <c r="Q1067" s="299"/>
      <c r="R1067" s="299"/>
      <c r="S1067" s="299"/>
      <c r="T1067" s="299"/>
    </row>
    <row r="1068" ht="15.75" customHeight="1">
      <c r="G1068" s="298"/>
      <c r="H1068" s="298"/>
      <c r="I1068" s="299"/>
      <c r="J1068" s="299"/>
      <c r="K1068" s="299"/>
      <c r="L1068" s="299"/>
      <c r="M1068" s="299"/>
      <c r="N1068" s="299"/>
      <c r="O1068" s="299"/>
      <c r="P1068" s="299"/>
      <c r="Q1068" s="299"/>
      <c r="R1068" s="299"/>
      <c r="S1068" s="299"/>
      <c r="T1068" s="299"/>
    </row>
    <row r="1069" ht="15.75" customHeight="1">
      <c r="G1069" s="298"/>
      <c r="H1069" s="298"/>
      <c r="I1069" s="299"/>
      <c r="J1069" s="299"/>
      <c r="K1069" s="299"/>
      <c r="L1069" s="299"/>
      <c r="M1069" s="299"/>
      <c r="N1069" s="299"/>
      <c r="O1069" s="299"/>
      <c r="P1069" s="299"/>
      <c r="Q1069" s="299"/>
      <c r="R1069" s="299"/>
      <c r="S1069" s="299"/>
      <c r="T1069" s="299"/>
    </row>
    <row r="1070" ht="15.75" customHeight="1">
      <c r="G1070" s="298"/>
      <c r="H1070" s="298"/>
      <c r="I1070" s="299"/>
      <c r="J1070" s="299"/>
      <c r="K1070" s="299"/>
      <c r="L1070" s="299"/>
      <c r="M1070" s="299"/>
      <c r="N1070" s="299"/>
      <c r="O1070" s="299"/>
      <c r="P1070" s="299"/>
      <c r="Q1070" s="299"/>
      <c r="R1070" s="299"/>
      <c r="S1070" s="299"/>
      <c r="T1070" s="299"/>
    </row>
    <row r="1071" ht="15.75" customHeight="1">
      <c r="G1071" s="298"/>
      <c r="H1071" s="298"/>
      <c r="I1071" s="299"/>
      <c r="J1071" s="299"/>
      <c r="K1071" s="299"/>
      <c r="L1071" s="299"/>
      <c r="M1071" s="299"/>
      <c r="N1071" s="299"/>
      <c r="O1071" s="299"/>
      <c r="P1071" s="299"/>
      <c r="Q1071" s="299"/>
      <c r="R1071" s="299"/>
      <c r="S1071" s="299"/>
      <c r="T1071" s="299"/>
    </row>
    <row r="1072" ht="15.75" customHeight="1">
      <c r="G1072" s="298"/>
      <c r="H1072" s="298"/>
      <c r="I1072" s="299"/>
      <c r="J1072" s="299"/>
      <c r="K1072" s="299"/>
      <c r="L1072" s="299"/>
      <c r="M1072" s="299"/>
      <c r="N1072" s="299"/>
      <c r="O1072" s="299"/>
      <c r="P1072" s="299"/>
      <c r="Q1072" s="299"/>
      <c r="R1072" s="299"/>
      <c r="S1072" s="299"/>
      <c r="T1072" s="299"/>
    </row>
    <row r="1073" ht="15.75" customHeight="1">
      <c r="G1073" s="298"/>
      <c r="H1073" s="298"/>
      <c r="I1073" s="299"/>
      <c r="J1073" s="299"/>
      <c r="K1073" s="299"/>
      <c r="L1073" s="299"/>
      <c r="M1073" s="299"/>
      <c r="N1073" s="299"/>
      <c r="O1073" s="299"/>
      <c r="P1073" s="299"/>
      <c r="Q1073" s="299"/>
      <c r="R1073" s="299"/>
      <c r="S1073" s="299"/>
      <c r="T1073" s="299"/>
    </row>
    <row r="1074" ht="15.75" customHeight="1">
      <c r="G1074" s="298"/>
      <c r="H1074" s="298"/>
      <c r="I1074" s="299"/>
      <c r="J1074" s="299"/>
      <c r="K1074" s="299"/>
      <c r="L1074" s="299"/>
      <c r="M1074" s="299"/>
      <c r="N1074" s="299"/>
      <c r="O1074" s="299"/>
      <c r="P1074" s="299"/>
      <c r="Q1074" s="299"/>
      <c r="R1074" s="299"/>
      <c r="S1074" s="299"/>
      <c r="T1074" s="299"/>
    </row>
    <row r="1075" ht="15.75" customHeight="1">
      <c r="G1075" s="298"/>
      <c r="H1075" s="298"/>
      <c r="I1075" s="299"/>
      <c r="J1075" s="299"/>
      <c r="K1075" s="299"/>
      <c r="L1075" s="299"/>
      <c r="M1075" s="299"/>
      <c r="N1075" s="299"/>
      <c r="O1075" s="299"/>
      <c r="P1075" s="299"/>
      <c r="Q1075" s="299"/>
      <c r="R1075" s="299"/>
      <c r="S1075" s="299"/>
      <c r="T1075" s="299"/>
    </row>
    <row r="1076" ht="15.75" customHeight="1">
      <c r="G1076" s="298"/>
      <c r="H1076" s="298"/>
      <c r="I1076" s="299"/>
      <c r="J1076" s="299"/>
      <c r="K1076" s="299"/>
      <c r="L1076" s="299"/>
      <c r="M1076" s="299"/>
      <c r="N1076" s="299"/>
      <c r="O1076" s="299"/>
      <c r="P1076" s="299"/>
      <c r="Q1076" s="299"/>
      <c r="R1076" s="299"/>
      <c r="S1076" s="299"/>
      <c r="T1076" s="299"/>
    </row>
    <row r="1077" ht="15.75" customHeight="1">
      <c r="G1077" s="298"/>
      <c r="H1077" s="298"/>
      <c r="I1077" s="299"/>
      <c r="J1077" s="299"/>
      <c r="K1077" s="299"/>
      <c r="L1077" s="299"/>
      <c r="M1077" s="299"/>
      <c r="N1077" s="299"/>
      <c r="O1077" s="299"/>
      <c r="P1077" s="299"/>
      <c r="Q1077" s="299"/>
      <c r="R1077" s="299"/>
      <c r="S1077" s="299"/>
      <c r="T1077" s="299"/>
    </row>
    <row r="1078" ht="15.75" customHeight="1">
      <c r="G1078" s="298"/>
      <c r="H1078" s="298"/>
      <c r="I1078" s="299"/>
      <c r="J1078" s="299"/>
      <c r="K1078" s="299"/>
      <c r="L1078" s="299"/>
      <c r="M1078" s="299"/>
      <c r="N1078" s="299"/>
      <c r="O1078" s="299"/>
      <c r="P1078" s="299"/>
      <c r="Q1078" s="299"/>
      <c r="R1078" s="299"/>
      <c r="S1078" s="299"/>
      <c r="T1078" s="299"/>
    </row>
    <row r="1079" ht="15.75" customHeight="1">
      <c r="G1079" s="298"/>
      <c r="H1079" s="298"/>
      <c r="I1079" s="299"/>
      <c r="J1079" s="299"/>
      <c r="K1079" s="299"/>
      <c r="L1079" s="299"/>
      <c r="M1079" s="299"/>
      <c r="N1079" s="299"/>
      <c r="O1079" s="299"/>
      <c r="P1079" s="299"/>
      <c r="Q1079" s="299"/>
      <c r="R1079" s="299"/>
      <c r="S1079" s="299"/>
      <c r="T1079" s="299"/>
    </row>
    <row r="1080" ht="15.75" customHeight="1">
      <c r="G1080" s="298"/>
      <c r="H1080" s="298"/>
      <c r="I1080" s="299"/>
      <c r="J1080" s="299"/>
      <c r="K1080" s="299"/>
      <c r="L1080" s="299"/>
      <c r="M1080" s="299"/>
      <c r="N1080" s="299"/>
      <c r="O1080" s="299"/>
      <c r="P1080" s="299"/>
      <c r="Q1080" s="299"/>
      <c r="R1080" s="299"/>
      <c r="S1080" s="299"/>
      <c r="T1080" s="299"/>
    </row>
    <row r="1081" ht="15.75" customHeight="1">
      <c r="G1081" s="298"/>
      <c r="H1081" s="298"/>
      <c r="I1081" s="299"/>
      <c r="J1081" s="299"/>
      <c r="K1081" s="299"/>
      <c r="L1081" s="299"/>
      <c r="M1081" s="299"/>
      <c r="N1081" s="299"/>
      <c r="O1081" s="299"/>
      <c r="P1081" s="299"/>
      <c r="Q1081" s="299"/>
      <c r="R1081" s="299"/>
      <c r="S1081" s="299"/>
      <c r="T1081" s="299"/>
    </row>
    <row r="1082" ht="15.75" customHeight="1">
      <c r="G1082" s="298"/>
      <c r="H1082" s="298"/>
      <c r="I1082" s="299"/>
      <c r="J1082" s="299"/>
      <c r="K1082" s="299"/>
      <c r="L1082" s="299"/>
      <c r="M1082" s="299"/>
      <c r="N1082" s="299"/>
      <c r="O1082" s="299"/>
      <c r="P1082" s="299"/>
      <c r="Q1082" s="299"/>
      <c r="R1082" s="299"/>
      <c r="S1082" s="299"/>
      <c r="T1082" s="299"/>
    </row>
    <row r="1083" ht="15.75" customHeight="1">
      <c r="G1083" s="298"/>
      <c r="H1083" s="298"/>
      <c r="I1083" s="299"/>
      <c r="J1083" s="299"/>
      <c r="K1083" s="299"/>
      <c r="L1083" s="299"/>
      <c r="M1083" s="299"/>
      <c r="N1083" s="299"/>
      <c r="O1083" s="299"/>
      <c r="P1083" s="299"/>
      <c r="Q1083" s="299"/>
      <c r="R1083" s="299"/>
      <c r="S1083" s="299"/>
      <c r="T1083" s="299"/>
    </row>
    <row r="1084" ht="15.75" customHeight="1">
      <c r="G1084" s="298"/>
      <c r="H1084" s="298"/>
      <c r="I1084" s="299"/>
      <c r="J1084" s="299"/>
      <c r="K1084" s="299"/>
      <c r="L1084" s="299"/>
      <c r="M1084" s="299"/>
      <c r="N1084" s="299"/>
      <c r="O1084" s="299"/>
      <c r="P1084" s="299"/>
      <c r="Q1084" s="299"/>
      <c r="R1084" s="299"/>
      <c r="S1084" s="299"/>
      <c r="T1084" s="299"/>
    </row>
    <row r="1085" ht="15.75" customHeight="1">
      <c r="G1085" s="298"/>
      <c r="H1085" s="298"/>
      <c r="I1085" s="299"/>
      <c r="J1085" s="299"/>
      <c r="K1085" s="299"/>
      <c r="L1085" s="299"/>
      <c r="M1085" s="299"/>
      <c r="N1085" s="299"/>
      <c r="O1085" s="299"/>
      <c r="P1085" s="299"/>
      <c r="Q1085" s="299"/>
      <c r="R1085" s="299"/>
      <c r="S1085" s="299"/>
      <c r="T1085" s="299"/>
    </row>
    <row r="1086" ht="15.75" customHeight="1">
      <c r="G1086" s="298"/>
      <c r="H1086" s="298"/>
      <c r="I1086" s="299"/>
      <c r="J1086" s="299"/>
      <c r="K1086" s="299"/>
      <c r="L1086" s="299"/>
      <c r="M1086" s="299"/>
      <c r="N1086" s="299"/>
      <c r="O1086" s="299"/>
      <c r="P1086" s="299"/>
      <c r="Q1086" s="299"/>
      <c r="R1086" s="299"/>
      <c r="S1086" s="299"/>
      <c r="T1086" s="299"/>
    </row>
    <row r="1087" ht="15.75" customHeight="1">
      <c r="G1087" s="298"/>
      <c r="H1087" s="298"/>
      <c r="I1087" s="299"/>
      <c r="J1087" s="299"/>
      <c r="K1087" s="299"/>
      <c r="L1087" s="299"/>
      <c r="M1087" s="299"/>
      <c r="N1087" s="299"/>
      <c r="O1087" s="299"/>
      <c r="P1087" s="299"/>
      <c r="Q1087" s="299"/>
      <c r="R1087" s="299"/>
      <c r="S1087" s="299"/>
      <c r="T1087" s="299"/>
    </row>
    <row r="1088" ht="15.75" customHeight="1">
      <c r="G1088" s="298"/>
      <c r="H1088" s="298"/>
      <c r="I1088" s="299"/>
      <c r="J1088" s="299"/>
      <c r="K1088" s="299"/>
      <c r="L1088" s="299"/>
      <c r="M1088" s="299"/>
      <c r="N1088" s="299"/>
      <c r="O1088" s="299"/>
      <c r="P1088" s="299"/>
      <c r="Q1088" s="299"/>
      <c r="R1088" s="299"/>
      <c r="S1088" s="299"/>
      <c r="T1088" s="299"/>
    </row>
    <row r="1089" ht="15.75" customHeight="1">
      <c r="G1089" s="298"/>
      <c r="H1089" s="298"/>
      <c r="I1089" s="299"/>
      <c r="J1089" s="299"/>
      <c r="K1089" s="299"/>
      <c r="L1089" s="299"/>
      <c r="M1089" s="299"/>
      <c r="N1089" s="299"/>
      <c r="O1089" s="299"/>
      <c r="P1089" s="299"/>
      <c r="Q1089" s="299"/>
      <c r="R1089" s="299"/>
      <c r="S1089" s="299"/>
      <c r="T1089" s="299"/>
    </row>
    <row r="1090" ht="15.75" customHeight="1">
      <c r="G1090" s="298"/>
      <c r="H1090" s="298"/>
      <c r="I1090" s="299"/>
      <c r="J1090" s="299"/>
      <c r="K1090" s="299"/>
      <c r="L1090" s="299"/>
      <c r="M1090" s="299"/>
      <c r="N1090" s="299"/>
      <c r="O1090" s="299"/>
      <c r="P1090" s="299"/>
      <c r="Q1090" s="299"/>
      <c r="R1090" s="299"/>
      <c r="S1090" s="299"/>
      <c r="T1090" s="299"/>
    </row>
    <row r="1091" ht="15.75" customHeight="1">
      <c r="G1091" s="298"/>
      <c r="H1091" s="298"/>
      <c r="I1091" s="299"/>
      <c r="J1091" s="299"/>
      <c r="K1091" s="299"/>
      <c r="L1091" s="299"/>
      <c r="M1091" s="299"/>
      <c r="N1091" s="299"/>
      <c r="O1091" s="299"/>
      <c r="P1091" s="299"/>
      <c r="Q1091" s="299"/>
      <c r="R1091" s="299"/>
      <c r="S1091" s="299"/>
      <c r="T1091" s="299"/>
    </row>
    <row r="1092" ht="15.75" customHeight="1">
      <c r="G1092" s="298"/>
      <c r="H1092" s="298"/>
      <c r="I1092" s="299"/>
      <c r="J1092" s="299"/>
      <c r="K1092" s="299"/>
      <c r="L1092" s="299"/>
      <c r="M1092" s="299"/>
      <c r="N1092" s="299"/>
      <c r="O1092" s="299"/>
      <c r="P1092" s="299"/>
      <c r="Q1092" s="299"/>
      <c r="R1092" s="299"/>
      <c r="S1092" s="299"/>
      <c r="T1092" s="299"/>
    </row>
    <row r="1093" ht="15.75" customHeight="1">
      <c r="G1093" s="298"/>
      <c r="H1093" s="298"/>
      <c r="I1093" s="299"/>
      <c r="J1093" s="299"/>
      <c r="K1093" s="299"/>
      <c r="L1093" s="299"/>
      <c r="M1093" s="299"/>
      <c r="N1093" s="299"/>
      <c r="O1093" s="299"/>
      <c r="P1093" s="299"/>
      <c r="Q1093" s="299"/>
      <c r="R1093" s="299"/>
      <c r="S1093" s="299"/>
      <c r="T1093" s="299"/>
    </row>
    <row r="1094" ht="15.75" customHeight="1">
      <c r="G1094" s="298"/>
      <c r="H1094" s="298"/>
      <c r="I1094" s="299"/>
      <c r="J1094" s="299"/>
      <c r="K1094" s="299"/>
      <c r="L1094" s="299"/>
      <c r="M1094" s="299"/>
      <c r="N1094" s="299"/>
      <c r="O1094" s="299"/>
      <c r="P1094" s="299"/>
      <c r="Q1094" s="299"/>
      <c r="R1094" s="299"/>
      <c r="S1094" s="299"/>
      <c r="T1094" s="299"/>
    </row>
    <row r="1095" ht="15.75" customHeight="1">
      <c r="G1095" s="298"/>
      <c r="H1095" s="298"/>
      <c r="I1095" s="299"/>
      <c r="J1095" s="299"/>
      <c r="K1095" s="299"/>
      <c r="L1095" s="299"/>
      <c r="M1095" s="299"/>
      <c r="N1095" s="299"/>
      <c r="O1095" s="299"/>
      <c r="P1095" s="299"/>
      <c r="Q1095" s="299"/>
      <c r="R1095" s="299"/>
      <c r="S1095" s="299"/>
      <c r="T1095" s="299"/>
    </row>
    <row r="1096" ht="15.75" customHeight="1">
      <c r="G1096" s="298"/>
      <c r="H1096" s="298"/>
      <c r="I1096" s="299"/>
      <c r="J1096" s="299"/>
      <c r="K1096" s="299"/>
      <c r="L1096" s="299"/>
      <c r="M1096" s="299"/>
      <c r="N1096" s="299"/>
      <c r="O1096" s="299"/>
      <c r="P1096" s="299"/>
      <c r="Q1096" s="299"/>
      <c r="R1096" s="299"/>
      <c r="S1096" s="299"/>
      <c r="T1096" s="299"/>
    </row>
    <row r="1097" ht="15.75" customHeight="1">
      <c r="G1097" s="298"/>
      <c r="H1097" s="298"/>
      <c r="I1097" s="299"/>
      <c r="J1097" s="299"/>
      <c r="K1097" s="299"/>
      <c r="L1097" s="299"/>
      <c r="M1097" s="299"/>
      <c r="N1097" s="299"/>
      <c r="O1097" s="299"/>
      <c r="P1097" s="299"/>
      <c r="Q1097" s="299"/>
      <c r="R1097" s="299"/>
      <c r="S1097" s="299"/>
      <c r="T1097" s="299"/>
    </row>
    <row r="1098" ht="15.75" customHeight="1">
      <c r="G1098" s="298"/>
      <c r="H1098" s="298"/>
      <c r="I1098" s="299"/>
      <c r="J1098" s="299"/>
      <c r="K1098" s="299"/>
      <c r="L1098" s="299"/>
      <c r="M1098" s="299"/>
      <c r="N1098" s="299"/>
      <c r="O1098" s="299"/>
      <c r="P1098" s="299"/>
      <c r="Q1098" s="299"/>
      <c r="R1098" s="299"/>
      <c r="S1098" s="299"/>
      <c r="T1098" s="299"/>
    </row>
    <row r="1099" ht="15.75" customHeight="1">
      <c r="G1099" s="298"/>
      <c r="H1099" s="298"/>
      <c r="I1099" s="299"/>
      <c r="J1099" s="299"/>
      <c r="K1099" s="299"/>
      <c r="L1099" s="299"/>
      <c r="M1099" s="299"/>
      <c r="N1099" s="299"/>
      <c r="O1099" s="299"/>
      <c r="P1099" s="299"/>
      <c r="Q1099" s="299"/>
      <c r="R1099" s="299"/>
      <c r="S1099" s="299"/>
      <c r="T1099" s="299"/>
    </row>
    <row r="1100" ht="15.75" customHeight="1">
      <c r="G1100" s="298"/>
      <c r="H1100" s="298"/>
      <c r="I1100" s="299"/>
      <c r="J1100" s="299"/>
      <c r="K1100" s="299"/>
      <c r="L1100" s="299"/>
      <c r="M1100" s="299"/>
      <c r="N1100" s="299"/>
      <c r="O1100" s="299"/>
      <c r="P1100" s="299"/>
      <c r="Q1100" s="299"/>
      <c r="R1100" s="299"/>
      <c r="S1100" s="299"/>
      <c r="T1100" s="299"/>
    </row>
    <row r="1101" ht="15.75" customHeight="1">
      <c r="G1101" s="298"/>
      <c r="H1101" s="298"/>
      <c r="I1101" s="299"/>
      <c r="J1101" s="299"/>
      <c r="K1101" s="299"/>
      <c r="L1101" s="299"/>
      <c r="M1101" s="299"/>
      <c r="N1101" s="299"/>
      <c r="O1101" s="299"/>
      <c r="P1101" s="299"/>
      <c r="Q1101" s="299"/>
      <c r="R1101" s="299"/>
      <c r="S1101" s="299"/>
      <c r="T1101" s="299"/>
    </row>
    <row r="1102" ht="15.75" customHeight="1">
      <c r="G1102" s="298"/>
      <c r="H1102" s="298"/>
      <c r="I1102" s="299"/>
      <c r="J1102" s="299"/>
      <c r="K1102" s="299"/>
      <c r="L1102" s="299"/>
      <c r="M1102" s="299"/>
      <c r="N1102" s="299"/>
      <c r="O1102" s="299"/>
      <c r="P1102" s="299"/>
      <c r="Q1102" s="299"/>
      <c r="R1102" s="299"/>
      <c r="S1102" s="299"/>
      <c r="T1102" s="299"/>
    </row>
    <row r="1103" ht="15.75" customHeight="1">
      <c r="G1103" s="298"/>
      <c r="H1103" s="298"/>
      <c r="I1103" s="299"/>
      <c r="J1103" s="299"/>
      <c r="K1103" s="299"/>
      <c r="L1103" s="299"/>
      <c r="M1103" s="299"/>
      <c r="N1103" s="299"/>
      <c r="O1103" s="299"/>
      <c r="P1103" s="299"/>
      <c r="Q1103" s="299"/>
      <c r="R1103" s="299"/>
      <c r="S1103" s="299"/>
      <c r="T1103" s="299"/>
    </row>
    <row r="1104" ht="15.75" customHeight="1">
      <c r="G1104" s="298"/>
      <c r="H1104" s="298"/>
      <c r="I1104" s="299"/>
      <c r="J1104" s="299"/>
      <c r="K1104" s="299"/>
      <c r="L1104" s="299"/>
      <c r="M1104" s="299"/>
      <c r="N1104" s="299"/>
      <c r="O1104" s="299"/>
      <c r="P1104" s="299"/>
      <c r="Q1104" s="299"/>
      <c r="R1104" s="299"/>
      <c r="S1104" s="299"/>
      <c r="T1104" s="299"/>
    </row>
    <row r="1105" ht="15.75" customHeight="1">
      <c r="G1105" s="298"/>
      <c r="H1105" s="298"/>
      <c r="I1105" s="299"/>
      <c r="J1105" s="299"/>
      <c r="K1105" s="299"/>
      <c r="L1105" s="299"/>
      <c r="M1105" s="299"/>
      <c r="N1105" s="299"/>
      <c r="O1105" s="299"/>
      <c r="P1105" s="299"/>
      <c r="Q1105" s="299"/>
      <c r="R1105" s="299"/>
      <c r="S1105" s="299"/>
      <c r="T1105" s="299"/>
    </row>
    <row r="1106" ht="15.75" customHeight="1">
      <c r="G1106" s="298"/>
      <c r="H1106" s="298"/>
      <c r="I1106" s="299"/>
      <c r="J1106" s="299"/>
      <c r="K1106" s="299"/>
      <c r="L1106" s="299"/>
      <c r="M1106" s="299"/>
      <c r="N1106" s="299"/>
      <c r="O1106" s="299"/>
      <c r="P1106" s="299"/>
      <c r="Q1106" s="299"/>
      <c r="R1106" s="299"/>
      <c r="S1106" s="299"/>
      <c r="T1106" s="299"/>
    </row>
    <row r="1107" ht="15.75" customHeight="1">
      <c r="G1107" s="298"/>
      <c r="H1107" s="298"/>
      <c r="I1107" s="299"/>
      <c r="J1107" s="299"/>
      <c r="K1107" s="299"/>
      <c r="L1107" s="299"/>
      <c r="M1107" s="299"/>
      <c r="N1107" s="299"/>
      <c r="O1107" s="299"/>
      <c r="P1107" s="299"/>
      <c r="Q1107" s="299"/>
      <c r="R1107" s="299"/>
      <c r="S1107" s="299"/>
      <c r="T1107" s="299"/>
    </row>
    <row r="1108" ht="15.75" customHeight="1">
      <c r="G1108" s="298"/>
      <c r="H1108" s="298"/>
      <c r="I1108" s="299"/>
      <c r="J1108" s="299"/>
      <c r="K1108" s="299"/>
      <c r="L1108" s="299"/>
      <c r="M1108" s="299"/>
      <c r="N1108" s="299"/>
      <c r="O1108" s="299"/>
      <c r="P1108" s="299"/>
      <c r="Q1108" s="299"/>
      <c r="R1108" s="299"/>
      <c r="S1108" s="299"/>
      <c r="T1108" s="299"/>
    </row>
    <row r="1109" ht="15.75" customHeight="1">
      <c r="G1109" s="298"/>
      <c r="H1109" s="298"/>
      <c r="I1109" s="299"/>
      <c r="J1109" s="299"/>
      <c r="K1109" s="299"/>
      <c r="L1109" s="299"/>
      <c r="M1109" s="299"/>
      <c r="N1109" s="299"/>
      <c r="O1109" s="299"/>
      <c r="P1109" s="299"/>
      <c r="Q1109" s="299"/>
      <c r="R1109" s="299"/>
      <c r="S1109" s="299"/>
      <c r="T1109" s="299"/>
    </row>
    <row r="1110" ht="15.75" customHeight="1">
      <c r="G1110" s="298"/>
      <c r="H1110" s="298"/>
      <c r="I1110" s="299"/>
      <c r="J1110" s="299"/>
      <c r="K1110" s="299"/>
      <c r="L1110" s="299"/>
      <c r="M1110" s="299"/>
      <c r="N1110" s="299"/>
      <c r="O1110" s="299"/>
      <c r="P1110" s="299"/>
      <c r="Q1110" s="299"/>
      <c r="R1110" s="299"/>
      <c r="S1110" s="299"/>
      <c r="T1110" s="299"/>
    </row>
    <row r="1111" ht="15.75" customHeight="1">
      <c r="G1111" s="298"/>
      <c r="H1111" s="298"/>
      <c r="I1111" s="299"/>
      <c r="J1111" s="299"/>
      <c r="K1111" s="299"/>
      <c r="L1111" s="299"/>
      <c r="M1111" s="299"/>
      <c r="N1111" s="299"/>
      <c r="O1111" s="299"/>
      <c r="P1111" s="299"/>
      <c r="Q1111" s="299"/>
      <c r="R1111" s="299"/>
      <c r="S1111" s="299"/>
      <c r="T1111" s="299"/>
    </row>
    <row r="1112" ht="15.75" customHeight="1">
      <c r="G1112" s="298"/>
      <c r="H1112" s="298"/>
      <c r="I1112" s="299"/>
      <c r="J1112" s="299"/>
      <c r="K1112" s="299"/>
      <c r="L1112" s="299"/>
      <c r="M1112" s="299"/>
      <c r="N1112" s="299"/>
      <c r="O1112" s="299"/>
      <c r="P1112" s="299"/>
      <c r="Q1112" s="299"/>
      <c r="R1112" s="299"/>
      <c r="S1112" s="299"/>
      <c r="T1112" s="299"/>
    </row>
    <row r="1113" ht="15.75" customHeight="1">
      <c r="G1113" s="298"/>
      <c r="H1113" s="298"/>
      <c r="I1113" s="299"/>
      <c r="J1113" s="299"/>
      <c r="K1113" s="299"/>
      <c r="L1113" s="299"/>
      <c r="M1113" s="299"/>
      <c r="N1113" s="299"/>
      <c r="O1113" s="299"/>
      <c r="P1113" s="299"/>
      <c r="Q1113" s="299"/>
      <c r="R1113" s="299"/>
      <c r="S1113" s="299"/>
      <c r="T1113" s="299"/>
    </row>
    <row r="1114" ht="15.75" customHeight="1">
      <c r="G1114" s="298"/>
      <c r="H1114" s="298"/>
      <c r="I1114" s="299"/>
      <c r="J1114" s="299"/>
      <c r="K1114" s="299"/>
      <c r="L1114" s="299"/>
      <c r="M1114" s="299"/>
      <c r="N1114" s="299"/>
      <c r="O1114" s="299"/>
      <c r="P1114" s="299"/>
      <c r="Q1114" s="299"/>
      <c r="R1114" s="299"/>
      <c r="S1114" s="299"/>
      <c r="T1114" s="299"/>
    </row>
    <row r="1115" ht="15.75" customHeight="1">
      <c r="G1115" s="298"/>
      <c r="H1115" s="298"/>
      <c r="I1115" s="299"/>
      <c r="J1115" s="299"/>
      <c r="K1115" s="299"/>
      <c r="L1115" s="299"/>
      <c r="M1115" s="299"/>
      <c r="N1115" s="299"/>
      <c r="O1115" s="299"/>
      <c r="P1115" s="299"/>
      <c r="Q1115" s="299"/>
      <c r="R1115" s="299"/>
      <c r="S1115" s="299"/>
      <c r="T1115" s="299"/>
    </row>
    <row r="1116" ht="15.75" customHeight="1">
      <c r="G1116" s="298"/>
      <c r="H1116" s="298"/>
      <c r="I1116" s="299"/>
      <c r="J1116" s="299"/>
      <c r="K1116" s="299"/>
      <c r="L1116" s="299"/>
      <c r="M1116" s="299"/>
      <c r="N1116" s="299"/>
      <c r="O1116" s="299"/>
      <c r="P1116" s="299"/>
      <c r="Q1116" s="299"/>
      <c r="R1116" s="299"/>
      <c r="S1116" s="299"/>
      <c r="T1116" s="299"/>
    </row>
    <row r="1117" ht="15.75" customHeight="1">
      <c r="G1117" s="298"/>
      <c r="H1117" s="298"/>
      <c r="I1117" s="299"/>
      <c r="J1117" s="299"/>
      <c r="K1117" s="299"/>
      <c r="L1117" s="299"/>
      <c r="M1117" s="299"/>
      <c r="N1117" s="299"/>
      <c r="O1117" s="299"/>
      <c r="P1117" s="299"/>
      <c r="Q1117" s="299"/>
      <c r="R1117" s="299"/>
      <c r="S1117" s="299"/>
      <c r="T1117" s="299"/>
    </row>
    <row r="1118" ht="15.75" customHeight="1">
      <c r="G1118" s="298"/>
      <c r="H1118" s="298"/>
      <c r="I1118" s="299"/>
      <c r="J1118" s="299"/>
      <c r="K1118" s="299"/>
      <c r="L1118" s="299"/>
      <c r="M1118" s="299"/>
      <c r="N1118" s="299"/>
      <c r="O1118" s="299"/>
      <c r="P1118" s="299"/>
      <c r="Q1118" s="299"/>
      <c r="R1118" s="299"/>
      <c r="S1118" s="299"/>
      <c r="T1118" s="299"/>
    </row>
    <row r="1119" ht="15.75" customHeight="1">
      <c r="G1119" s="298"/>
      <c r="H1119" s="298"/>
      <c r="I1119" s="299"/>
      <c r="J1119" s="299"/>
      <c r="K1119" s="299"/>
      <c r="L1119" s="299"/>
      <c r="M1119" s="299"/>
      <c r="N1119" s="299"/>
      <c r="O1119" s="299"/>
      <c r="P1119" s="299"/>
      <c r="Q1119" s="299"/>
      <c r="R1119" s="299"/>
      <c r="S1119" s="299"/>
      <c r="T1119" s="299"/>
    </row>
    <row r="1120" ht="15.75" customHeight="1">
      <c r="G1120" s="298"/>
      <c r="H1120" s="298"/>
      <c r="I1120" s="299"/>
      <c r="J1120" s="299"/>
      <c r="K1120" s="299"/>
      <c r="L1120" s="299"/>
      <c r="M1120" s="299"/>
      <c r="N1120" s="299"/>
      <c r="O1120" s="299"/>
      <c r="P1120" s="299"/>
      <c r="Q1120" s="299"/>
      <c r="R1120" s="299"/>
      <c r="S1120" s="299"/>
      <c r="T1120" s="299"/>
    </row>
    <row r="1121" ht="15.75" customHeight="1">
      <c r="G1121" s="298"/>
      <c r="H1121" s="298"/>
      <c r="I1121" s="299"/>
      <c r="J1121" s="299"/>
      <c r="K1121" s="299"/>
      <c r="L1121" s="299"/>
      <c r="M1121" s="299"/>
      <c r="N1121" s="299"/>
      <c r="O1121" s="299"/>
      <c r="P1121" s="299"/>
      <c r="Q1121" s="299"/>
      <c r="R1121" s="299"/>
      <c r="S1121" s="299"/>
      <c r="T1121" s="299"/>
    </row>
    <row r="1122" ht="15.75" customHeight="1">
      <c r="G1122" s="298"/>
      <c r="H1122" s="298"/>
      <c r="I1122" s="299"/>
      <c r="J1122" s="299"/>
      <c r="K1122" s="299"/>
      <c r="L1122" s="299"/>
      <c r="M1122" s="299"/>
      <c r="N1122" s="299"/>
      <c r="O1122" s="299"/>
      <c r="P1122" s="299"/>
      <c r="Q1122" s="299"/>
      <c r="R1122" s="299"/>
      <c r="S1122" s="299"/>
      <c r="T1122" s="299"/>
    </row>
    <row r="1123" ht="15.75" customHeight="1">
      <c r="G1123" s="298"/>
      <c r="H1123" s="298"/>
      <c r="I1123" s="299"/>
      <c r="J1123" s="299"/>
      <c r="K1123" s="299"/>
      <c r="L1123" s="299"/>
      <c r="M1123" s="299"/>
      <c r="N1123" s="299"/>
      <c r="O1123" s="299"/>
      <c r="P1123" s="299"/>
      <c r="Q1123" s="299"/>
      <c r="R1123" s="299"/>
      <c r="S1123" s="299"/>
      <c r="T1123" s="299"/>
    </row>
    <row r="1124" ht="15.75" customHeight="1">
      <c r="G1124" s="298"/>
      <c r="H1124" s="298"/>
      <c r="I1124" s="299"/>
      <c r="J1124" s="299"/>
      <c r="K1124" s="299"/>
      <c r="L1124" s="299"/>
      <c r="M1124" s="299"/>
      <c r="N1124" s="299"/>
      <c r="O1124" s="299"/>
      <c r="P1124" s="299"/>
      <c r="Q1124" s="299"/>
      <c r="R1124" s="299"/>
      <c r="S1124" s="299"/>
      <c r="T1124" s="299"/>
    </row>
    <row r="1125" ht="15.75" customHeight="1">
      <c r="G1125" s="298"/>
      <c r="H1125" s="298"/>
      <c r="I1125" s="299"/>
      <c r="J1125" s="299"/>
      <c r="K1125" s="299"/>
      <c r="L1125" s="299"/>
      <c r="M1125" s="299"/>
      <c r="N1125" s="299"/>
      <c r="O1125" s="299"/>
      <c r="P1125" s="299"/>
      <c r="Q1125" s="299"/>
      <c r="R1125" s="299"/>
      <c r="S1125" s="299"/>
      <c r="T1125" s="299"/>
    </row>
    <row r="1126" ht="15.75" customHeight="1">
      <c r="G1126" s="298"/>
      <c r="H1126" s="298"/>
      <c r="I1126" s="299"/>
      <c r="J1126" s="299"/>
      <c r="K1126" s="299"/>
      <c r="L1126" s="299"/>
      <c r="M1126" s="299"/>
      <c r="N1126" s="299"/>
      <c r="O1126" s="299"/>
      <c r="P1126" s="299"/>
      <c r="Q1126" s="299"/>
      <c r="R1126" s="299"/>
      <c r="S1126" s="299"/>
      <c r="T1126" s="299"/>
    </row>
    <row r="1127" ht="15.75" customHeight="1">
      <c r="G1127" s="298"/>
      <c r="H1127" s="298"/>
      <c r="I1127" s="299"/>
      <c r="J1127" s="299"/>
      <c r="K1127" s="299"/>
      <c r="L1127" s="299"/>
      <c r="M1127" s="299"/>
      <c r="N1127" s="299"/>
      <c r="O1127" s="299"/>
      <c r="P1127" s="299"/>
      <c r="Q1127" s="299"/>
      <c r="R1127" s="299"/>
      <c r="S1127" s="299"/>
      <c r="T1127" s="299"/>
    </row>
    <row r="1128" ht="15.75" customHeight="1">
      <c r="G1128" s="298"/>
      <c r="H1128" s="298"/>
      <c r="I1128" s="299"/>
      <c r="J1128" s="299"/>
      <c r="K1128" s="299"/>
      <c r="L1128" s="299"/>
      <c r="M1128" s="299"/>
      <c r="N1128" s="299"/>
      <c r="O1128" s="299"/>
      <c r="P1128" s="299"/>
      <c r="Q1128" s="299"/>
      <c r="R1128" s="299"/>
      <c r="S1128" s="299"/>
      <c r="T1128" s="299"/>
    </row>
    <row r="1129" ht="15.75" customHeight="1">
      <c r="G1129" s="298"/>
      <c r="H1129" s="298"/>
      <c r="I1129" s="299"/>
      <c r="J1129" s="299"/>
      <c r="K1129" s="299"/>
      <c r="L1129" s="299"/>
      <c r="M1129" s="299"/>
      <c r="N1129" s="299"/>
      <c r="O1129" s="299"/>
      <c r="P1129" s="299"/>
      <c r="Q1129" s="299"/>
      <c r="R1129" s="299"/>
      <c r="S1129" s="299"/>
      <c r="T1129" s="299"/>
    </row>
    <row r="1130" ht="15.75" customHeight="1">
      <c r="G1130" s="298"/>
      <c r="H1130" s="298"/>
      <c r="I1130" s="299"/>
      <c r="J1130" s="299"/>
      <c r="K1130" s="299"/>
      <c r="L1130" s="299"/>
      <c r="M1130" s="299"/>
      <c r="N1130" s="299"/>
      <c r="O1130" s="299"/>
      <c r="P1130" s="299"/>
      <c r="Q1130" s="299"/>
      <c r="R1130" s="299"/>
      <c r="S1130" s="299"/>
      <c r="T1130" s="299"/>
    </row>
    <row r="1131" ht="15.75" customHeight="1">
      <c r="G1131" s="298"/>
      <c r="H1131" s="298"/>
      <c r="I1131" s="299"/>
      <c r="J1131" s="299"/>
      <c r="K1131" s="299"/>
      <c r="L1131" s="299"/>
      <c r="M1131" s="299"/>
      <c r="N1131" s="299"/>
      <c r="O1131" s="299"/>
      <c r="P1131" s="299"/>
      <c r="Q1131" s="299"/>
      <c r="R1131" s="299"/>
      <c r="S1131" s="299"/>
      <c r="T1131" s="299"/>
    </row>
    <row r="1132" ht="15.75" customHeight="1">
      <c r="G1132" s="298"/>
      <c r="H1132" s="298"/>
      <c r="I1132" s="299"/>
      <c r="J1132" s="299"/>
      <c r="K1132" s="299"/>
      <c r="L1132" s="299"/>
      <c r="M1132" s="299"/>
      <c r="N1132" s="299"/>
      <c r="O1132" s="299"/>
      <c r="P1132" s="299"/>
      <c r="Q1132" s="299"/>
      <c r="R1132" s="299"/>
      <c r="S1132" s="299"/>
      <c r="T1132" s="299"/>
    </row>
    <row r="1133" ht="15.75" customHeight="1">
      <c r="G1133" s="298"/>
      <c r="H1133" s="298"/>
      <c r="I1133" s="299"/>
      <c r="J1133" s="299"/>
      <c r="K1133" s="299"/>
      <c r="L1133" s="299"/>
      <c r="M1133" s="299"/>
      <c r="N1133" s="299"/>
      <c r="O1133" s="299"/>
      <c r="P1133" s="299"/>
      <c r="Q1133" s="299"/>
      <c r="R1133" s="299"/>
      <c r="S1133" s="299"/>
      <c r="T1133" s="299"/>
    </row>
    <row r="1134" ht="15.75" customHeight="1">
      <c r="G1134" s="298"/>
      <c r="H1134" s="298"/>
      <c r="I1134" s="299"/>
      <c r="J1134" s="299"/>
      <c r="K1134" s="299"/>
      <c r="L1134" s="299"/>
      <c r="M1134" s="299"/>
      <c r="N1134" s="299"/>
      <c r="O1134" s="299"/>
      <c r="P1134" s="299"/>
      <c r="Q1134" s="299"/>
      <c r="R1134" s="299"/>
      <c r="S1134" s="299"/>
      <c r="T1134" s="299"/>
    </row>
    <row r="1135" ht="15.75" customHeight="1">
      <c r="G1135" s="298"/>
      <c r="H1135" s="298"/>
      <c r="I1135" s="299"/>
      <c r="J1135" s="299"/>
      <c r="K1135" s="299"/>
      <c r="L1135" s="299"/>
      <c r="M1135" s="299"/>
      <c r="N1135" s="299"/>
      <c r="O1135" s="299"/>
      <c r="P1135" s="299"/>
      <c r="Q1135" s="299"/>
      <c r="R1135" s="299"/>
      <c r="S1135" s="299"/>
      <c r="T1135" s="299"/>
    </row>
    <row r="1136" ht="15.75" customHeight="1">
      <c r="G1136" s="298"/>
      <c r="H1136" s="298"/>
      <c r="I1136" s="299"/>
      <c r="J1136" s="299"/>
      <c r="K1136" s="299"/>
      <c r="L1136" s="299"/>
      <c r="M1136" s="299"/>
      <c r="N1136" s="299"/>
      <c r="O1136" s="299"/>
      <c r="P1136" s="299"/>
      <c r="Q1136" s="299"/>
      <c r="R1136" s="299"/>
      <c r="S1136" s="299"/>
      <c r="T1136" s="299"/>
    </row>
    <row r="1137" ht="15.75" customHeight="1">
      <c r="G1137" s="298"/>
      <c r="H1137" s="298"/>
      <c r="I1137" s="299"/>
      <c r="J1137" s="299"/>
      <c r="K1137" s="299"/>
      <c r="L1137" s="299"/>
      <c r="M1137" s="299"/>
      <c r="N1137" s="299"/>
      <c r="O1137" s="299"/>
      <c r="P1137" s="299"/>
      <c r="Q1137" s="299"/>
      <c r="R1137" s="299"/>
      <c r="S1137" s="299"/>
      <c r="T1137" s="299"/>
    </row>
    <row r="1138" ht="15.75" customHeight="1">
      <c r="G1138" s="298"/>
      <c r="H1138" s="298"/>
      <c r="I1138" s="299"/>
      <c r="J1138" s="299"/>
      <c r="K1138" s="299"/>
      <c r="L1138" s="299"/>
      <c r="M1138" s="299"/>
      <c r="N1138" s="299"/>
      <c r="O1138" s="299"/>
      <c r="P1138" s="299"/>
      <c r="Q1138" s="299"/>
      <c r="R1138" s="299"/>
      <c r="S1138" s="299"/>
      <c r="T1138" s="299"/>
    </row>
    <row r="1139" ht="15.75" customHeight="1">
      <c r="G1139" s="298"/>
      <c r="H1139" s="298"/>
      <c r="I1139" s="299"/>
      <c r="J1139" s="299"/>
      <c r="K1139" s="299"/>
      <c r="L1139" s="299"/>
      <c r="M1139" s="299"/>
      <c r="N1139" s="299"/>
      <c r="O1139" s="299"/>
      <c r="P1139" s="299"/>
      <c r="Q1139" s="299"/>
      <c r="R1139" s="299"/>
      <c r="S1139" s="299"/>
      <c r="T1139" s="299"/>
    </row>
    <row r="1140" ht="15.75" customHeight="1">
      <c r="G1140" s="298"/>
      <c r="H1140" s="298"/>
      <c r="I1140" s="299"/>
      <c r="J1140" s="299"/>
      <c r="K1140" s="299"/>
      <c r="L1140" s="299"/>
      <c r="M1140" s="299"/>
      <c r="N1140" s="299"/>
      <c r="O1140" s="299"/>
      <c r="P1140" s="299"/>
      <c r="Q1140" s="299"/>
      <c r="R1140" s="299"/>
      <c r="S1140" s="299"/>
      <c r="T1140" s="299"/>
    </row>
    <row r="1141" ht="15.75" customHeight="1">
      <c r="G1141" s="298"/>
      <c r="H1141" s="298"/>
      <c r="I1141" s="299"/>
      <c r="J1141" s="299"/>
      <c r="K1141" s="299"/>
      <c r="L1141" s="299"/>
      <c r="M1141" s="299"/>
      <c r="N1141" s="299"/>
      <c r="O1141" s="299"/>
      <c r="P1141" s="299"/>
      <c r="Q1141" s="299"/>
      <c r="R1141" s="299"/>
      <c r="S1141" s="299"/>
      <c r="T1141" s="299"/>
    </row>
    <row r="1142" ht="15.75" customHeight="1">
      <c r="G1142" s="298"/>
      <c r="H1142" s="298"/>
      <c r="I1142" s="299"/>
      <c r="J1142" s="299"/>
      <c r="K1142" s="299"/>
      <c r="L1142" s="299"/>
      <c r="M1142" s="299"/>
      <c r="N1142" s="299"/>
      <c r="O1142" s="299"/>
      <c r="P1142" s="299"/>
      <c r="Q1142" s="299"/>
      <c r="R1142" s="299"/>
      <c r="S1142" s="299"/>
      <c r="T1142" s="299"/>
    </row>
    <row r="1143" ht="15.75" customHeight="1">
      <c r="G1143" s="298"/>
      <c r="H1143" s="298"/>
      <c r="I1143" s="299"/>
      <c r="J1143" s="299"/>
      <c r="K1143" s="299"/>
      <c r="L1143" s="299"/>
      <c r="M1143" s="299"/>
      <c r="N1143" s="299"/>
      <c r="O1143" s="299"/>
      <c r="P1143" s="299"/>
      <c r="Q1143" s="299"/>
      <c r="R1143" s="299"/>
      <c r="S1143" s="299"/>
      <c r="T1143" s="299"/>
    </row>
    <row r="1144" ht="15.75" customHeight="1">
      <c r="G1144" s="298"/>
      <c r="H1144" s="298"/>
      <c r="I1144" s="299"/>
      <c r="J1144" s="299"/>
      <c r="K1144" s="299"/>
      <c r="L1144" s="299"/>
      <c r="M1144" s="299"/>
      <c r="N1144" s="299"/>
      <c r="O1144" s="299"/>
      <c r="P1144" s="299"/>
      <c r="Q1144" s="299"/>
      <c r="R1144" s="299"/>
      <c r="S1144" s="299"/>
      <c r="T1144" s="299"/>
    </row>
    <row r="1145" ht="15.75" customHeight="1">
      <c r="G1145" s="298"/>
      <c r="H1145" s="298"/>
      <c r="I1145" s="299"/>
      <c r="J1145" s="299"/>
      <c r="K1145" s="299"/>
      <c r="L1145" s="299"/>
      <c r="M1145" s="299"/>
      <c r="N1145" s="299"/>
      <c r="O1145" s="299"/>
      <c r="P1145" s="299"/>
      <c r="Q1145" s="299"/>
      <c r="R1145" s="299"/>
      <c r="S1145" s="299"/>
      <c r="T1145" s="299"/>
    </row>
    <row r="1146" ht="15.75" customHeight="1">
      <c r="G1146" s="298"/>
      <c r="H1146" s="298"/>
      <c r="I1146" s="299"/>
      <c r="J1146" s="299"/>
      <c r="K1146" s="299"/>
      <c r="L1146" s="299"/>
      <c r="M1146" s="299"/>
      <c r="N1146" s="299"/>
      <c r="O1146" s="299"/>
      <c r="P1146" s="299"/>
      <c r="Q1146" s="299"/>
      <c r="R1146" s="299"/>
      <c r="S1146" s="299"/>
      <c r="T1146" s="299"/>
    </row>
    <row r="1147" ht="15.75" customHeight="1">
      <c r="G1147" s="298"/>
      <c r="H1147" s="298"/>
      <c r="I1147" s="299"/>
      <c r="J1147" s="299"/>
      <c r="K1147" s="299"/>
      <c r="L1147" s="299"/>
      <c r="M1147" s="299"/>
      <c r="N1147" s="299"/>
      <c r="O1147" s="299"/>
      <c r="P1147" s="299"/>
      <c r="Q1147" s="299"/>
      <c r="R1147" s="299"/>
      <c r="S1147" s="299"/>
      <c r="T1147" s="299"/>
    </row>
    <row r="1148" ht="15.75" customHeight="1">
      <c r="G1148" s="298"/>
      <c r="H1148" s="298"/>
      <c r="I1148" s="299"/>
      <c r="J1148" s="299"/>
      <c r="K1148" s="299"/>
      <c r="L1148" s="299"/>
      <c r="M1148" s="299"/>
      <c r="N1148" s="299"/>
      <c r="O1148" s="299"/>
      <c r="P1148" s="299"/>
      <c r="Q1148" s="299"/>
      <c r="R1148" s="299"/>
      <c r="S1148" s="299"/>
      <c r="T1148" s="299"/>
    </row>
    <row r="1149" ht="15.75" customHeight="1">
      <c r="G1149" s="298"/>
      <c r="H1149" s="298"/>
      <c r="I1149" s="299"/>
      <c r="J1149" s="299"/>
      <c r="K1149" s="299"/>
      <c r="L1149" s="299"/>
      <c r="M1149" s="299"/>
      <c r="N1149" s="299"/>
      <c r="O1149" s="299"/>
      <c r="P1149" s="299"/>
      <c r="Q1149" s="299"/>
      <c r="R1149" s="299"/>
      <c r="S1149" s="299"/>
      <c r="T1149" s="299"/>
    </row>
    <row r="1150" ht="15.75" customHeight="1">
      <c r="G1150" s="298"/>
      <c r="H1150" s="298"/>
      <c r="I1150" s="299"/>
      <c r="J1150" s="299"/>
      <c r="K1150" s="299"/>
      <c r="L1150" s="299"/>
      <c r="M1150" s="299"/>
      <c r="N1150" s="299"/>
      <c r="O1150" s="299"/>
      <c r="P1150" s="299"/>
      <c r="Q1150" s="299"/>
      <c r="R1150" s="299"/>
      <c r="S1150" s="299"/>
      <c r="T1150" s="299"/>
    </row>
    <row r="1151" ht="15.75" customHeight="1">
      <c r="G1151" s="298"/>
      <c r="H1151" s="298"/>
      <c r="I1151" s="299"/>
      <c r="J1151" s="299"/>
      <c r="K1151" s="299"/>
      <c r="L1151" s="299"/>
      <c r="M1151" s="299"/>
      <c r="N1151" s="299"/>
      <c r="O1151" s="299"/>
      <c r="P1151" s="299"/>
      <c r="Q1151" s="299"/>
      <c r="R1151" s="299"/>
      <c r="S1151" s="299"/>
      <c r="T1151" s="299"/>
    </row>
    <row r="1152" ht="15.75" customHeight="1">
      <c r="G1152" s="298"/>
      <c r="H1152" s="298"/>
      <c r="I1152" s="299"/>
      <c r="J1152" s="299"/>
      <c r="K1152" s="299"/>
      <c r="L1152" s="299"/>
      <c r="M1152" s="299"/>
      <c r="N1152" s="299"/>
      <c r="O1152" s="299"/>
      <c r="P1152" s="299"/>
      <c r="Q1152" s="299"/>
      <c r="R1152" s="299"/>
      <c r="S1152" s="299"/>
      <c r="T1152" s="299"/>
    </row>
    <row r="1153" ht="15.75" customHeight="1">
      <c r="G1153" s="298"/>
      <c r="H1153" s="298"/>
      <c r="I1153" s="299"/>
      <c r="J1153" s="299"/>
      <c r="K1153" s="299"/>
      <c r="L1153" s="299"/>
      <c r="M1153" s="299"/>
      <c r="N1153" s="299"/>
      <c r="O1153" s="299"/>
      <c r="P1153" s="299"/>
      <c r="Q1153" s="299"/>
      <c r="R1153" s="299"/>
      <c r="S1153" s="299"/>
      <c r="T1153" s="299"/>
    </row>
    <row r="1154" ht="15.75" customHeight="1">
      <c r="G1154" s="298"/>
      <c r="H1154" s="298"/>
      <c r="I1154" s="299"/>
      <c r="J1154" s="299"/>
      <c r="K1154" s="299"/>
      <c r="L1154" s="299"/>
      <c r="M1154" s="299"/>
      <c r="N1154" s="299"/>
      <c r="O1154" s="299"/>
      <c r="P1154" s="299"/>
      <c r="Q1154" s="299"/>
      <c r="R1154" s="299"/>
      <c r="S1154" s="299"/>
      <c r="T1154" s="299"/>
    </row>
    <row r="1155" ht="15.75" customHeight="1">
      <c r="G1155" s="298"/>
      <c r="H1155" s="298"/>
      <c r="I1155" s="299"/>
      <c r="J1155" s="299"/>
      <c r="K1155" s="299"/>
      <c r="L1155" s="299"/>
      <c r="M1155" s="299"/>
      <c r="N1155" s="299"/>
      <c r="O1155" s="299"/>
      <c r="P1155" s="299"/>
      <c r="Q1155" s="299"/>
      <c r="R1155" s="299"/>
      <c r="S1155" s="299"/>
      <c r="T1155" s="299"/>
    </row>
    <row r="1156" ht="15.75" customHeight="1">
      <c r="G1156" s="298"/>
      <c r="H1156" s="298"/>
      <c r="I1156" s="299"/>
      <c r="J1156" s="299"/>
      <c r="K1156" s="299"/>
      <c r="L1156" s="299"/>
      <c r="M1156" s="299"/>
      <c r="N1156" s="299"/>
      <c r="O1156" s="299"/>
      <c r="P1156" s="299"/>
      <c r="Q1156" s="299"/>
      <c r="R1156" s="299"/>
      <c r="S1156" s="299"/>
      <c r="T1156" s="299"/>
    </row>
    <row r="1157" ht="15.75" customHeight="1">
      <c r="G1157" s="298"/>
      <c r="H1157" s="298"/>
      <c r="I1157" s="299"/>
      <c r="J1157" s="299"/>
      <c r="K1157" s="299"/>
      <c r="L1157" s="299"/>
      <c r="M1157" s="299"/>
      <c r="N1157" s="299"/>
      <c r="O1157" s="299"/>
      <c r="P1157" s="299"/>
      <c r="Q1157" s="299"/>
      <c r="R1157" s="299"/>
      <c r="S1157" s="299"/>
      <c r="T1157" s="299"/>
    </row>
    <row r="1158" ht="15.75" customHeight="1">
      <c r="G1158" s="298"/>
      <c r="H1158" s="298"/>
      <c r="I1158" s="299"/>
      <c r="J1158" s="299"/>
      <c r="K1158" s="299"/>
      <c r="L1158" s="299"/>
      <c r="M1158" s="299"/>
      <c r="N1158" s="299"/>
      <c r="O1158" s="299"/>
      <c r="P1158" s="299"/>
      <c r="Q1158" s="299"/>
      <c r="R1158" s="299"/>
      <c r="S1158" s="299"/>
      <c r="T1158" s="299"/>
    </row>
    <row r="1159" ht="15.75" customHeight="1">
      <c r="G1159" s="298"/>
      <c r="H1159" s="298"/>
      <c r="I1159" s="299"/>
      <c r="J1159" s="299"/>
      <c r="K1159" s="299"/>
      <c r="L1159" s="299"/>
      <c r="M1159" s="299"/>
      <c r="N1159" s="299"/>
      <c r="O1159" s="299"/>
      <c r="P1159" s="299"/>
      <c r="Q1159" s="299"/>
      <c r="R1159" s="299"/>
      <c r="S1159" s="299"/>
      <c r="T1159" s="299"/>
    </row>
    <row r="1160" ht="15.75" customHeight="1">
      <c r="G1160" s="298"/>
      <c r="H1160" s="298"/>
      <c r="I1160" s="299"/>
      <c r="J1160" s="299"/>
      <c r="K1160" s="299"/>
      <c r="L1160" s="299"/>
      <c r="M1160" s="299"/>
      <c r="N1160" s="299"/>
      <c r="O1160" s="299"/>
      <c r="P1160" s="299"/>
      <c r="Q1160" s="299"/>
      <c r="R1160" s="299"/>
      <c r="S1160" s="299"/>
      <c r="T1160" s="299"/>
    </row>
    <row r="1161" ht="15.75" customHeight="1">
      <c r="G1161" s="298"/>
      <c r="H1161" s="298"/>
      <c r="I1161" s="299"/>
      <c r="J1161" s="299"/>
      <c r="K1161" s="299"/>
      <c r="L1161" s="299"/>
      <c r="M1161" s="299"/>
      <c r="N1161" s="299"/>
      <c r="O1161" s="299"/>
      <c r="P1161" s="299"/>
      <c r="Q1161" s="299"/>
      <c r="R1161" s="299"/>
      <c r="S1161" s="299"/>
      <c r="T1161" s="299"/>
    </row>
    <row r="1162" ht="15.75" customHeight="1">
      <c r="G1162" s="298"/>
      <c r="H1162" s="298"/>
      <c r="I1162" s="299"/>
      <c r="J1162" s="299"/>
      <c r="K1162" s="299"/>
      <c r="L1162" s="299"/>
      <c r="M1162" s="299"/>
      <c r="N1162" s="299"/>
      <c r="O1162" s="299"/>
      <c r="P1162" s="299"/>
      <c r="Q1162" s="299"/>
      <c r="R1162" s="299"/>
      <c r="S1162" s="299"/>
      <c r="T1162" s="299"/>
    </row>
    <row r="1163" ht="15.75" customHeight="1">
      <c r="G1163" s="298"/>
      <c r="H1163" s="298"/>
      <c r="I1163" s="299"/>
      <c r="J1163" s="299"/>
      <c r="K1163" s="299"/>
      <c r="L1163" s="299"/>
      <c r="M1163" s="299"/>
      <c r="N1163" s="299"/>
      <c r="O1163" s="299"/>
      <c r="P1163" s="299"/>
      <c r="Q1163" s="299"/>
      <c r="R1163" s="299"/>
      <c r="S1163" s="299"/>
      <c r="T1163" s="299"/>
    </row>
    <row r="1164" ht="15.75" customHeight="1">
      <c r="G1164" s="298"/>
      <c r="H1164" s="298"/>
      <c r="I1164" s="299"/>
      <c r="J1164" s="299"/>
      <c r="K1164" s="299"/>
      <c r="L1164" s="299"/>
      <c r="M1164" s="299"/>
      <c r="N1164" s="299"/>
      <c r="O1164" s="299"/>
      <c r="P1164" s="299"/>
      <c r="Q1164" s="299"/>
      <c r="R1164" s="299"/>
      <c r="S1164" s="299"/>
      <c r="T1164" s="299"/>
    </row>
    <row r="1165" ht="15.75" customHeight="1">
      <c r="G1165" s="298"/>
      <c r="H1165" s="298"/>
      <c r="I1165" s="299"/>
      <c r="J1165" s="299"/>
      <c r="K1165" s="299"/>
      <c r="L1165" s="299"/>
      <c r="M1165" s="299"/>
      <c r="N1165" s="299"/>
      <c r="O1165" s="299"/>
      <c r="P1165" s="299"/>
      <c r="Q1165" s="299"/>
      <c r="R1165" s="299"/>
      <c r="S1165" s="299"/>
      <c r="T1165" s="299"/>
    </row>
    <row r="1166" ht="15.75" customHeight="1">
      <c r="G1166" s="298"/>
      <c r="H1166" s="298"/>
      <c r="I1166" s="299"/>
      <c r="J1166" s="299"/>
      <c r="K1166" s="299"/>
      <c r="L1166" s="299"/>
      <c r="M1166" s="299"/>
      <c r="N1166" s="299"/>
      <c r="O1166" s="299"/>
      <c r="P1166" s="299"/>
      <c r="Q1166" s="299"/>
      <c r="R1166" s="299"/>
      <c r="S1166" s="299"/>
      <c r="T1166" s="299"/>
    </row>
    <row r="1167" ht="15.75" customHeight="1">
      <c r="G1167" s="298"/>
      <c r="H1167" s="298"/>
      <c r="I1167" s="299"/>
      <c r="J1167" s="299"/>
      <c r="K1167" s="299"/>
      <c r="L1167" s="299"/>
      <c r="M1167" s="299"/>
      <c r="N1167" s="299"/>
      <c r="O1167" s="299"/>
      <c r="P1167" s="299"/>
      <c r="Q1167" s="299"/>
      <c r="R1167" s="299"/>
      <c r="S1167" s="299"/>
      <c r="T1167" s="299"/>
    </row>
    <row r="1168" ht="15.75" customHeight="1">
      <c r="G1168" s="298"/>
      <c r="H1168" s="298"/>
      <c r="I1168" s="299"/>
      <c r="J1168" s="299"/>
      <c r="K1168" s="299"/>
      <c r="L1168" s="299"/>
      <c r="M1168" s="299"/>
      <c r="N1168" s="299"/>
      <c r="O1168" s="299"/>
      <c r="P1168" s="299"/>
      <c r="Q1168" s="299"/>
      <c r="R1168" s="299"/>
      <c r="S1168" s="299"/>
      <c r="T1168" s="299"/>
    </row>
    <row r="1169" ht="15.75" customHeight="1">
      <c r="G1169" s="298"/>
      <c r="H1169" s="298"/>
      <c r="I1169" s="299"/>
      <c r="J1169" s="299"/>
      <c r="K1169" s="299"/>
      <c r="L1169" s="299"/>
      <c r="M1169" s="299"/>
      <c r="N1169" s="299"/>
      <c r="O1169" s="299"/>
      <c r="P1169" s="299"/>
      <c r="Q1169" s="299"/>
      <c r="R1169" s="299"/>
      <c r="S1169" s="299"/>
      <c r="T1169" s="299"/>
    </row>
    <row r="1170" ht="15.75" customHeight="1">
      <c r="G1170" s="298"/>
      <c r="H1170" s="298"/>
      <c r="I1170" s="299"/>
      <c r="J1170" s="299"/>
      <c r="K1170" s="299"/>
      <c r="L1170" s="299"/>
      <c r="M1170" s="299"/>
      <c r="N1170" s="299"/>
      <c r="O1170" s="299"/>
      <c r="P1170" s="299"/>
      <c r="Q1170" s="299"/>
      <c r="R1170" s="299"/>
      <c r="S1170" s="299"/>
      <c r="T1170" s="299"/>
    </row>
    <row r="1171" ht="15.75" customHeight="1">
      <c r="G1171" s="298"/>
      <c r="H1171" s="298"/>
      <c r="I1171" s="299"/>
      <c r="J1171" s="299"/>
      <c r="K1171" s="299"/>
      <c r="L1171" s="299"/>
      <c r="M1171" s="299"/>
      <c r="N1171" s="299"/>
      <c r="O1171" s="299"/>
      <c r="P1171" s="299"/>
      <c r="Q1171" s="299"/>
      <c r="R1171" s="299"/>
      <c r="S1171" s="299"/>
      <c r="T1171" s="299"/>
    </row>
    <row r="1172" ht="15.75" customHeight="1">
      <c r="G1172" s="298"/>
      <c r="H1172" s="298"/>
      <c r="I1172" s="299"/>
      <c r="J1172" s="299"/>
      <c r="K1172" s="299"/>
      <c r="L1172" s="299"/>
      <c r="M1172" s="299"/>
      <c r="N1172" s="299"/>
      <c r="O1172" s="299"/>
      <c r="P1172" s="299"/>
      <c r="Q1172" s="299"/>
      <c r="R1172" s="299"/>
      <c r="S1172" s="299"/>
      <c r="T1172" s="299"/>
    </row>
    <row r="1173" ht="15.75" customHeight="1">
      <c r="G1173" s="298"/>
      <c r="H1173" s="298"/>
      <c r="I1173" s="299"/>
      <c r="J1173" s="299"/>
      <c r="K1173" s="299"/>
      <c r="L1173" s="299"/>
      <c r="M1173" s="299"/>
      <c r="N1173" s="299"/>
      <c r="O1173" s="299"/>
      <c r="P1173" s="299"/>
      <c r="Q1173" s="299"/>
      <c r="R1173" s="299"/>
      <c r="S1173" s="299"/>
      <c r="T1173" s="299"/>
    </row>
    <row r="1174" ht="15.75" customHeight="1">
      <c r="G1174" s="298"/>
      <c r="H1174" s="298"/>
      <c r="I1174" s="299"/>
      <c r="J1174" s="299"/>
      <c r="K1174" s="299"/>
      <c r="L1174" s="299"/>
      <c r="M1174" s="299"/>
      <c r="N1174" s="299"/>
      <c r="O1174" s="299"/>
      <c r="P1174" s="299"/>
      <c r="Q1174" s="299"/>
      <c r="R1174" s="299"/>
      <c r="S1174" s="299"/>
      <c r="T1174" s="299"/>
    </row>
    <row r="1175" ht="15.75" customHeight="1">
      <c r="G1175" s="298"/>
      <c r="H1175" s="298"/>
      <c r="I1175" s="299"/>
      <c r="J1175" s="299"/>
      <c r="K1175" s="299"/>
      <c r="L1175" s="299"/>
      <c r="M1175" s="299"/>
      <c r="N1175" s="299"/>
      <c r="O1175" s="299"/>
      <c r="P1175" s="299"/>
      <c r="Q1175" s="299"/>
      <c r="R1175" s="299"/>
      <c r="S1175" s="299"/>
      <c r="T1175" s="299"/>
    </row>
    <row r="1176" ht="15.75" customHeight="1">
      <c r="G1176" s="298"/>
      <c r="H1176" s="298"/>
      <c r="I1176" s="299"/>
      <c r="J1176" s="299"/>
      <c r="K1176" s="299"/>
      <c r="L1176" s="299"/>
      <c r="M1176" s="299"/>
      <c r="N1176" s="299"/>
      <c r="O1176" s="299"/>
      <c r="P1176" s="299"/>
      <c r="Q1176" s="299"/>
      <c r="R1176" s="299"/>
      <c r="S1176" s="299"/>
      <c r="T1176" s="299"/>
    </row>
    <row r="1177" ht="15.75" customHeight="1">
      <c r="G1177" s="298"/>
      <c r="H1177" s="298"/>
      <c r="I1177" s="299"/>
      <c r="J1177" s="299"/>
      <c r="K1177" s="299"/>
      <c r="L1177" s="299"/>
      <c r="M1177" s="299"/>
      <c r="N1177" s="299"/>
      <c r="O1177" s="299"/>
      <c r="P1177" s="299"/>
      <c r="Q1177" s="299"/>
      <c r="R1177" s="299"/>
      <c r="S1177" s="299"/>
      <c r="T1177" s="299"/>
    </row>
    <row r="1178" ht="15.75" customHeight="1">
      <c r="G1178" s="298"/>
      <c r="H1178" s="298"/>
      <c r="I1178" s="299"/>
      <c r="J1178" s="299"/>
      <c r="K1178" s="299"/>
      <c r="L1178" s="299"/>
      <c r="M1178" s="299"/>
      <c r="N1178" s="299"/>
      <c r="O1178" s="299"/>
      <c r="P1178" s="299"/>
      <c r="Q1178" s="299"/>
      <c r="R1178" s="299"/>
      <c r="S1178" s="299"/>
      <c r="T1178" s="299"/>
    </row>
    <row r="1179" ht="15.75" customHeight="1">
      <c r="G1179" s="298"/>
      <c r="H1179" s="298"/>
      <c r="I1179" s="299"/>
      <c r="J1179" s="299"/>
      <c r="K1179" s="299"/>
      <c r="L1179" s="299"/>
      <c r="M1179" s="299"/>
      <c r="N1179" s="299"/>
      <c r="O1179" s="299"/>
      <c r="P1179" s="299"/>
      <c r="Q1179" s="299"/>
      <c r="R1179" s="299"/>
      <c r="S1179" s="299"/>
      <c r="T1179" s="299"/>
    </row>
    <row r="1180" ht="15.75" customHeight="1">
      <c r="G1180" s="298"/>
      <c r="H1180" s="298"/>
      <c r="I1180" s="299"/>
      <c r="J1180" s="299"/>
      <c r="K1180" s="299"/>
      <c r="L1180" s="299"/>
      <c r="M1180" s="299"/>
      <c r="N1180" s="299"/>
      <c r="O1180" s="299"/>
      <c r="P1180" s="299"/>
      <c r="Q1180" s="299"/>
      <c r="R1180" s="299"/>
      <c r="S1180" s="299"/>
      <c r="T1180" s="299"/>
    </row>
    <row r="1181" ht="15.75" customHeight="1">
      <c r="G1181" s="298"/>
      <c r="H1181" s="298"/>
      <c r="I1181" s="299"/>
      <c r="J1181" s="299"/>
      <c r="K1181" s="299"/>
      <c r="L1181" s="299"/>
      <c r="M1181" s="299"/>
      <c r="N1181" s="299"/>
      <c r="O1181" s="299"/>
      <c r="P1181" s="299"/>
      <c r="Q1181" s="299"/>
      <c r="R1181" s="299"/>
      <c r="S1181" s="299"/>
      <c r="T1181" s="299"/>
    </row>
    <row r="1182" ht="15.75" customHeight="1">
      <c r="G1182" s="298"/>
      <c r="H1182" s="298"/>
      <c r="I1182" s="299"/>
      <c r="J1182" s="299"/>
      <c r="K1182" s="299"/>
      <c r="L1182" s="299"/>
      <c r="M1182" s="299"/>
      <c r="N1182" s="299"/>
      <c r="O1182" s="299"/>
      <c r="P1182" s="299"/>
      <c r="Q1182" s="299"/>
      <c r="R1182" s="299"/>
      <c r="S1182" s="299"/>
      <c r="T1182" s="299"/>
    </row>
    <row r="1183" ht="15.75" customHeight="1">
      <c r="G1183" s="298"/>
      <c r="H1183" s="298"/>
      <c r="I1183" s="299"/>
      <c r="J1183" s="299"/>
      <c r="K1183" s="299"/>
      <c r="L1183" s="299"/>
      <c r="M1183" s="299"/>
      <c r="N1183" s="299"/>
      <c r="O1183" s="299"/>
      <c r="P1183" s="299"/>
      <c r="Q1183" s="299"/>
      <c r="R1183" s="299"/>
      <c r="S1183" s="299"/>
      <c r="T1183" s="299"/>
    </row>
    <row r="1184" ht="15.75" customHeight="1">
      <c r="G1184" s="298"/>
      <c r="H1184" s="298"/>
      <c r="I1184" s="299"/>
      <c r="J1184" s="299"/>
      <c r="K1184" s="299"/>
      <c r="L1184" s="299"/>
      <c r="M1184" s="299"/>
      <c r="N1184" s="299"/>
      <c r="O1184" s="299"/>
      <c r="P1184" s="299"/>
      <c r="Q1184" s="299"/>
      <c r="R1184" s="299"/>
      <c r="S1184" s="299"/>
      <c r="T1184" s="299"/>
    </row>
    <row r="1185" ht="15.75" customHeight="1">
      <c r="G1185" s="298"/>
      <c r="H1185" s="298"/>
      <c r="I1185" s="299"/>
      <c r="J1185" s="299"/>
      <c r="K1185" s="299"/>
      <c r="L1185" s="299"/>
      <c r="M1185" s="299"/>
      <c r="N1185" s="299"/>
      <c r="O1185" s="299"/>
      <c r="P1185" s="299"/>
      <c r="Q1185" s="299"/>
      <c r="R1185" s="299"/>
      <c r="S1185" s="299"/>
      <c r="T1185" s="299"/>
    </row>
    <row r="1186" ht="15.75" customHeight="1">
      <c r="G1186" s="298"/>
      <c r="H1186" s="298"/>
      <c r="I1186" s="299"/>
      <c r="J1186" s="299"/>
      <c r="K1186" s="299"/>
      <c r="L1186" s="299"/>
      <c r="M1186" s="299"/>
      <c r="N1186" s="299"/>
      <c r="O1186" s="299"/>
      <c r="P1186" s="299"/>
      <c r="Q1186" s="299"/>
      <c r="R1186" s="299"/>
      <c r="S1186" s="299"/>
      <c r="T1186" s="299"/>
    </row>
    <row r="1187" ht="15.75" customHeight="1">
      <c r="G1187" s="298"/>
      <c r="H1187" s="298"/>
      <c r="I1187" s="299"/>
      <c r="J1187" s="299"/>
      <c r="K1187" s="299"/>
      <c r="L1187" s="299"/>
      <c r="M1187" s="299"/>
      <c r="N1187" s="299"/>
      <c r="O1187" s="299"/>
      <c r="P1187" s="299"/>
      <c r="Q1187" s="299"/>
      <c r="R1187" s="299"/>
      <c r="S1187" s="299"/>
      <c r="T1187" s="299"/>
    </row>
    <row r="1188" ht="15.75" customHeight="1">
      <c r="G1188" s="298"/>
      <c r="H1188" s="298"/>
      <c r="I1188" s="299"/>
      <c r="J1188" s="299"/>
      <c r="K1188" s="299"/>
      <c r="L1188" s="299"/>
      <c r="M1188" s="299"/>
      <c r="N1188" s="299"/>
      <c r="O1188" s="299"/>
      <c r="P1188" s="299"/>
      <c r="Q1188" s="299"/>
      <c r="R1188" s="299"/>
      <c r="S1188" s="299"/>
      <c r="T1188" s="299"/>
    </row>
    <row r="1189" ht="15.75" customHeight="1">
      <c r="G1189" s="298"/>
      <c r="H1189" s="298"/>
      <c r="I1189" s="299"/>
      <c r="J1189" s="299"/>
      <c r="K1189" s="299"/>
      <c r="L1189" s="299"/>
      <c r="M1189" s="299"/>
      <c r="N1189" s="299"/>
      <c r="O1189" s="299"/>
      <c r="P1189" s="299"/>
      <c r="Q1189" s="299"/>
      <c r="R1189" s="299"/>
      <c r="S1189" s="299"/>
      <c r="T1189" s="299"/>
    </row>
    <row r="1190" ht="15.75" customHeight="1">
      <c r="G1190" s="298"/>
      <c r="H1190" s="298"/>
      <c r="I1190" s="299"/>
      <c r="J1190" s="299"/>
      <c r="K1190" s="299"/>
      <c r="L1190" s="299"/>
      <c r="M1190" s="299"/>
      <c r="N1190" s="299"/>
      <c r="O1190" s="299"/>
      <c r="P1190" s="299"/>
      <c r="Q1190" s="299"/>
      <c r="R1190" s="299"/>
      <c r="S1190" s="299"/>
      <c r="T1190" s="299"/>
    </row>
    <row r="1191" ht="15.75" customHeight="1">
      <c r="G1191" s="298"/>
      <c r="H1191" s="298"/>
      <c r="I1191" s="299"/>
      <c r="J1191" s="299"/>
      <c r="K1191" s="299"/>
      <c r="L1191" s="299"/>
      <c r="M1191" s="299"/>
      <c r="N1191" s="299"/>
      <c r="O1191" s="299"/>
      <c r="P1191" s="299"/>
      <c r="Q1191" s="299"/>
      <c r="R1191" s="299"/>
      <c r="S1191" s="299"/>
      <c r="T1191" s="299"/>
    </row>
    <row r="1192" ht="15.75" customHeight="1">
      <c r="G1192" s="298"/>
      <c r="H1192" s="298"/>
      <c r="I1192" s="299"/>
      <c r="J1192" s="299"/>
      <c r="K1192" s="299"/>
      <c r="L1192" s="299"/>
      <c r="M1192" s="299"/>
      <c r="N1192" s="299"/>
      <c r="O1192" s="299"/>
      <c r="P1192" s="299"/>
      <c r="Q1192" s="299"/>
      <c r="R1192" s="299"/>
      <c r="S1192" s="299"/>
      <c r="T1192" s="299"/>
    </row>
    <row r="1193" ht="15.75" customHeight="1">
      <c r="G1193" s="298"/>
      <c r="H1193" s="298"/>
      <c r="I1193" s="299"/>
      <c r="J1193" s="299"/>
      <c r="K1193" s="299"/>
      <c r="L1193" s="299"/>
      <c r="M1193" s="299"/>
      <c r="N1193" s="299"/>
      <c r="O1193" s="299"/>
      <c r="P1193" s="299"/>
      <c r="Q1193" s="299"/>
      <c r="R1193" s="299"/>
      <c r="S1193" s="299"/>
      <c r="T1193" s="299"/>
    </row>
    <row r="1194" ht="15.75" customHeight="1">
      <c r="G1194" s="298"/>
      <c r="H1194" s="298"/>
      <c r="I1194" s="299"/>
      <c r="J1194" s="299"/>
      <c r="K1194" s="299"/>
      <c r="L1194" s="299"/>
      <c r="M1194" s="299"/>
      <c r="N1194" s="299"/>
      <c r="O1194" s="299"/>
      <c r="P1194" s="299"/>
      <c r="Q1194" s="299"/>
      <c r="R1194" s="299"/>
      <c r="S1194" s="299"/>
      <c r="T1194" s="299"/>
    </row>
    <row r="1195" ht="15.75" customHeight="1">
      <c r="G1195" s="298"/>
      <c r="H1195" s="298"/>
      <c r="I1195" s="299"/>
      <c r="J1195" s="299"/>
      <c r="K1195" s="299"/>
      <c r="L1195" s="299"/>
      <c r="M1195" s="299"/>
      <c r="N1195" s="299"/>
      <c r="O1195" s="299"/>
      <c r="P1195" s="299"/>
      <c r="Q1195" s="299"/>
      <c r="R1195" s="299"/>
      <c r="S1195" s="299"/>
      <c r="T1195" s="299"/>
    </row>
    <row r="1196" ht="15.75" customHeight="1">
      <c r="G1196" s="298"/>
      <c r="H1196" s="298"/>
      <c r="I1196" s="299"/>
      <c r="J1196" s="299"/>
      <c r="K1196" s="299"/>
      <c r="L1196" s="299"/>
      <c r="M1196" s="299"/>
      <c r="N1196" s="299"/>
      <c r="O1196" s="299"/>
      <c r="P1196" s="299"/>
      <c r="Q1196" s="299"/>
      <c r="R1196" s="299"/>
      <c r="S1196" s="299"/>
      <c r="T1196" s="299"/>
    </row>
    <row r="1197" ht="15.75" customHeight="1">
      <c r="G1197" s="298"/>
      <c r="H1197" s="298"/>
      <c r="I1197" s="299"/>
      <c r="J1197" s="299"/>
      <c r="K1197" s="299"/>
      <c r="L1197" s="299"/>
      <c r="M1197" s="299"/>
      <c r="N1197" s="299"/>
      <c r="O1197" s="299"/>
      <c r="P1197" s="299"/>
      <c r="Q1197" s="299"/>
      <c r="R1197" s="299"/>
      <c r="S1197" s="299"/>
      <c r="T1197" s="299"/>
    </row>
    <row r="1198" ht="15.75" customHeight="1">
      <c r="G1198" s="298"/>
      <c r="H1198" s="298"/>
      <c r="I1198" s="299"/>
      <c r="J1198" s="299"/>
      <c r="K1198" s="299"/>
      <c r="L1198" s="299"/>
      <c r="M1198" s="299"/>
      <c r="N1198" s="299"/>
      <c r="O1198" s="299"/>
      <c r="P1198" s="299"/>
      <c r="Q1198" s="299"/>
      <c r="R1198" s="299"/>
      <c r="S1198" s="299"/>
      <c r="T1198" s="299"/>
    </row>
    <row r="1199" ht="15.75" customHeight="1">
      <c r="G1199" s="298"/>
      <c r="H1199" s="298"/>
      <c r="I1199" s="299"/>
      <c r="J1199" s="299"/>
      <c r="K1199" s="299"/>
      <c r="L1199" s="299"/>
      <c r="M1199" s="299"/>
      <c r="N1199" s="299"/>
      <c r="O1199" s="299"/>
      <c r="P1199" s="299"/>
      <c r="Q1199" s="299"/>
      <c r="R1199" s="299"/>
      <c r="S1199" s="299"/>
      <c r="T1199" s="299"/>
    </row>
    <row r="1200" ht="15.75" customHeight="1">
      <c r="G1200" s="298"/>
      <c r="H1200" s="298"/>
      <c r="I1200" s="299"/>
      <c r="J1200" s="299"/>
      <c r="K1200" s="299"/>
      <c r="L1200" s="299"/>
      <c r="M1200" s="299"/>
      <c r="N1200" s="299"/>
      <c r="O1200" s="299"/>
      <c r="P1200" s="299"/>
      <c r="Q1200" s="299"/>
      <c r="R1200" s="299"/>
      <c r="S1200" s="299"/>
      <c r="T1200" s="299"/>
    </row>
    <row r="1201" ht="15.75" customHeight="1">
      <c r="G1201" s="298"/>
      <c r="H1201" s="298"/>
      <c r="I1201" s="299"/>
      <c r="J1201" s="299"/>
      <c r="K1201" s="299"/>
      <c r="L1201" s="299"/>
      <c r="M1201" s="299"/>
      <c r="N1201" s="299"/>
      <c r="O1201" s="299"/>
      <c r="P1201" s="299"/>
      <c r="Q1201" s="299"/>
      <c r="R1201" s="299"/>
      <c r="S1201" s="299"/>
      <c r="T1201" s="299"/>
    </row>
    <row r="1202" ht="15.75" customHeight="1">
      <c r="G1202" s="298"/>
      <c r="H1202" s="298"/>
      <c r="I1202" s="299"/>
      <c r="J1202" s="299"/>
      <c r="K1202" s="299"/>
      <c r="L1202" s="299"/>
      <c r="M1202" s="299"/>
      <c r="N1202" s="299"/>
      <c r="O1202" s="299"/>
      <c r="P1202" s="299"/>
      <c r="Q1202" s="299"/>
      <c r="R1202" s="299"/>
      <c r="S1202" s="299"/>
      <c r="T1202" s="299"/>
    </row>
    <row r="1203" ht="15.75" customHeight="1">
      <c r="G1203" s="298"/>
      <c r="H1203" s="298"/>
      <c r="I1203" s="299"/>
      <c r="J1203" s="299"/>
      <c r="K1203" s="299"/>
      <c r="L1203" s="299"/>
      <c r="M1203" s="299"/>
      <c r="N1203" s="299"/>
      <c r="O1203" s="299"/>
      <c r="P1203" s="299"/>
      <c r="Q1203" s="299"/>
      <c r="R1203" s="299"/>
      <c r="S1203" s="299"/>
      <c r="T1203" s="299"/>
    </row>
    <row r="1204" ht="15.75" customHeight="1">
      <c r="G1204" s="298"/>
      <c r="H1204" s="298"/>
      <c r="I1204" s="299"/>
      <c r="J1204" s="299"/>
      <c r="K1204" s="299"/>
      <c r="L1204" s="299"/>
      <c r="M1204" s="299"/>
      <c r="N1204" s="299"/>
      <c r="O1204" s="299"/>
      <c r="P1204" s="299"/>
      <c r="Q1204" s="299"/>
      <c r="R1204" s="299"/>
      <c r="S1204" s="299"/>
      <c r="T1204" s="299"/>
    </row>
    <row r="1205" ht="15.75" customHeight="1">
      <c r="G1205" s="298"/>
      <c r="H1205" s="298"/>
      <c r="I1205" s="299"/>
      <c r="J1205" s="299"/>
      <c r="K1205" s="299"/>
      <c r="L1205" s="299"/>
      <c r="M1205" s="299"/>
      <c r="N1205" s="299"/>
      <c r="O1205" s="299"/>
      <c r="P1205" s="299"/>
      <c r="Q1205" s="299"/>
      <c r="R1205" s="299"/>
      <c r="S1205" s="299"/>
      <c r="T1205" s="299"/>
    </row>
    <row r="1206" ht="15.75" customHeight="1">
      <c r="G1206" s="298"/>
      <c r="H1206" s="298"/>
      <c r="I1206" s="299"/>
      <c r="J1206" s="299"/>
      <c r="K1206" s="299"/>
      <c r="L1206" s="299"/>
      <c r="M1206" s="299"/>
      <c r="N1206" s="299"/>
      <c r="O1206" s="299"/>
      <c r="P1206" s="299"/>
      <c r="Q1206" s="299"/>
      <c r="R1206" s="299"/>
      <c r="S1206" s="299"/>
      <c r="T1206" s="299"/>
    </row>
    <row r="1207" ht="15.75" customHeight="1">
      <c r="G1207" s="298"/>
      <c r="H1207" s="298"/>
      <c r="I1207" s="299"/>
      <c r="J1207" s="299"/>
      <c r="K1207" s="299"/>
      <c r="L1207" s="299"/>
      <c r="M1207" s="299"/>
      <c r="N1207" s="299"/>
      <c r="O1207" s="299"/>
      <c r="P1207" s="299"/>
      <c r="Q1207" s="299"/>
      <c r="R1207" s="299"/>
      <c r="S1207" s="299"/>
      <c r="T1207" s="299"/>
    </row>
    <row r="1208" ht="15.75" customHeight="1">
      <c r="G1208" s="298"/>
      <c r="H1208" s="298"/>
      <c r="I1208" s="299"/>
      <c r="J1208" s="299"/>
      <c r="K1208" s="299"/>
      <c r="L1208" s="299"/>
      <c r="M1208" s="299"/>
      <c r="N1208" s="299"/>
      <c r="O1208" s="299"/>
      <c r="P1208" s="299"/>
      <c r="Q1208" s="299"/>
      <c r="R1208" s="299"/>
      <c r="S1208" s="299"/>
      <c r="T1208" s="299"/>
    </row>
    <row r="1209" ht="15.75" customHeight="1">
      <c r="G1209" s="298"/>
      <c r="H1209" s="298"/>
      <c r="I1209" s="299"/>
      <c r="J1209" s="299"/>
      <c r="K1209" s="299"/>
      <c r="L1209" s="299"/>
      <c r="M1209" s="299"/>
      <c r="N1209" s="299"/>
      <c r="O1209" s="299"/>
      <c r="P1209" s="299"/>
      <c r="Q1209" s="299"/>
      <c r="R1209" s="299"/>
      <c r="S1209" s="299"/>
      <c r="T1209" s="299"/>
    </row>
    <row r="1210" ht="15.75" customHeight="1">
      <c r="G1210" s="298"/>
      <c r="H1210" s="298"/>
      <c r="I1210" s="299"/>
      <c r="J1210" s="299"/>
      <c r="K1210" s="299"/>
      <c r="L1210" s="299"/>
      <c r="M1210" s="299"/>
      <c r="N1210" s="299"/>
      <c r="O1210" s="299"/>
      <c r="P1210" s="299"/>
      <c r="Q1210" s="299"/>
      <c r="R1210" s="299"/>
      <c r="S1210" s="299"/>
      <c r="T1210" s="299"/>
    </row>
    <row r="1211" ht="15.75" customHeight="1">
      <c r="G1211" s="298"/>
      <c r="H1211" s="298"/>
      <c r="I1211" s="299"/>
      <c r="J1211" s="299"/>
      <c r="K1211" s="299"/>
      <c r="L1211" s="299"/>
      <c r="M1211" s="299"/>
      <c r="N1211" s="299"/>
      <c r="O1211" s="299"/>
      <c r="P1211" s="299"/>
      <c r="Q1211" s="299"/>
      <c r="R1211" s="299"/>
      <c r="S1211" s="299"/>
      <c r="T1211" s="299"/>
    </row>
    <row r="1212" ht="15.75" customHeight="1">
      <c r="G1212" s="298"/>
      <c r="H1212" s="298"/>
      <c r="I1212" s="299"/>
      <c r="J1212" s="299"/>
      <c r="K1212" s="299"/>
      <c r="L1212" s="299"/>
      <c r="M1212" s="299"/>
      <c r="N1212" s="299"/>
      <c r="O1212" s="299"/>
      <c r="P1212" s="299"/>
      <c r="Q1212" s="299"/>
      <c r="R1212" s="299"/>
      <c r="S1212" s="299"/>
      <c r="T1212" s="299"/>
    </row>
    <row r="1213" ht="15.75" customHeight="1">
      <c r="G1213" s="298"/>
      <c r="H1213" s="298"/>
      <c r="I1213" s="299"/>
      <c r="J1213" s="299"/>
      <c r="K1213" s="299"/>
      <c r="L1213" s="299"/>
      <c r="M1213" s="299"/>
      <c r="N1213" s="299"/>
      <c r="O1213" s="299"/>
      <c r="P1213" s="299"/>
      <c r="Q1213" s="299"/>
      <c r="R1213" s="299"/>
      <c r="S1213" s="299"/>
      <c r="T1213" s="299"/>
    </row>
    <row r="1214" ht="15.75" customHeight="1">
      <c r="G1214" s="298"/>
      <c r="H1214" s="298"/>
      <c r="I1214" s="299"/>
      <c r="J1214" s="299"/>
      <c r="K1214" s="299"/>
      <c r="L1214" s="299"/>
      <c r="M1214" s="299"/>
      <c r="N1214" s="299"/>
      <c r="O1214" s="299"/>
      <c r="P1214" s="299"/>
      <c r="Q1214" s="299"/>
      <c r="R1214" s="299"/>
      <c r="S1214" s="299"/>
      <c r="T1214" s="299"/>
    </row>
    <row r="1215" ht="15.75" customHeight="1">
      <c r="G1215" s="298"/>
      <c r="H1215" s="298"/>
      <c r="I1215" s="299"/>
      <c r="J1215" s="299"/>
      <c r="K1215" s="299"/>
      <c r="L1215" s="299"/>
      <c r="M1215" s="299"/>
      <c r="N1215" s="299"/>
      <c r="O1215" s="299"/>
      <c r="P1215" s="299"/>
      <c r="Q1215" s="299"/>
      <c r="R1215" s="299"/>
      <c r="S1215" s="299"/>
      <c r="T1215" s="299"/>
    </row>
    <row r="1216" ht="15.75" customHeight="1">
      <c r="G1216" s="298"/>
      <c r="H1216" s="298"/>
      <c r="I1216" s="299"/>
      <c r="J1216" s="299"/>
      <c r="K1216" s="299"/>
      <c r="L1216" s="299"/>
      <c r="M1216" s="299"/>
      <c r="N1216" s="299"/>
      <c r="O1216" s="299"/>
      <c r="P1216" s="299"/>
      <c r="Q1216" s="299"/>
      <c r="R1216" s="299"/>
      <c r="S1216" s="299"/>
      <c r="T1216" s="299"/>
    </row>
    <row r="1217" ht="15.75" customHeight="1">
      <c r="G1217" s="298"/>
      <c r="H1217" s="298"/>
      <c r="I1217" s="299"/>
      <c r="J1217" s="299"/>
      <c r="K1217" s="299"/>
      <c r="L1217" s="299"/>
      <c r="M1217" s="299"/>
      <c r="N1217" s="299"/>
      <c r="O1217" s="299"/>
      <c r="P1217" s="299"/>
      <c r="Q1217" s="299"/>
      <c r="R1217" s="299"/>
      <c r="S1217" s="299"/>
      <c r="T1217" s="299"/>
    </row>
    <row r="1218" ht="15.75" customHeight="1">
      <c r="G1218" s="298"/>
      <c r="H1218" s="298"/>
      <c r="I1218" s="299"/>
      <c r="J1218" s="299"/>
      <c r="K1218" s="299"/>
      <c r="L1218" s="299"/>
      <c r="M1218" s="299"/>
      <c r="N1218" s="299"/>
      <c r="O1218" s="299"/>
      <c r="P1218" s="299"/>
      <c r="Q1218" s="299"/>
      <c r="R1218" s="299"/>
      <c r="S1218" s="299"/>
      <c r="T1218" s="299"/>
    </row>
    <row r="1219" ht="15.75" customHeight="1">
      <c r="G1219" s="298"/>
      <c r="H1219" s="298"/>
      <c r="I1219" s="299"/>
      <c r="J1219" s="299"/>
      <c r="K1219" s="299"/>
      <c r="L1219" s="299"/>
      <c r="M1219" s="299"/>
      <c r="N1219" s="299"/>
      <c r="O1219" s="299"/>
      <c r="P1219" s="299"/>
      <c r="Q1219" s="299"/>
      <c r="R1219" s="299"/>
      <c r="S1219" s="299"/>
      <c r="T1219" s="299"/>
    </row>
    <row r="1220" ht="15.75" customHeight="1">
      <c r="G1220" s="298"/>
      <c r="H1220" s="298"/>
      <c r="I1220" s="299"/>
      <c r="J1220" s="299"/>
      <c r="K1220" s="299"/>
      <c r="L1220" s="299"/>
      <c r="M1220" s="299"/>
      <c r="N1220" s="299"/>
      <c r="O1220" s="299"/>
      <c r="P1220" s="299"/>
      <c r="Q1220" s="299"/>
      <c r="R1220" s="299"/>
      <c r="S1220" s="299"/>
      <c r="T1220" s="299"/>
    </row>
    <row r="1221" ht="15.75" customHeight="1">
      <c r="G1221" s="298"/>
      <c r="H1221" s="298"/>
      <c r="I1221" s="299"/>
      <c r="J1221" s="299"/>
      <c r="K1221" s="299"/>
      <c r="L1221" s="299"/>
      <c r="M1221" s="299"/>
      <c r="N1221" s="299"/>
      <c r="O1221" s="299"/>
      <c r="P1221" s="299"/>
      <c r="Q1221" s="299"/>
      <c r="R1221" s="299"/>
      <c r="S1221" s="299"/>
      <c r="T1221" s="299"/>
    </row>
    <row r="1222" ht="15.75" customHeight="1">
      <c r="G1222" s="298"/>
      <c r="H1222" s="298"/>
      <c r="I1222" s="299"/>
      <c r="J1222" s="299"/>
      <c r="K1222" s="299"/>
      <c r="L1222" s="299"/>
      <c r="M1222" s="299"/>
      <c r="N1222" s="299"/>
      <c r="O1222" s="299"/>
      <c r="P1222" s="299"/>
      <c r="Q1222" s="299"/>
      <c r="R1222" s="299"/>
      <c r="S1222" s="299"/>
      <c r="T1222" s="299"/>
    </row>
    <row r="1223" ht="15.75" customHeight="1">
      <c r="G1223" s="298"/>
      <c r="H1223" s="298"/>
      <c r="I1223" s="299"/>
      <c r="J1223" s="299"/>
      <c r="K1223" s="299"/>
      <c r="L1223" s="299"/>
      <c r="M1223" s="299"/>
      <c r="N1223" s="299"/>
      <c r="O1223" s="299"/>
      <c r="P1223" s="299"/>
      <c r="Q1223" s="299"/>
      <c r="R1223" s="299"/>
      <c r="S1223" s="299"/>
      <c r="T1223" s="299"/>
    </row>
    <row r="1224" ht="15.75" customHeight="1">
      <c r="G1224" s="298"/>
      <c r="H1224" s="298"/>
      <c r="I1224" s="299"/>
      <c r="J1224" s="299"/>
      <c r="K1224" s="299"/>
      <c r="L1224" s="299"/>
      <c r="M1224" s="299"/>
      <c r="N1224" s="299"/>
      <c r="O1224" s="299"/>
      <c r="P1224" s="299"/>
      <c r="Q1224" s="299"/>
      <c r="R1224" s="299"/>
      <c r="S1224" s="299"/>
      <c r="T1224" s="299"/>
    </row>
    <row r="1225" ht="15.75" customHeight="1">
      <c r="G1225" s="298"/>
      <c r="H1225" s="298"/>
      <c r="I1225" s="299"/>
      <c r="J1225" s="299"/>
      <c r="K1225" s="299"/>
      <c r="L1225" s="299"/>
      <c r="M1225" s="299"/>
      <c r="N1225" s="299"/>
      <c r="O1225" s="299"/>
      <c r="P1225" s="299"/>
      <c r="Q1225" s="299"/>
      <c r="R1225" s="299"/>
      <c r="S1225" s="299"/>
      <c r="T1225" s="299"/>
    </row>
    <row r="1226" ht="15.75" customHeight="1">
      <c r="G1226" s="298"/>
      <c r="H1226" s="298"/>
      <c r="I1226" s="299"/>
      <c r="J1226" s="299"/>
      <c r="K1226" s="299"/>
      <c r="L1226" s="299"/>
      <c r="M1226" s="299"/>
      <c r="N1226" s="299"/>
      <c r="O1226" s="299"/>
      <c r="P1226" s="299"/>
      <c r="Q1226" s="299"/>
      <c r="R1226" s="299"/>
      <c r="S1226" s="299"/>
      <c r="T1226" s="299"/>
    </row>
    <row r="1227" ht="15.75" customHeight="1">
      <c r="G1227" s="298"/>
      <c r="H1227" s="298"/>
      <c r="I1227" s="299"/>
      <c r="J1227" s="299"/>
      <c r="K1227" s="299"/>
      <c r="L1227" s="299"/>
      <c r="M1227" s="299"/>
      <c r="N1227" s="299"/>
      <c r="O1227" s="299"/>
      <c r="P1227" s="299"/>
      <c r="Q1227" s="299"/>
      <c r="R1227" s="299"/>
      <c r="S1227" s="299"/>
      <c r="T1227" s="299"/>
    </row>
    <row r="1228" ht="15.75" customHeight="1">
      <c r="G1228" s="298"/>
      <c r="H1228" s="298"/>
      <c r="I1228" s="299"/>
      <c r="J1228" s="299"/>
      <c r="K1228" s="299"/>
      <c r="L1228" s="299"/>
      <c r="M1228" s="299"/>
      <c r="N1228" s="299"/>
      <c r="O1228" s="299"/>
      <c r="P1228" s="299"/>
      <c r="Q1228" s="299"/>
      <c r="R1228" s="299"/>
      <c r="S1228" s="299"/>
      <c r="T1228" s="299"/>
    </row>
    <row r="1229" ht="15.75" customHeight="1">
      <c r="G1229" s="298"/>
      <c r="H1229" s="298"/>
      <c r="I1229" s="299"/>
      <c r="J1229" s="299"/>
      <c r="K1229" s="299"/>
      <c r="L1229" s="299"/>
      <c r="M1229" s="299"/>
      <c r="N1229" s="299"/>
      <c r="O1229" s="299"/>
      <c r="P1229" s="299"/>
      <c r="Q1229" s="299"/>
      <c r="R1229" s="299"/>
      <c r="S1229" s="299"/>
      <c r="T1229" s="299"/>
    </row>
    <row r="1230" ht="15.75" customHeight="1">
      <c r="G1230" s="298"/>
      <c r="H1230" s="298"/>
      <c r="I1230" s="299"/>
      <c r="J1230" s="299"/>
      <c r="K1230" s="299"/>
      <c r="L1230" s="299"/>
      <c r="M1230" s="299"/>
      <c r="N1230" s="299"/>
      <c r="O1230" s="299"/>
      <c r="P1230" s="299"/>
      <c r="Q1230" s="299"/>
      <c r="R1230" s="299"/>
      <c r="S1230" s="299"/>
      <c r="T1230" s="299"/>
    </row>
    <row r="1231" ht="15.75" customHeight="1">
      <c r="G1231" s="298"/>
      <c r="H1231" s="298"/>
      <c r="I1231" s="299"/>
      <c r="J1231" s="299"/>
      <c r="K1231" s="299"/>
      <c r="L1231" s="299"/>
      <c r="M1231" s="299"/>
      <c r="N1231" s="299"/>
      <c r="O1231" s="299"/>
      <c r="P1231" s="299"/>
      <c r="Q1231" s="299"/>
      <c r="R1231" s="299"/>
      <c r="S1231" s="299"/>
      <c r="T1231" s="299"/>
    </row>
    <row r="1232" ht="15.75" customHeight="1">
      <c r="G1232" s="298"/>
      <c r="H1232" s="298"/>
      <c r="I1232" s="299"/>
      <c r="J1232" s="299"/>
      <c r="K1232" s="299"/>
      <c r="L1232" s="299"/>
      <c r="M1232" s="299"/>
      <c r="N1232" s="299"/>
      <c r="O1232" s="299"/>
      <c r="P1232" s="299"/>
      <c r="Q1232" s="299"/>
      <c r="R1232" s="299"/>
      <c r="S1232" s="299"/>
      <c r="T1232" s="299"/>
    </row>
    <row r="1233" ht="15.75" customHeight="1">
      <c r="G1233" s="298"/>
      <c r="H1233" s="298"/>
      <c r="I1233" s="299"/>
      <c r="J1233" s="299"/>
      <c r="K1233" s="299"/>
      <c r="L1233" s="299"/>
      <c r="M1233" s="299"/>
      <c r="N1233" s="299"/>
      <c r="O1233" s="299"/>
      <c r="P1233" s="299"/>
      <c r="Q1233" s="299"/>
      <c r="R1233" s="299"/>
      <c r="S1233" s="299"/>
      <c r="T1233" s="299"/>
    </row>
    <row r="1234" ht="15.75" customHeight="1">
      <c r="G1234" s="298"/>
      <c r="H1234" s="298"/>
      <c r="I1234" s="299"/>
      <c r="J1234" s="299"/>
      <c r="K1234" s="299"/>
      <c r="L1234" s="299"/>
      <c r="M1234" s="299"/>
      <c r="N1234" s="299"/>
      <c r="O1234" s="299"/>
      <c r="P1234" s="299"/>
      <c r="Q1234" s="299"/>
      <c r="R1234" s="299"/>
      <c r="S1234" s="299"/>
      <c r="T1234" s="299"/>
    </row>
    <row r="1235" ht="15.75" customHeight="1">
      <c r="G1235" s="298"/>
      <c r="H1235" s="298"/>
      <c r="I1235" s="299"/>
      <c r="J1235" s="299"/>
      <c r="K1235" s="299"/>
      <c r="L1235" s="299"/>
      <c r="M1235" s="299"/>
      <c r="N1235" s="299"/>
      <c r="O1235" s="299"/>
      <c r="P1235" s="299"/>
      <c r="Q1235" s="299"/>
      <c r="R1235" s="299"/>
      <c r="S1235" s="299"/>
      <c r="T1235" s="299"/>
    </row>
    <row r="1236" ht="15.75" customHeight="1">
      <c r="G1236" s="298"/>
      <c r="H1236" s="298"/>
      <c r="I1236" s="299"/>
      <c r="J1236" s="299"/>
      <c r="K1236" s="299"/>
      <c r="L1236" s="299"/>
      <c r="M1236" s="299"/>
      <c r="N1236" s="299"/>
      <c r="O1236" s="299"/>
      <c r="P1236" s="299"/>
      <c r="Q1236" s="299"/>
      <c r="R1236" s="299"/>
      <c r="S1236" s="299"/>
      <c r="T1236" s="299"/>
    </row>
    <row r="1237" ht="15.75" customHeight="1">
      <c r="G1237" s="298"/>
      <c r="H1237" s="298"/>
      <c r="I1237" s="299"/>
      <c r="J1237" s="299"/>
      <c r="K1237" s="299"/>
      <c r="L1237" s="299"/>
      <c r="M1237" s="299"/>
      <c r="N1237" s="299"/>
      <c r="O1237" s="299"/>
      <c r="P1237" s="299"/>
      <c r="Q1237" s="299"/>
      <c r="R1237" s="299"/>
      <c r="S1237" s="299"/>
      <c r="T1237" s="299"/>
    </row>
    <row r="1238" ht="15.75" customHeight="1">
      <c r="G1238" s="298"/>
      <c r="H1238" s="298"/>
      <c r="I1238" s="299"/>
      <c r="J1238" s="299"/>
      <c r="K1238" s="299"/>
      <c r="L1238" s="299"/>
      <c r="M1238" s="299"/>
      <c r="N1238" s="299"/>
      <c r="O1238" s="299"/>
      <c r="P1238" s="299"/>
      <c r="Q1238" s="299"/>
      <c r="R1238" s="299"/>
      <c r="S1238" s="299"/>
      <c r="T1238" s="299"/>
    </row>
    <row r="1239" ht="15.75" customHeight="1">
      <c r="G1239" s="298"/>
      <c r="H1239" s="298"/>
      <c r="I1239" s="299"/>
      <c r="J1239" s="299"/>
      <c r="K1239" s="299"/>
      <c r="L1239" s="299"/>
      <c r="M1239" s="299"/>
      <c r="N1239" s="299"/>
      <c r="O1239" s="299"/>
      <c r="P1239" s="299"/>
      <c r="Q1239" s="299"/>
      <c r="R1239" s="299"/>
      <c r="S1239" s="299"/>
      <c r="T1239" s="299"/>
    </row>
    <row r="1240" ht="15.75" customHeight="1">
      <c r="G1240" s="298"/>
      <c r="H1240" s="298"/>
      <c r="I1240" s="299"/>
      <c r="J1240" s="299"/>
      <c r="K1240" s="299"/>
      <c r="L1240" s="299"/>
      <c r="M1240" s="299"/>
      <c r="N1240" s="299"/>
      <c r="O1240" s="299"/>
      <c r="P1240" s="299"/>
      <c r="Q1240" s="299"/>
      <c r="R1240" s="299"/>
      <c r="S1240" s="299"/>
      <c r="T1240" s="299"/>
    </row>
    <row r="1241" ht="15.75" customHeight="1">
      <c r="G1241" s="298"/>
      <c r="H1241" s="298"/>
      <c r="I1241" s="299"/>
      <c r="J1241" s="299"/>
      <c r="K1241" s="299"/>
      <c r="L1241" s="299"/>
      <c r="M1241" s="299"/>
      <c r="N1241" s="299"/>
      <c r="O1241" s="299"/>
      <c r="P1241" s="299"/>
      <c r="Q1241" s="299"/>
      <c r="R1241" s="299"/>
      <c r="S1241" s="299"/>
      <c r="T1241" s="299"/>
    </row>
    <row r="1242" ht="15.75" customHeight="1">
      <c r="G1242" s="298"/>
      <c r="H1242" s="298"/>
      <c r="I1242" s="299"/>
      <c r="J1242" s="299"/>
      <c r="K1242" s="299"/>
      <c r="L1242" s="299"/>
      <c r="M1242" s="299"/>
      <c r="N1242" s="299"/>
      <c r="O1242" s="299"/>
      <c r="P1242" s="299"/>
      <c r="Q1242" s="299"/>
      <c r="R1242" s="299"/>
      <c r="S1242" s="299"/>
      <c r="T1242" s="299"/>
    </row>
    <row r="1243" ht="15.75" customHeight="1">
      <c r="G1243" s="298"/>
      <c r="H1243" s="298"/>
      <c r="I1243" s="299"/>
      <c r="J1243" s="299"/>
      <c r="K1243" s="299"/>
      <c r="L1243" s="299"/>
      <c r="M1243" s="299"/>
      <c r="N1243" s="299"/>
      <c r="O1243" s="299"/>
      <c r="P1243" s="299"/>
      <c r="Q1243" s="299"/>
      <c r="R1243" s="299"/>
      <c r="S1243" s="299"/>
      <c r="T1243" s="299"/>
    </row>
    <row r="1244" ht="15.75" customHeight="1">
      <c r="G1244" s="298"/>
      <c r="H1244" s="298"/>
      <c r="I1244" s="299"/>
      <c r="J1244" s="299"/>
      <c r="K1244" s="299"/>
      <c r="L1244" s="299"/>
      <c r="M1244" s="299"/>
      <c r="N1244" s="299"/>
      <c r="O1244" s="299"/>
      <c r="P1244" s="299"/>
      <c r="Q1244" s="299"/>
      <c r="R1244" s="299"/>
      <c r="S1244" s="299"/>
      <c r="T1244" s="299"/>
    </row>
    <row r="1245" ht="15.75" customHeight="1">
      <c r="G1245" s="298"/>
      <c r="H1245" s="298"/>
      <c r="I1245" s="299"/>
      <c r="J1245" s="299"/>
      <c r="K1245" s="299"/>
      <c r="L1245" s="299"/>
      <c r="M1245" s="299"/>
      <c r="N1245" s="299"/>
      <c r="O1245" s="299"/>
      <c r="P1245" s="299"/>
      <c r="Q1245" s="299"/>
      <c r="R1245" s="299"/>
      <c r="S1245" s="299"/>
      <c r="T1245" s="299"/>
    </row>
    <row r="1246" ht="15.75" customHeight="1">
      <c r="G1246" s="298"/>
      <c r="H1246" s="298"/>
      <c r="I1246" s="299"/>
      <c r="J1246" s="299"/>
      <c r="K1246" s="299"/>
      <c r="L1246" s="299"/>
      <c r="M1246" s="299"/>
      <c r="N1246" s="299"/>
      <c r="O1246" s="299"/>
      <c r="P1246" s="299"/>
      <c r="Q1246" s="299"/>
      <c r="R1246" s="299"/>
      <c r="S1246" s="299"/>
      <c r="T1246" s="299"/>
    </row>
    <row r="1247" ht="15.75" customHeight="1">
      <c r="G1247" s="298"/>
      <c r="H1247" s="298"/>
      <c r="I1247" s="299"/>
      <c r="J1247" s="299"/>
      <c r="K1247" s="299"/>
      <c r="L1247" s="299"/>
      <c r="M1247" s="299"/>
      <c r="N1247" s="299"/>
      <c r="O1247" s="299"/>
      <c r="P1247" s="299"/>
      <c r="Q1247" s="299"/>
      <c r="R1247" s="299"/>
      <c r="S1247" s="299"/>
      <c r="T1247" s="299"/>
    </row>
    <row r="1248" ht="15.75" customHeight="1">
      <c r="G1248" s="298"/>
      <c r="H1248" s="298"/>
      <c r="I1248" s="299"/>
      <c r="J1248" s="299"/>
      <c r="K1248" s="299"/>
      <c r="L1248" s="299"/>
      <c r="M1248" s="299"/>
      <c r="N1248" s="299"/>
      <c r="O1248" s="299"/>
      <c r="P1248" s="299"/>
      <c r="Q1248" s="299"/>
      <c r="R1248" s="299"/>
      <c r="S1248" s="299"/>
      <c r="T1248" s="299"/>
    </row>
    <row r="1249" ht="15.75" customHeight="1">
      <c r="G1249" s="298"/>
      <c r="H1249" s="298"/>
      <c r="I1249" s="299"/>
      <c r="J1249" s="299"/>
      <c r="K1249" s="299"/>
      <c r="L1249" s="299"/>
      <c r="M1249" s="299"/>
      <c r="N1249" s="299"/>
      <c r="O1249" s="299"/>
      <c r="P1249" s="299"/>
      <c r="Q1249" s="299"/>
      <c r="R1249" s="299"/>
      <c r="S1249" s="299"/>
      <c r="T1249" s="299"/>
    </row>
    <row r="1250" ht="15.75" customHeight="1">
      <c r="G1250" s="298"/>
      <c r="H1250" s="298"/>
      <c r="I1250" s="299"/>
      <c r="J1250" s="299"/>
      <c r="K1250" s="299"/>
      <c r="L1250" s="299"/>
      <c r="M1250" s="299"/>
      <c r="N1250" s="299"/>
      <c r="O1250" s="299"/>
      <c r="P1250" s="299"/>
      <c r="Q1250" s="299"/>
      <c r="R1250" s="299"/>
      <c r="S1250" s="299"/>
      <c r="T1250" s="299"/>
    </row>
    <row r="1251" ht="15.75" customHeight="1">
      <c r="G1251" s="298"/>
      <c r="H1251" s="298"/>
      <c r="I1251" s="299"/>
      <c r="J1251" s="299"/>
      <c r="K1251" s="299"/>
      <c r="L1251" s="299"/>
      <c r="M1251" s="299"/>
      <c r="N1251" s="299"/>
      <c r="O1251" s="299"/>
      <c r="P1251" s="299"/>
      <c r="Q1251" s="299"/>
      <c r="R1251" s="299"/>
      <c r="S1251" s="299"/>
      <c r="T1251" s="299"/>
    </row>
    <row r="1252" ht="15.75" customHeight="1">
      <c r="G1252" s="298"/>
      <c r="H1252" s="298"/>
      <c r="I1252" s="299"/>
      <c r="J1252" s="299"/>
      <c r="K1252" s="299"/>
      <c r="L1252" s="299"/>
      <c r="M1252" s="299"/>
      <c r="N1252" s="299"/>
      <c r="O1252" s="299"/>
      <c r="P1252" s="299"/>
      <c r="Q1252" s="299"/>
      <c r="R1252" s="299"/>
      <c r="S1252" s="299"/>
      <c r="T1252" s="299"/>
    </row>
    <row r="1253" ht="15.75" customHeight="1">
      <c r="G1253" s="298"/>
      <c r="H1253" s="298"/>
      <c r="I1253" s="299"/>
      <c r="J1253" s="299"/>
      <c r="K1253" s="299"/>
      <c r="L1253" s="299"/>
      <c r="M1253" s="299"/>
      <c r="N1253" s="299"/>
      <c r="O1253" s="299"/>
      <c r="P1253" s="299"/>
      <c r="Q1253" s="299"/>
      <c r="R1253" s="299"/>
      <c r="S1253" s="299"/>
      <c r="T1253" s="299"/>
    </row>
    <row r="1254" ht="15.75" customHeight="1">
      <c r="G1254" s="298"/>
      <c r="H1254" s="298"/>
      <c r="I1254" s="299"/>
      <c r="J1254" s="299"/>
      <c r="K1254" s="299"/>
      <c r="L1254" s="299"/>
      <c r="M1254" s="299"/>
      <c r="N1254" s="299"/>
      <c r="O1254" s="299"/>
      <c r="P1254" s="299"/>
      <c r="Q1254" s="299"/>
      <c r="R1254" s="299"/>
      <c r="S1254" s="299"/>
      <c r="T1254" s="299"/>
    </row>
    <row r="1255" ht="15.75" customHeight="1">
      <c r="G1255" s="298"/>
      <c r="H1255" s="298"/>
      <c r="I1255" s="299"/>
      <c r="J1255" s="299"/>
      <c r="K1255" s="299"/>
      <c r="L1255" s="299"/>
      <c r="M1255" s="299"/>
      <c r="N1255" s="299"/>
      <c r="O1255" s="299"/>
      <c r="P1255" s="299"/>
      <c r="Q1255" s="299"/>
      <c r="R1255" s="299"/>
      <c r="S1255" s="299"/>
      <c r="T1255" s="299"/>
    </row>
    <row r="1256" ht="15.75" customHeight="1">
      <c r="G1256" s="298"/>
      <c r="H1256" s="298"/>
      <c r="I1256" s="299"/>
      <c r="J1256" s="299"/>
      <c r="K1256" s="299"/>
      <c r="L1256" s="299"/>
      <c r="M1256" s="299"/>
      <c r="N1256" s="299"/>
      <c r="O1256" s="299"/>
      <c r="P1256" s="299"/>
      <c r="Q1256" s="299"/>
      <c r="R1256" s="299"/>
      <c r="S1256" s="299"/>
      <c r="T1256" s="299"/>
    </row>
    <row r="1257" ht="15.75" customHeight="1">
      <c r="G1257" s="298"/>
      <c r="H1257" s="298"/>
      <c r="I1257" s="299"/>
      <c r="J1257" s="299"/>
      <c r="K1257" s="299"/>
      <c r="L1257" s="299"/>
      <c r="M1257" s="299"/>
      <c r="N1257" s="299"/>
      <c r="O1257" s="299"/>
      <c r="P1257" s="299"/>
      <c r="Q1257" s="299"/>
      <c r="R1257" s="299"/>
      <c r="S1257" s="299"/>
      <c r="T1257" s="299"/>
    </row>
    <row r="1258" ht="15.75" customHeight="1">
      <c r="G1258" s="298"/>
      <c r="H1258" s="298"/>
      <c r="I1258" s="299"/>
      <c r="J1258" s="299"/>
      <c r="K1258" s="299"/>
      <c r="L1258" s="299"/>
      <c r="M1258" s="299"/>
      <c r="N1258" s="299"/>
      <c r="O1258" s="299"/>
      <c r="P1258" s="299"/>
      <c r="Q1258" s="299"/>
      <c r="R1258" s="299"/>
      <c r="S1258" s="299"/>
      <c r="T1258" s="299"/>
    </row>
    <row r="1259" ht="15.75" customHeight="1">
      <c r="G1259" s="298"/>
      <c r="H1259" s="298"/>
      <c r="I1259" s="299"/>
      <c r="J1259" s="299"/>
      <c r="K1259" s="299"/>
      <c r="L1259" s="299"/>
      <c r="M1259" s="299"/>
      <c r="N1259" s="299"/>
      <c r="O1259" s="299"/>
      <c r="P1259" s="299"/>
      <c r="Q1259" s="299"/>
      <c r="R1259" s="299"/>
      <c r="S1259" s="299"/>
      <c r="T1259" s="299"/>
    </row>
    <row r="1260" ht="15.75" customHeight="1">
      <c r="G1260" s="298"/>
      <c r="H1260" s="298"/>
      <c r="I1260" s="299"/>
      <c r="J1260" s="299"/>
      <c r="K1260" s="299"/>
      <c r="L1260" s="299"/>
      <c r="M1260" s="299"/>
      <c r="N1260" s="299"/>
      <c r="O1260" s="299"/>
      <c r="P1260" s="299"/>
      <c r="Q1260" s="299"/>
      <c r="R1260" s="299"/>
      <c r="S1260" s="299"/>
      <c r="T1260" s="299"/>
    </row>
    <row r="1261" ht="15.75" customHeight="1">
      <c r="G1261" s="298"/>
      <c r="H1261" s="298"/>
      <c r="I1261" s="299"/>
      <c r="J1261" s="299"/>
      <c r="K1261" s="299"/>
      <c r="L1261" s="299"/>
      <c r="M1261" s="299"/>
      <c r="N1261" s="299"/>
      <c r="O1261" s="299"/>
      <c r="P1261" s="299"/>
      <c r="Q1261" s="299"/>
      <c r="R1261" s="299"/>
      <c r="S1261" s="299"/>
      <c r="T1261" s="299"/>
    </row>
    <row r="1262" ht="15.75" customHeight="1">
      <c r="G1262" s="298"/>
      <c r="H1262" s="298"/>
      <c r="I1262" s="299"/>
      <c r="J1262" s="299"/>
      <c r="K1262" s="299"/>
      <c r="L1262" s="299"/>
      <c r="M1262" s="299"/>
      <c r="N1262" s="299"/>
      <c r="O1262" s="299"/>
      <c r="P1262" s="299"/>
      <c r="Q1262" s="299"/>
      <c r="R1262" s="299"/>
      <c r="S1262" s="299"/>
      <c r="T1262" s="299"/>
    </row>
    <row r="1263" ht="15.75" customHeight="1">
      <c r="G1263" s="298"/>
      <c r="H1263" s="298"/>
      <c r="I1263" s="299"/>
      <c r="J1263" s="299"/>
      <c r="K1263" s="299"/>
      <c r="L1263" s="299"/>
      <c r="M1263" s="299"/>
      <c r="N1263" s="299"/>
      <c r="O1263" s="299"/>
      <c r="P1263" s="299"/>
      <c r="Q1263" s="299"/>
      <c r="R1263" s="299"/>
      <c r="S1263" s="299"/>
      <c r="T1263" s="299"/>
    </row>
    <row r="1264" ht="15.75" customHeight="1">
      <c r="G1264" s="298"/>
      <c r="H1264" s="298"/>
      <c r="I1264" s="299"/>
      <c r="J1264" s="299"/>
      <c r="K1264" s="299"/>
      <c r="L1264" s="299"/>
      <c r="M1264" s="299"/>
      <c r="N1264" s="299"/>
      <c r="O1264" s="299"/>
      <c r="P1264" s="299"/>
      <c r="Q1264" s="299"/>
      <c r="R1264" s="299"/>
      <c r="S1264" s="299"/>
      <c r="T1264" s="299"/>
    </row>
    <row r="1265" ht="15.75" customHeight="1">
      <c r="G1265" s="298"/>
      <c r="H1265" s="298"/>
      <c r="I1265" s="299"/>
      <c r="J1265" s="299"/>
      <c r="K1265" s="299"/>
      <c r="L1265" s="299"/>
      <c r="M1265" s="299"/>
      <c r="N1265" s="299"/>
      <c r="O1265" s="299"/>
      <c r="P1265" s="299"/>
      <c r="Q1265" s="299"/>
      <c r="R1265" s="299"/>
      <c r="S1265" s="299"/>
      <c r="T1265" s="299"/>
    </row>
    <row r="1266" ht="15.75" customHeight="1">
      <c r="G1266" s="298"/>
      <c r="H1266" s="298"/>
      <c r="I1266" s="299"/>
      <c r="J1266" s="299"/>
      <c r="K1266" s="299"/>
      <c r="L1266" s="299"/>
      <c r="M1266" s="299"/>
      <c r="N1266" s="299"/>
      <c r="O1266" s="299"/>
      <c r="P1266" s="299"/>
      <c r="Q1266" s="299"/>
      <c r="R1266" s="299"/>
      <c r="S1266" s="299"/>
      <c r="T1266" s="299"/>
    </row>
    <row r="1267" ht="15.75" customHeight="1">
      <c r="G1267" s="298"/>
      <c r="H1267" s="298"/>
      <c r="I1267" s="299"/>
      <c r="J1267" s="299"/>
      <c r="K1267" s="299"/>
      <c r="L1267" s="299"/>
      <c r="M1267" s="299"/>
      <c r="N1267" s="299"/>
      <c r="O1267" s="299"/>
      <c r="P1267" s="299"/>
      <c r="Q1267" s="299"/>
      <c r="R1267" s="299"/>
      <c r="S1267" s="299"/>
      <c r="T1267" s="299"/>
    </row>
    <row r="1268" ht="15.75" customHeight="1">
      <c r="G1268" s="298"/>
      <c r="H1268" s="298"/>
      <c r="I1268" s="299"/>
      <c r="J1268" s="299"/>
      <c r="K1268" s="299"/>
      <c r="L1268" s="299"/>
      <c r="M1268" s="299"/>
      <c r="N1268" s="299"/>
      <c r="O1268" s="299"/>
      <c r="P1268" s="299"/>
      <c r="Q1268" s="299"/>
      <c r="R1268" s="299"/>
      <c r="S1268" s="299"/>
      <c r="T1268" s="299"/>
    </row>
    <row r="1269" ht="15.75" customHeight="1">
      <c r="G1269" s="298"/>
      <c r="H1269" s="298"/>
      <c r="I1269" s="299"/>
      <c r="J1269" s="299"/>
      <c r="K1269" s="299"/>
      <c r="L1269" s="299"/>
      <c r="M1269" s="299"/>
      <c r="N1269" s="299"/>
      <c r="O1269" s="299"/>
      <c r="P1269" s="299"/>
      <c r="Q1269" s="299"/>
      <c r="R1269" s="299"/>
      <c r="S1269" s="299"/>
      <c r="T1269" s="299"/>
    </row>
    <row r="1270" ht="15.75" customHeight="1">
      <c r="G1270" s="298"/>
      <c r="H1270" s="298"/>
      <c r="I1270" s="299"/>
      <c r="J1270" s="299"/>
      <c r="K1270" s="299"/>
      <c r="L1270" s="299"/>
      <c r="M1270" s="299"/>
      <c r="N1270" s="299"/>
      <c r="O1270" s="299"/>
      <c r="P1270" s="299"/>
      <c r="Q1270" s="299"/>
      <c r="R1270" s="299"/>
      <c r="S1270" s="299"/>
      <c r="T1270" s="299"/>
    </row>
    <row r="1271" ht="15.75" customHeight="1">
      <c r="G1271" s="298"/>
      <c r="H1271" s="298"/>
      <c r="I1271" s="299"/>
      <c r="J1271" s="299"/>
      <c r="K1271" s="299"/>
      <c r="L1271" s="299"/>
      <c r="M1271" s="299"/>
      <c r="N1271" s="299"/>
      <c r="O1271" s="299"/>
      <c r="P1271" s="299"/>
      <c r="Q1271" s="299"/>
      <c r="R1271" s="299"/>
      <c r="S1271" s="299"/>
      <c r="T1271" s="299"/>
    </row>
    <row r="1272" ht="15.75" customHeight="1">
      <c r="G1272" s="298"/>
      <c r="H1272" s="298"/>
      <c r="I1272" s="299"/>
      <c r="J1272" s="299"/>
      <c r="K1272" s="299"/>
      <c r="L1272" s="299"/>
      <c r="M1272" s="299"/>
      <c r="N1272" s="299"/>
      <c r="O1272" s="299"/>
      <c r="P1272" s="299"/>
      <c r="Q1272" s="299"/>
      <c r="R1272" s="299"/>
      <c r="S1272" s="299"/>
      <c r="T1272" s="299"/>
    </row>
    <row r="1273" ht="15.75" customHeight="1">
      <c r="G1273" s="298"/>
      <c r="H1273" s="298"/>
      <c r="I1273" s="299"/>
      <c r="J1273" s="299"/>
      <c r="K1273" s="299"/>
      <c r="L1273" s="299"/>
      <c r="M1273" s="299"/>
      <c r="N1273" s="299"/>
      <c r="O1273" s="299"/>
      <c r="P1273" s="299"/>
      <c r="Q1273" s="299"/>
      <c r="R1273" s="299"/>
      <c r="S1273" s="299"/>
      <c r="T1273" s="299"/>
    </row>
    <row r="1274" ht="15.75" customHeight="1">
      <c r="G1274" s="298"/>
      <c r="H1274" s="298"/>
      <c r="I1274" s="299"/>
      <c r="J1274" s="299"/>
      <c r="K1274" s="299"/>
      <c r="L1274" s="299"/>
      <c r="M1274" s="299"/>
      <c r="N1274" s="299"/>
      <c r="O1274" s="299"/>
      <c r="P1274" s="299"/>
      <c r="Q1274" s="299"/>
      <c r="R1274" s="299"/>
      <c r="S1274" s="299"/>
      <c r="T1274" s="299"/>
    </row>
    <row r="1275" ht="15.75" customHeight="1">
      <c r="G1275" s="298"/>
      <c r="H1275" s="298"/>
      <c r="I1275" s="299"/>
      <c r="J1275" s="299"/>
      <c r="K1275" s="299"/>
      <c r="L1275" s="299"/>
      <c r="M1275" s="299"/>
      <c r="N1275" s="299"/>
      <c r="O1275" s="299"/>
      <c r="P1275" s="299"/>
      <c r="Q1275" s="299"/>
      <c r="R1275" s="299"/>
      <c r="S1275" s="299"/>
      <c r="T1275" s="299"/>
    </row>
    <row r="1276" ht="15.75" customHeight="1">
      <c r="G1276" s="298"/>
      <c r="H1276" s="298"/>
      <c r="I1276" s="299"/>
      <c r="J1276" s="299"/>
      <c r="K1276" s="299"/>
      <c r="L1276" s="299"/>
      <c r="M1276" s="299"/>
      <c r="N1276" s="299"/>
      <c r="O1276" s="299"/>
      <c r="P1276" s="299"/>
      <c r="Q1276" s="299"/>
      <c r="R1276" s="299"/>
      <c r="S1276" s="299"/>
      <c r="T1276" s="299"/>
    </row>
    <row r="1277" ht="15.75" customHeight="1">
      <c r="G1277" s="298"/>
      <c r="H1277" s="298"/>
      <c r="I1277" s="299"/>
      <c r="J1277" s="299"/>
      <c r="K1277" s="299"/>
      <c r="L1277" s="299"/>
      <c r="M1277" s="299"/>
      <c r="N1277" s="299"/>
      <c r="O1277" s="299"/>
      <c r="P1277" s="299"/>
      <c r="Q1277" s="299"/>
      <c r="R1277" s="299"/>
      <c r="S1277" s="299"/>
      <c r="T1277" s="299"/>
    </row>
    <row r="1278" ht="15.75" customHeight="1">
      <c r="G1278" s="298"/>
      <c r="H1278" s="298"/>
      <c r="I1278" s="299"/>
      <c r="J1278" s="299"/>
      <c r="K1278" s="299"/>
      <c r="L1278" s="299"/>
      <c r="M1278" s="299"/>
      <c r="N1278" s="299"/>
      <c r="O1278" s="299"/>
      <c r="P1278" s="299"/>
      <c r="Q1278" s="299"/>
      <c r="R1278" s="299"/>
      <c r="S1278" s="299"/>
      <c r="T1278" s="299"/>
    </row>
    <row r="1279" ht="15.75" customHeight="1">
      <c r="G1279" s="298"/>
      <c r="H1279" s="298"/>
      <c r="I1279" s="299"/>
      <c r="J1279" s="299"/>
      <c r="K1279" s="299"/>
      <c r="L1279" s="299"/>
      <c r="M1279" s="299"/>
      <c r="N1279" s="299"/>
      <c r="O1279" s="299"/>
      <c r="P1279" s="299"/>
      <c r="Q1279" s="299"/>
      <c r="R1279" s="299"/>
      <c r="S1279" s="299"/>
      <c r="T1279" s="299"/>
    </row>
    <row r="1280" ht="15.75" customHeight="1">
      <c r="G1280" s="298"/>
      <c r="H1280" s="298"/>
      <c r="I1280" s="299"/>
      <c r="J1280" s="299"/>
      <c r="K1280" s="299"/>
      <c r="L1280" s="299"/>
      <c r="M1280" s="299"/>
      <c r="N1280" s="299"/>
      <c r="O1280" s="299"/>
      <c r="P1280" s="299"/>
      <c r="Q1280" s="299"/>
      <c r="R1280" s="299"/>
      <c r="S1280" s="299"/>
      <c r="T1280" s="299"/>
    </row>
    <row r="1281" ht="15.75" customHeight="1">
      <c r="G1281" s="298"/>
      <c r="H1281" s="298"/>
      <c r="I1281" s="299"/>
      <c r="J1281" s="299"/>
      <c r="K1281" s="299"/>
      <c r="L1281" s="299"/>
      <c r="M1281" s="299"/>
      <c r="N1281" s="299"/>
      <c r="O1281" s="299"/>
      <c r="P1281" s="299"/>
      <c r="Q1281" s="299"/>
      <c r="R1281" s="299"/>
      <c r="S1281" s="299"/>
      <c r="T1281" s="299"/>
    </row>
    <row r="1282" ht="15.75" customHeight="1">
      <c r="G1282" s="298"/>
      <c r="H1282" s="298"/>
      <c r="I1282" s="299"/>
      <c r="J1282" s="299"/>
      <c r="K1282" s="299"/>
      <c r="L1282" s="299"/>
      <c r="M1282" s="299"/>
      <c r="N1282" s="299"/>
      <c r="O1282" s="299"/>
      <c r="P1282" s="299"/>
      <c r="Q1282" s="299"/>
      <c r="R1282" s="299"/>
      <c r="S1282" s="299"/>
      <c r="T1282" s="299"/>
    </row>
    <row r="1283" ht="15.75" customHeight="1">
      <c r="G1283" s="298"/>
      <c r="H1283" s="298"/>
      <c r="I1283" s="299"/>
      <c r="J1283" s="299"/>
      <c r="K1283" s="299"/>
      <c r="L1283" s="299"/>
      <c r="M1283" s="299"/>
      <c r="N1283" s="299"/>
      <c r="O1283" s="299"/>
      <c r="P1283" s="299"/>
      <c r="Q1283" s="299"/>
      <c r="R1283" s="299"/>
      <c r="S1283" s="299"/>
      <c r="T1283" s="299"/>
    </row>
    <row r="1284" ht="15.75" customHeight="1">
      <c r="G1284" s="298"/>
      <c r="H1284" s="298"/>
      <c r="I1284" s="299"/>
      <c r="J1284" s="299"/>
      <c r="K1284" s="299"/>
      <c r="L1284" s="299"/>
      <c r="M1284" s="299"/>
      <c r="N1284" s="299"/>
      <c r="O1284" s="299"/>
      <c r="P1284" s="299"/>
      <c r="Q1284" s="299"/>
      <c r="R1284" s="299"/>
      <c r="S1284" s="299"/>
      <c r="T1284" s="299"/>
    </row>
    <row r="1285" ht="15.75" customHeight="1">
      <c r="G1285" s="298"/>
      <c r="H1285" s="298"/>
      <c r="I1285" s="299"/>
      <c r="J1285" s="299"/>
      <c r="K1285" s="299"/>
      <c r="L1285" s="299"/>
      <c r="M1285" s="299"/>
      <c r="N1285" s="299"/>
      <c r="O1285" s="299"/>
      <c r="P1285" s="299"/>
      <c r="Q1285" s="299"/>
      <c r="R1285" s="299"/>
      <c r="S1285" s="299"/>
      <c r="T1285" s="299"/>
    </row>
    <row r="1286" ht="15.75" customHeight="1">
      <c r="G1286" s="298"/>
      <c r="H1286" s="298"/>
      <c r="I1286" s="299"/>
      <c r="J1286" s="299"/>
      <c r="K1286" s="299"/>
      <c r="L1286" s="299"/>
      <c r="M1286" s="299"/>
      <c r="N1286" s="299"/>
      <c r="O1286" s="299"/>
      <c r="P1286" s="299"/>
      <c r="Q1286" s="299"/>
      <c r="R1286" s="299"/>
      <c r="S1286" s="299"/>
      <c r="T1286" s="299"/>
    </row>
    <row r="1287" ht="15.75" customHeight="1">
      <c r="G1287" s="298"/>
      <c r="H1287" s="298"/>
      <c r="I1287" s="299"/>
      <c r="J1287" s="299"/>
      <c r="K1287" s="299"/>
      <c r="L1287" s="299"/>
      <c r="M1287" s="299"/>
      <c r="N1287" s="299"/>
      <c r="O1287" s="299"/>
      <c r="P1287" s="299"/>
      <c r="Q1287" s="299"/>
      <c r="R1287" s="299"/>
      <c r="S1287" s="299"/>
      <c r="T1287" s="299"/>
    </row>
    <row r="1288" ht="15.75" customHeight="1">
      <c r="G1288" s="298"/>
      <c r="H1288" s="298"/>
      <c r="I1288" s="299"/>
      <c r="J1288" s="299"/>
      <c r="K1288" s="299"/>
      <c r="L1288" s="299"/>
      <c r="M1288" s="299"/>
      <c r="N1288" s="299"/>
      <c r="O1288" s="299"/>
      <c r="P1288" s="299"/>
      <c r="Q1288" s="299"/>
      <c r="R1288" s="299"/>
      <c r="S1288" s="299"/>
      <c r="T1288" s="299"/>
    </row>
    <row r="1289" ht="15.75" customHeight="1">
      <c r="G1289" s="298"/>
      <c r="H1289" s="298"/>
      <c r="I1289" s="299"/>
      <c r="J1289" s="299"/>
      <c r="K1289" s="299"/>
      <c r="L1289" s="299"/>
      <c r="M1289" s="299"/>
      <c r="N1289" s="299"/>
      <c r="O1289" s="299"/>
      <c r="P1289" s="299"/>
      <c r="Q1289" s="299"/>
      <c r="R1289" s="299"/>
      <c r="S1289" s="299"/>
      <c r="T1289" s="299"/>
    </row>
    <row r="1290" ht="15.75" customHeight="1">
      <c r="G1290" s="298"/>
      <c r="H1290" s="298"/>
      <c r="I1290" s="299"/>
      <c r="J1290" s="299"/>
      <c r="K1290" s="299"/>
      <c r="L1290" s="299"/>
      <c r="M1290" s="299"/>
      <c r="N1290" s="299"/>
      <c r="O1290" s="299"/>
      <c r="P1290" s="299"/>
      <c r="Q1290" s="299"/>
      <c r="R1290" s="299"/>
      <c r="S1290" s="299"/>
      <c r="T1290" s="299"/>
    </row>
    <row r="1291" ht="15.75" customHeight="1">
      <c r="G1291" s="298"/>
      <c r="H1291" s="298"/>
      <c r="I1291" s="299"/>
      <c r="J1291" s="299"/>
      <c r="K1291" s="299"/>
      <c r="L1291" s="299"/>
      <c r="M1291" s="299"/>
      <c r="N1291" s="299"/>
      <c r="O1291" s="299"/>
      <c r="P1291" s="299"/>
      <c r="Q1291" s="299"/>
      <c r="R1291" s="299"/>
      <c r="S1291" s="299"/>
      <c r="T1291" s="299"/>
    </row>
    <row r="1292" ht="15.75" customHeight="1">
      <c r="G1292" s="298"/>
      <c r="H1292" s="298"/>
      <c r="I1292" s="299"/>
      <c r="J1292" s="299"/>
      <c r="K1292" s="299"/>
      <c r="L1292" s="299"/>
      <c r="M1292" s="299"/>
      <c r="N1292" s="299"/>
      <c r="O1292" s="299"/>
      <c r="P1292" s="299"/>
      <c r="Q1292" s="299"/>
      <c r="R1292" s="299"/>
      <c r="S1292" s="299"/>
      <c r="T1292" s="299"/>
    </row>
    <row r="1293" ht="15.75" customHeight="1">
      <c r="G1293" s="298"/>
      <c r="H1293" s="298"/>
      <c r="I1293" s="299"/>
      <c r="J1293" s="299"/>
      <c r="K1293" s="299"/>
      <c r="L1293" s="299"/>
      <c r="M1293" s="299"/>
      <c r="N1293" s="299"/>
      <c r="O1293" s="299"/>
      <c r="P1293" s="299"/>
      <c r="Q1293" s="299"/>
      <c r="R1293" s="299"/>
      <c r="S1293" s="299"/>
      <c r="T1293" s="299"/>
    </row>
    <row r="1294" ht="15.75" customHeight="1">
      <c r="G1294" s="298"/>
      <c r="H1294" s="298"/>
      <c r="I1294" s="299"/>
      <c r="J1294" s="299"/>
      <c r="K1294" s="299"/>
      <c r="L1294" s="299"/>
      <c r="M1294" s="299"/>
      <c r="N1294" s="299"/>
      <c r="O1294" s="299"/>
      <c r="P1294" s="299"/>
      <c r="Q1294" s="299"/>
      <c r="R1294" s="299"/>
      <c r="S1294" s="299"/>
      <c r="T1294" s="299"/>
    </row>
    <row r="1295" ht="15.75" customHeight="1">
      <c r="G1295" s="298"/>
      <c r="H1295" s="298"/>
      <c r="I1295" s="299"/>
      <c r="J1295" s="299"/>
      <c r="K1295" s="299"/>
      <c r="L1295" s="299"/>
      <c r="M1295" s="299"/>
      <c r="N1295" s="299"/>
      <c r="O1295" s="299"/>
      <c r="P1295" s="299"/>
      <c r="Q1295" s="299"/>
      <c r="R1295" s="299"/>
      <c r="S1295" s="299"/>
      <c r="T1295" s="299"/>
    </row>
    <row r="1296" ht="15.75" customHeight="1">
      <c r="G1296" s="298"/>
      <c r="H1296" s="298"/>
      <c r="I1296" s="299"/>
      <c r="J1296" s="299"/>
      <c r="K1296" s="299"/>
      <c r="L1296" s="299"/>
      <c r="M1296" s="299"/>
      <c r="N1296" s="299"/>
      <c r="O1296" s="299"/>
      <c r="P1296" s="299"/>
      <c r="Q1296" s="299"/>
      <c r="R1296" s="299"/>
      <c r="S1296" s="299"/>
      <c r="T1296" s="299"/>
    </row>
    <row r="1297" ht="15.75" customHeight="1">
      <c r="G1297" s="298"/>
      <c r="H1297" s="298"/>
      <c r="I1297" s="299"/>
      <c r="J1297" s="299"/>
      <c r="K1297" s="299"/>
      <c r="L1297" s="299"/>
      <c r="M1297" s="299"/>
      <c r="N1297" s="299"/>
      <c r="O1297" s="299"/>
      <c r="P1297" s="299"/>
      <c r="Q1297" s="299"/>
      <c r="R1297" s="299"/>
      <c r="S1297" s="299"/>
      <c r="T1297" s="299"/>
    </row>
    <row r="1298" ht="15.75" customHeight="1">
      <c r="G1298" s="298"/>
      <c r="H1298" s="298"/>
      <c r="I1298" s="299"/>
      <c r="J1298" s="299"/>
      <c r="K1298" s="299"/>
      <c r="L1298" s="299"/>
      <c r="M1298" s="299"/>
      <c r="N1298" s="299"/>
      <c r="O1298" s="299"/>
      <c r="P1298" s="299"/>
      <c r="Q1298" s="299"/>
      <c r="R1298" s="299"/>
      <c r="S1298" s="299"/>
      <c r="T1298" s="299"/>
    </row>
    <row r="1299" ht="15.75" customHeight="1">
      <c r="G1299" s="298"/>
      <c r="H1299" s="298"/>
      <c r="I1299" s="299"/>
      <c r="J1299" s="299"/>
      <c r="K1299" s="299"/>
      <c r="L1299" s="299"/>
      <c r="M1299" s="299"/>
      <c r="N1299" s="299"/>
      <c r="O1299" s="299"/>
      <c r="P1299" s="299"/>
      <c r="Q1299" s="299"/>
      <c r="R1299" s="299"/>
      <c r="S1299" s="299"/>
      <c r="T1299" s="299"/>
    </row>
    <row r="1300" ht="15.75" customHeight="1">
      <c r="G1300" s="298"/>
      <c r="H1300" s="298"/>
      <c r="I1300" s="299"/>
      <c r="J1300" s="299"/>
      <c r="K1300" s="299"/>
      <c r="L1300" s="299"/>
      <c r="M1300" s="299"/>
      <c r="N1300" s="299"/>
      <c r="O1300" s="299"/>
      <c r="P1300" s="299"/>
      <c r="Q1300" s="299"/>
      <c r="R1300" s="299"/>
      <c r="S1300" s="299"/>
      <c r="T1300" s="299"/>
    </row>
    <row r="1301" ht="15.75" customHeight="1">
      <c r="G1301" s="298"/>
      <c r="H1301" s="298"/>
      <c r="I1301" s="299"/>
      <c r="J1301" s="299"/>
      <c r="K1301" s="299"/>
      <c r="L1301" s="299"/>
      <c r="M1301" s="299"/>
      <c r="N1301" s="299"/>
      <c r="O1301" s="299"/>
      <c r="P1301" s="299"/>
      <c r="Q1301" s="299"/>
      <c r="R1301" s="299"/>
      <c r="S1301" s="299"/>
      <c r="T1301" s="299"/>
    </row>
    <row r="1302" ht="15.75" customHeight="1">
      <c r="G1302" s="298"/>
      <c r="H1302" s="298"/>
      <c r="I1302" s="299"/>
      <c r="J1302" s="299"/>
      <c r="K1302" s="299"/>
      <c r="L1302" s="299"/>
      <c r="M1302" s="299"/>
      <c r="N1302" s="299"/>
      <c r="O1302" s="299"/>
      <c r="P1302" s="299"/>
      <c r="Q1302" s="299"/>
      <c r="R1302" s="299"/>
      <c r="S1302" s="299"/>
      <c r="T1302" s="299"/>
    </row>
    <row r="1303" ht="15.75" customHeight="1">
      <c r="G1303" s="298"/>
      <c r="H1303" s="298"/>
      <c r="I1303" s="299"/>
      <c r="J1303" s="299"/>
      <c r="K1303" s="299"/>
      <c r="L1303" s="299"/>
      <c r="M1303" s="299"/>
      <c r="N1303" s="299"/>
      <c r="O1303" s="299"/>
      <c r="P1303" s="299"/>
      <c r="Q1303" s="299"/>
      <c r="R1303" s="299"/>
      <c r="S1303" s="299"/>
      <c r="T1303" s="299"/>
    </row>
    <row r="1304" ht="15.75" customHeight="1">
      <c r="G1304" s="298"/>
      <c r="H1304" s="298"/>
      <c r="I1304" s="299"/>
      <c r="J1304" s="299"/>
      <c r="K1304" s="299"/>
      <c r="L1304" s="299"/>
      <c r="M1304" s="299"/>
      <c r="N1304" s="299"/>
      <c r="O1304" s="299"/>
      <c r="P1304" s="299"/>
      <c r="Q1304" s="299"/>
      <c r="R1304" s="299"/>
      <c r="S1304" s="299"/>
      <c r="T1304" s="299"/>
    </row>
    <row r="1305" ht="15.75" customHeight="1">
      <c r="G1305" s="298"/>
      <c r="H1305" s="298"/>
      <c r="I1305" s="299"/>
      <c r="J1305" s="299"/>
      <c r="K1305" s="299"/>
      <c r="L1305" s="299"/>
      <c r="M1305" s="299"/>
      <c r="N1305" s="299"/>
      <c r="O1305" s="299"/>
      <c r="P1305" s="299"/>
      <c r="Q1305" s="299"/>
      <c r="R1305" s="299"/>
      <c r="S1305" s="299"/>
      <c r="T1305" s="299"/>
    </row>
    <row r="1306" ht="15.75" customHeight="1">
      <c r="G1306" s="298"/>
      <c r="H1306" s="298"/>
      <c r="I1306" s="299"/>
      <c r="J1306" s="299"/>
      <c r="K1306" s="299"/>
      <c r="L1306" s="299"/>
      <c r="M1306" s="299"/>
      <c r="N1306" s="299"/>
      <c r="O1306" s="299"/>
      <c r="P1306" s="299"/>
      <c r="Q1306" s="299"/>
      <c r="R1306" s="299"/>
      <c r="S1306" s="299"/>
      <c r="T1306" s="299"/>
    </row>
    <row r="1307" ht="15.75" customHeight="1">
      <c r="G1307" s="298"/>
      <c r="H1307" s="298"/>
      <c r="I1307" s="299"/>
      <c r="J1307" s="299"/>
      <c r="K1307" s="299"/>
      <c r="L1307" s="299"/>
      <c r="M1307" s="299"/>
      <c r="N1307" s="299"/>
      <c r="O1307" s="299"/>
      <c r="P1307" s="299"/>
      <c r="Q1307" s="299"/>
      <c r="R1307" s="299"/>
      <c r="S1307" s="299"/>
      <c r="T1307" s="299"/>
    </row>
    <row r="1308" ht="15.75" customHeight="1">
      <c r="G1308" s="298"/>
      <c r="H1308" s="298"/>
      <c r="I1308" s="299"/>
      <c r="J1308" s="299"/>
      <c r="K1308" s="299"/>
      <c r="L1308" s="299"/>
      <c r="M1308" s="299"/>
      <c r="N1308" s="299"/>
      <c r="O1308" s="299"/>
      <c r="P1308" s="299"/>
      <c r="Q1308" s="299"/>
      <c r="R1308" s="299"/>
      <c r="S1308" s="299"/>
      <c r="T1308" s="299"/>
    </row>
    <row r="1309" ht="15.75" customHeight="1">
      <c r="G1309" s="298"/>
      <c r="H1309" s="298"/>
      <c r="I1309" s="299"/>
      <c r="J1309" s="299"/>
      <c r="K1309" s="299"/>
      <c r="L1309" s="299"/>
      <c r="M1309" s="299"/>
      <c r="N1309" s="299"/>
      <c r="O1309" s="299"/>
      <c r="P1309" s="299"/>
      <c r="Q1309" s="299"/>
      <c r="R1309" s="299"/>
      <c r="S1309" s="299"/>
      <c r="T1309" s="299"/>
    </row>
    <row r="1310" ht="15.75" customHeight="1">
      <c r="G1310" s="298"/>
      <c r="H1310" s="298"/>
      <c r="I1310" s="299"/>
      <c r="J1310" s="299"/>
      <c r="K1310" s="299"/>
      <c r="L1310" s="299"/>
      <c r="M1310" s="299"/>
      <c r="N1310" s="299"/>
      <c r="O1310" s="299"/>
      <c r="P1310" s="299"/>
      <c r="Q1310" s="299"/>
      <c r="R1310" s="299"/>
      <c r="S1310" s="299"/>
      <c r="T1310" s="299"/>
    </row>
    <row r="1311" ht="15.75" customHeight="1">
      <c r="G1311" s="298"/>
      <c r="H1311" s="298"/>
      <c r="I1311" s="299"/>
      <c r="J1311" s="299"/>
      <c r="K1311" s="299"/>
      <c r="L1311" s="299"/>
      <c r="M1311" s="299"/>
      <c r="N1311" s="299"/>
      <c r="O1311" s="299"/>
      <c r="P1311" s="299"/>
      <c r="Q1311" s="299"/>
      <c r="R1311" s="299"/>
      <c r="S1311" s="299"/>
      <c r="T1311" s="299"/>
    </row>
    <row r="1312" ht="15.75" customHeight="1">
      <c r="G1312" s="298"/>
      <c r="H1312" s="298"/>
      <c r="I1312" s="299"/>
      <c r="J1312" s="299"/>
      <c r="K1312" s="299"/>
      <c r="L1312" s="299"/>
      <c r="M1312" s="299"/>
      <c r="N1312" s="299"/>
      <c r="O1312" s="299"/>
      <c r="P1312" s="299"/>
      <c r="Q1312" s="299"/>
      <c r="R1312" s="299"/>
      <c r="S1312" s="299"/>
      <c r="T1312" s="299"/>
    </row>
    <row r="1313" ht="15.75" customHeight="1">
      <c r="G1313" s="298"/>
      <c r="H1313" s="298"/>
      <c r="I1313" s="299"/>
      <c r="J1313" s="299"/>
      <c r="K1313" s="299"/>
      <c r="L1313" s="299"/>
      <c r="M1313" s="299"/>
      <c r="N1313" s="299"/>
      <c r="O1313" s="299"/>
      <c r="P1313" s="299"/>
      <c r="Q1313" s="299"/>
      <c r="R1313" s="299"/>
      <c r="S1313" s="299"/>
      <c r="T1313" s="299"/>
    </row>
    <row r="1314" ht="15.75" customHeight="1">
      <c r="G1314" s="298"/>
      <c r="H1314" s="298"/>
      <c r="I1314" s="299"/>
      <c r="J1314" s="299"/>
      <c r="K1314" s="299"/>
      <c r="L1314" s="299"/>
      <c r="M1314" s="299"/>
      <c r="N1314" s="299"/>
      <c r="O1314" s="299"/>
      <c r="P1314" s="299"/>
      <c r="Q1314" s="299"/>
      <c r="R1314" s="299"/>
      <c r="S1314" s="299"/>
      <c r="T1314" s="299"/>
    </row>
    <row r="1315" ht="15.75" customHeight="1">
      <c r="G1315" s="298"/>
      <c r="H1315" s="298"/>
      <c r="I1315" s="299"/>
      <c r="J1315" s="299"/>
      <c r="K1315" s="299"/>
      <c r="L1315" s="299"/>
      <c r="M1315" s="299"/>
      <c r="N1315" s="299"/>
      <c r="O1315" s="299"/>
      <c r="P1315" s="299"/>
      <c r="Q1315" s="299"/>
      <c r="R1315" s="299"/>
      <c r="S1315" s="299"/>
      <c r="T1315" s="299"/>
    </row>
    <row r="1316" ht="15.75" customHeight="1">
      <c r="G1316" s="298"/>
      <c r="H1316" s="298"/>
      <c r="I1316" s="299"/>
      <c r="J1316" s="299"/>
      <c r="K1316" s="299"/>
      <c r="L1316" s="299"/>
      <c r="M1316" s="299"/>
      <c r="N1316" s="299"/>
      <c r="O1316" s="299"/>
      <c r="P1316" s="299"/>
      <c r="Q1316" s="299"/>
      <c r="R1316" s="299"/>
      <c r="S1316" s="299"/>
      <c r="T1316" s="299"/>
    </row>
    <row r="1317" ht="15.75" customHeight="1">
      <c r="G1317" s="298"/>
      <c r="H1317" s="298"/>
      <c r="I1317" s="299"/>
      <c r="J1317" s="299"/>
      <c r="K1317" s="299"/>
      <c r="L1317" s="299"/>
      <c r="M1317" s="299"/>
      <c r="N1317" s="299"/>
      <c r="O1317" s="299"/>
      <c r="P1317" s="299"/>
      <c r="Q1317" s="299"/>
      <c r="R1317" s="299"/>
      <c r="S1317" s="299"/>
      <c r="T1317" s="299"/>
    </row>
    <row r="1318" ht="15.75" customHeight="1">
      <c r="G1318" s="298"/>
      <c r="H1318" s="298"/>
      <c r="I1318" s="299"/>
      <c r="J1318" s="299"/>
      <c r="K1318" s="299"/>
      <c r="L1318" s="299"/>
      <c r="M1318" s="299"/>
      <c r="N1318" s="299"/>
      <c r="O1318" s="299"/>
      <c r="P1318" s="299"/>
      <c r="Q1318" s="299"/>
      <c r="R1318" s="299"/>
      <c r="S1318" s="299"/>
      <c r="T1318" s="299"/>
    </row>
    <row r="1319" ht="15.75" customHeight="1">
      <c r="G1319" s="298"/>
      <c r="H1319" s="298"/>
      <c r="I1319" s="299"/>
      <c r="J1319" s="299"/>
      <c r="K1319" s="299"/>
      <c r="L1319" s="299"/>
      <c r="M1319" s="299"/>
      <c r="N1319" s="299"/>
      <c r="O1319" s="299"/>
      <c r="P1319" s="299"/>
      <c r="Q1319" s="299"/>
      <c r="R1319" s="299"/>
      <c r="S1319" s="299"/>
      <c r="T1319" s="299"/>
    </row>
    <row r="1320" ht="15.75" customHeight="1">
      <c r="G1320" s="298"/>
      <c r="H1320" s="298"/>
      <c r="I1320" s="299"/>
      <c r="J1320" s="299"/>
      <c r="K1320" s="299"/>
      <c r="L1320" s="299"/>
      <c r="M1320" s="299"/>
      <c r="N1320" s="299"/>
      <c r="O1320" s="299"/>
      <c r="P1320" s="299"/>
      <c r="Q1320" s="299"/>
      <c r="R1320" s="299"/>
      <c r="S1320" s="299"/>
      <c r="T1320" s="299"/>
    </row>
    <row r="1321" ht="15.75" customHeight="1">
      <c r="G1321" s="298"/>
      <c r="H1321" s="298"/>
      <c r="I1321" s="299"/>
      <c r="J1321" s="299"/>
      <c r="K1321" s="299"/>
      <c r="L1321" s="299"/>
      <c r="M1321" s="299"/>
      <c r="N1321" s="299"/>
      <c r="O1321" s="299"/>
      <c r="P1321" s="299"/>
      <c r="Q1321" s="299"/>
      <c r="R1321" s="299"/>
      <c r="S1321" s="299"/>
      <c r="T1321" s="299"/>
    </row>
    <row r="1322" ht="15.75" customHeight="1">
      <c r="G1322" s="298"/>
      <c r="H1322" s="298"/>
      <c r="I1322" s="299"/>
      <c r="J1322" s="299"/>
      <c r="K1322" s="299"/>
      <c r="L1322" s="299"/>
      <c r="M1322" s="299"/>
      <c r="N1322" s="299"/>
      <c r="O1322" s="299"/>
      <c r="P1322" s="299"/>
      <c r="Q1322" s="299"/>
      <c r="R1322" s="299"/>
      <c r="S1322" s="299"/>
      <c r="T1322" s="299"/>
    </row>
    <row r="1323" ht="15.75" customHeight="1">
      <c r="G1323" s="298"/>
      <c r="H1323" s="298"/>
      <c r="I1323" s="299"/>
      <c r="J1323" s="299"/>
      <c r="K1323" s="299"/>
      <c r="L1323" s="299"/>
      <c r="M1323" s="299"/>
      <c r="N1323" s="299"/>
      <c r="O1323" s="299"/>
      <c r="P1323" s="299"/>
      <c r="Q1323" s="299"/>
      <c r="R1323" s="299"/>
      <c r="S1323" s="299"/>
      <c r="T1323" s="299"/>
    </row>
    <row r="1324" ht="15.75" customHeight="1">
      <c r="G1324" s="298"/>
      <c r="H1324" s="298"/>
      <c r="I1324" s="299"/>
      <c r="J1324" s="299"/>
      <c r="K1324" s="299"/>
      <c r="L1324" s="299"/>
      <c r="M1324" s="299"/>
      <c r="N1324" s="299"/>
      <c r="O1324" s="299"/>
      <c r="P1324" s="299"/>
      <c r="Q1324" s="299"/>
      <c r="R1324" s="299"/>
      <c r="S1324" s="299"/>
      <c r="T1324" s="299"/>
    </row>
    <row r="1325" ht="15.75" customHeight="1">
      <c r="G1325" s="298"/>
      <c r="H1325" s="298"/>
      <c r="I1325" s="299"/>
      <c r="J1325" s="299"/>
      <c r="K1325" s="299"/>
      <c r="L1325" s="299"/>
      <c r="M1325" s="299"/>
      <c r="N1325" s="299"/>
      <c r="O1325" s="299"/>
      <c r="P1325" s="299"/>
      <c r="Q1325" s="299"/>
      <c r="R1325" s="299"/>
      <c r="S1325" s="299"/>
      <c r="T1325" s="299"/>
    </row>
    <row r="1326" ht="15.75" customHeight="1">
      <c r="G1326" s="298"/>
      <c r="H1326" s="298"/>
      <c r="I1326" s="299"/>
      <c r="J1326" s="299"/>
      <c r="K1326" s="299"/>
      <c r="L1326" s="299"/>
      <c r="M1326" s="299"/>
      <c r="N1326" s="299"/>
      <c r="O1326" s="299"/>
      <c r="P1326" s="299"/>
      <c r="Q1326" s="299"/>
      <c r="R1326" s="299"/>
      <c r="S1326" s="299"/>
      <c r="T1326" s="299"/>
    </row>
    <row r="1327" ht="15.75" customHeight="1">
      <c r="G1327" s="298"/>
      <c r="H1327" s="298"/>
      <c r="I1327" s="299"/>
      <c r="J1327" s="299"/>
      <c r="K1327" s="299"/>
      <c r="L1327" s="299"/>
      <c r="M1327" s="299"/>
      <c r="N1327" s="299"/>
      <c r="O1327" s="299"/>
      <c r="P1327" s="299"/>
      <c r="Q1327" s="299"/>
      <c r="R1327" s="299"/>
      <c r="S1327" s="299"/>
      <c r="T1327" s="299"/>
    </row>
    <row r="1328" ht="15.75" customHeight="1">
      <c r="G1328" s="298"/>
      <c r="H1328" s="298"/>
      <c r="I1328" s="299"/>
      <c r="J1328" s="299"/>
      <c r="K1328" s="299"/>
      <c r="L1328" s="299"/>
      <c r="M1328" s="299"/>
      <c r="N1328" s="299"/>
      <c r="O1328" s="299"/>
      <c r="P1328" s="299"/>
      <c r="Q1328" s="299"/>
      <c r="R1328" s="299"/>
      <c r="S1328" s="299"/>
      <c r="T1328" s="299"/>
    </row>
    <row r="1329" ht="15.75" customHeight="1">
      <c r="G1329" s="298"/>
      <c r="H1329" s="298"/>
      <c r="I1329" s="299"/>
      <c r="J1329" s="299"/>
      <c r="K1329" s="299"/>
      <c r="L1329" s="299"/>
      <c r="M1329" s="299"/>
      <c r="N1329" s="299"/>
      <c r="O1329" s="299"/>
      <c r="P1329" s="299"/>
      <c r="Q1329" s="299"/>
      <c r="R1329" s="299"/>
      <c r="S1329" s="299"/>
      <c r="T1329" s="299"/>
    </row>
    <row r="1330" ht="15.75" customHeight="1">
      <c r="G1330" s="298"/>
      <c r="H1330" s="298"/>
      <c r="I1330" s="299"/>
      <c r="J1330" s="299"/>
      <c r="K1330" s="299"/>
      <c r="L1330" s="299"/>
      <c r="M1330" s="299"/>
      <c r="N1330" s="299"/>
      <c r="O1330" s="299"/>
      <c r="P1330" s="299"/>
      <c r="Q1330" s="299"/>
      <c r="R1330" s="299"/>
      <c r="S1330" s="299"/>
      <c r="T1330" s="299"/>
    </row>
    <row r="1331" ht="15.75" customHeight="1">
      <c r="G1331" s="298"/>
      <c r="H1331" s="298"/>
      <c r="I1331" s="299"/>
      <c r="J1331" s="299"/>
      <c r="K1331" s="299"/>
      <c r="L1331" s="299"/>
      <c r="M1331" s="299"/>
      <c r="N1331" s="299"/>
      <c r="O1331" s="299"/>
      <c r="P1331" s="299"/>
      <c r="Q1331" s="299"/>
      <c r="R1331" s="299"/>
      <c r="S1331" s="299"/>
      <c r="T1331" s="299"/>
    </row>
    <row r="1332" ht="15.75" customHeight="1">
      <c r="G1332" s="298"/>
      <c r="H1332" s="298"/>
      <c r="I1332" s="299"/>
      <c r="J1332" s="299"/>
      <c r="K1332" s="299"/>
      <c r="L1332" s="299"/>
      <c r="M1332" s="299"/>
      <c r="N1332" s="299"/>
      <c r="O1332" s="299"/>
      <c r="P1332" s="299"/>
      <c r="Q1332" s="299"/>
      <c r="R1332" s="299"/>
      <c r="S1332" s="299"/>
      <c r="T1332" s="299"/>
    </row>
    <row r="1333" ht="15.75" customHeight="1">
      <c r="G1333" s="298"/>
      <c r="H1333" s="298"/>
      <c r="I1333" s="299"/>
      <c r="J1333" s="299"/>
      <c r="K1333" s="299"/>
      <c r="L1333" s="299"/>
      <c r="M1333" s="299"/>
      <c r="N1333" s="299"/>
      <c r="O1333" s="299"/>
      <c r="P1333" s="299"/>
      <c r="Q1333" s="299"/>
      <c r="R1333" s="299"/>
      <c r="S1333" s="299"/>
      <c r="T1333" s="299"/>
    </row>
    <row r="1334" ht="15.75" customHeight="1">
      <c r="G1334" s="298"/>
      <c r="H1334" s="298"/>
      <c r="I1334" s="299"/>
      <c r="J1334" s="299"/>
      <c r="K1334" s="299"/>
      <c r="L1334" s="299"/>
      <c r="M1334" s="299"/>
      <c r="N1334" s="299"/>
      <c r="O1334" s="299"/>
      <c r="P1334" s="299"/>
      <c r="Q1334" s="299"/>
      <c r="R1334" s="299"/>
      <c r="S1334" s="299"/>
      <c r="T1334" s="299"/>
    </row>
    <row r="1335" ht="15.75" customHeight="1">
      <c r="G1335" s="298"/>
      <c r="H1335" s="298"/>
      <c r="I1335" s="299"/>
      <c r="J1335" s="299"/>
      <c r="K1335" s="299"/>
      <c r="L1335" s="299"/>
      <c r="M1335" s="299"/>
      <c r="N1335" s="299"/>
      <c r="O1335" s="299"/>
      <c r="P1335" s="299"/>
      <c r="Q1335" s="299"/>
      <c r="R1335" s="299"/>
      <c r="S1335" s="299"/>
      <c r="T1335" s="299"/>
    </row>
    <row r="1336" ht="15.75" customHeight="1">
      <c r="G1336" s="298"/>
      <c r="H1336" s="298"/>
      <c r="I1336" s="299"/>
      <c r="J1336" s="299"/>
      <c r="K1336" s="299"/>
      <c r="L1336" s="299"/>
      <c r="M1336" s="299"/>
      <c r="N1336" s="299"/>
      <c r="O1336" s="299"/>
      <c r="P1336" s="299"/>
      <c r="Q1336" s="299"/>
      <c r="R1336" s="299"/>
      <c r="S1336" s="299"/>
      <c r="T1336" s="299"/>
    </row>
    <row r="1337" ht="15.75" customHeight="1">
      <c r="G1337" s="298"/>
      <c r="H1337" s="298"/>
      <c r="I1337" s="299"/>
      <c r="J1337" s="299"/>
      <c r="K1337" s="299"/>
      <c r="L1337" s="299"/>
      <c r="M1337" s="299"/>
      <c r="N1337" s="299"/>
      <c r="O1337" s="299"/>
      <c r="P1337" s="299"/>
      <c r="Q1337" s="299"/>
      <c r="R1337" s="299"/>
      <c r="S1337" s="299"/>
      <c r="T1337" s="299"/>
    </row>
    <row r="1338" ht="15.75" customHeight="1">
      <c r="G1338" s="298"/>
      <c r="H1338" s="298"/>
      <c r="I1338" s="299"/>
      <c r="J1338" s="299"/>
      <c r="K1338" s="299"/>
      <c r="L1338" s="299"/>
      <c r="M1338" s="299"/>
      <c r="N1338" s="299"/>
      <c r="O1338" s="299"/>
      <c r="P1338" s="299"/>
      <c r="Q1338" s="299"/>
      <c r="R1338" s="299"/>
      <c r="S1338" s="299"/>
      <c r="T1338" s="299"/>
    </row>
    <row r="1339" ht="15.75" customHeight="1">
      <c r="G1339" s="298"/>
      <c r="H1339" s="298"/>
      <c r="I1339" s="299"/>
      <c r="J1339" s="299"/>
      <c r="K1339" s="299"/>
      <c r="L1339" s="299"/>
      <c r="M1339" s="299"/>
      <c r="N1339" s="299"/>
      <c r="O1339" s="299"/>
      <c r="P1339" s="299"/>
      <c r="Q1339" s="299"/>
      <c r="R1339" s="299"/>
      <c r="S1339" s="299"/>
      <c r="T1339" s="299"/>
    </row>
    <row r="1340" ht="15.75" customHeight="1">
      <c r="G1340" s="298"/>
      <c r="H1340" s="298"/>
      <c r="I1340" s="299"/>
      <c r="J1340" s="299"/>
      <c r="K1340" s="299"/>
      <c r="L1340" s="299"/>
      <c r="M1340" s="299"/>
      <c r="N1340" s="299"/>
      <c r="O1340" s="299"/>
      <c r="P1340" s="299"/>
      <c r="Q1340" s="299"/>
      <c r="R1340" s="299"/>
      <c r="S1340" s="299"/>
      <c r="T1340" s="299"/>
    </row>
    <row r="1341" ht="15.75" customHeight="1">
      <c r="G1341" s="298"/>
      <c r="H1341" s="298"/>
      <c r="I1341" s="299"/>
      <c r="J1341" s="299"/>
      <c r="K1341" s="299"/>
      <c r="L1341" s="299"/>
      <c r="M1341" s="299"/>
      <c r="N1341" s="299"/>
      <c r="O1341" s="299"/>
      <c r="P1341" s="299"/>
      <c r="Q1341" s="299"/>
      <c r="R1341" s="299"/>
      <c r="S1341" s="299"/>
      <c r="T1341" s="299"/>
    </row>
    <row r="1342" ht="15.75" customHeight="1">
      <c r="G1342" s="298"/>
      <c r="H1342" s="298"/>
      <c r="I1342" s="299"/>
      <c r="J1342" s="299"/>
      <c r="K1342" s="299"/>
      <c r="L1342" s="299"/>
      <c r="M1342" s="299"/>
      <c r="N1342" s="299"/>
      <c r="O1342" s="299"/>
      <c r="P1342" s="299"/>
      <c r="Q1342" s="299"/>
      <c r="R1342" s="299"/>
      <c r="S1342" s="299"/>
      <c r="T1342" s="299"/>
    </row>
    <row r="1343" ht="15.75" customHeight="1">
      <c r="G1343" s="298"/>
      <c r="H1343" s="298"/>
      <c r="I1343" s="299"/>
      <c r="J1343" s="299"/>
      <c r="K1343" s="299"/>
      <c r="L1343" s="299"/>
      <c r="M1343" s="299"/>
      <c r="N1343" s="299"/>
      <c r="O1343" s="299"/>
      <c r="P1343" s="299"/>
      <c r="Q1343" s="299"/>
      <c r="R1343" s="299"/>
      <c r="S1343" s="299"/>
      <c r="T1343" s="299"/>
    </row>
    <row r="1344" ht="15.75" customHeight="1">
      <c r="G1344" s="298"/>
      <c r="H1344" s="298"/>
      <c r="I1344" s="299"/>
      <c r="J1344" s="299"/>
      <c r="K1344" s="299"/>
      <c r="L1344" s="299"/>
      <c r="M1344" s="299"/>
      <c r="N1344" s="299"/>
      <c r="O1344" s="299"/>
      <c r="P1344" s="299"/>
      <c r="Q1344" s="299"/>
      <c r="R1344" s="299"/>
      <c r="S1344" s="299"/>
      <c r="T1344" s="299"/>
    </row>
    <row r="1345" ht="15.75" customHeight="1">
      <c r="G1345" s="298"/>
      <c r="H1345" s="298"/>
      <c r="I1345" s="299"/>
      <c r="J1345" s="299"/>
      <c r="K1345" s="299"/>
      <c r="L1345" s="299"/>
      <c r="M1345" s="299"/>
      <c r="N1345" s="299"/>
      <c r="O1345" s="299"/>
      <c r="P1345" s="299"/>
      <c r="Q1345" s="299"/>
      <c r="R1345" s="299"/>
      <c r="S1345" s="299"/>
      <c r="T1345" s="299"/>
    </row>
    <row r="1346" ht="15.75" customHeight="1">
      <c r="G1346" s="298"/>
      <c r="H1346" s="298"/>
      <c r="I1346" s="299"/>
      <c r="J1346" s="299"/>
      <c r="K1346" s="299"/>
      <c r="L1346" s="299"/>
      <c r="M1346" s="299"/>
      <c r="N1346" s="299"/>
      <c r="O1346" s="299"/>
      <c r="P1346" s="299"/>
      <c r="Q1346" s="299"/>
      <c r="R1346" s="299"/>
      <c r="S1346" s="299"/>
      <c r="T1346" s="299"/>
    </row>
    <row r="1347" ht="15.75" customHeight="1">
      <c r="G1347" s="298"/>
      <c r="H1347" s="298"/>
      <c r="I1347" s="299"/>
      <c r="J1347" s="299"/>
      <c r="K1347" s="299"/>
      <c r="L1347" s="299"/>
      <c r="M1347" s="299"/>
      <c r="N1347" s="299"/>
      <c r="O1347" s="299"/>
      <c r="P1347" s="299"/>
      <c r="Q1347" s="299"/>
      <c r="R1347" s="299"/>
      <c r="S1347" s="299"/>
      <c r="T1347" s="299"/>
    </row>
    <row r="1348" ht="15.75" customHeight="1">
      <c r="G1348" s="298"/>
      <c r="H1348" s="298"/>
      <c r="I1348" s="299"/>
      <c r="J1348" s="299"/>
      <c r="K1348" s="299"/>
      <c r="L1348" s="299"/>
      <c r="M1348" s="299"/>
      <c r="N1348" s="299"/>
      <c r="O1348" s="299"/>
      <c r="P1348" s="299"/>
      <c r="Q1348" s="299"/>
      <c r="R1348" s="299"/>
      <c r="S1348" s="299"/>
      <c r="T1348" s="299"/>
    </row>
    <row r="1349" ht="15.75" customHeight="1">
      <c r="G1349" s="298"/>
      <c r="H1349" s="298"/>
      <c r="I1349" s="299"/>
      <c r="J1349" s="299"/>
      <c r="K1349" s="299"/>
      <c r="L1349" s="299"/>
      <c r="M1349" s="299"/>
      <c r="N1349" s="299"/>
      <c r="O1349" s="299"/>
      <c r="P1349" s="299"/>
      <c r="Q1349" s="299"/>
      <c r="R1349" s="299"/>
      <c r="S1349" s="299"/>
      <c r="T1349" s="299"/>
    </row>
    <row r="1350" ht="15.75" customHeight="1">
      <c r="G1350" s="298"/>
      <c r="H1350" s="298"/>
      <c r="I1350" s="299"/>
      <c r="J1350" s="299"/>
      <c r="K1350" s="299"/>
      <c r="L1350" s="299"/>
      <c r="M1350" s="299"/>
      <c r="N1350" s="299"/>
      <c r="O1350" s="299"/>
      <c r="P1350" s="299"/>
      <c r="Q1350" s="299"/>
      <c r="R1350" s="299"/>
      <c r="S1350" s="299"/>
      <c r="T1350" s="299"/>
    </row>
    <row r="1351" ht="15.75" customHeight="1">
      <c r="G1351" s="298"/>
      <c r="H1351" s="298"/>
      <c r="I1351" s="299"/>
      <c r="J1351" s="299"/>
      <c r="K1351" s="299"/>
      <c r="L1351" s="299"/>
      <c r="M1351" s="299"/>
      <c r="N1351" s="299"/>
      <c r="O1351" s="299"/>
      <c r="P1351" s="299"/>
      <c r="Q1351" s="299"/>
      <c r="R1351" s="299"/>
      <c r="S1351" s="299"/>
      <c r="T1351" s="299"/>
    </row>
    <row r="1352" ht="15.75" customHeight="1">
      <c r="G1352" s="298"/>
      <c r="H1352" s="298"/>
      <c r="I1352" s="299"/>
      <c r="J1352" s="299"/>
      <c r="K1352" s="299"/>
      <c r="L1352" s="299"/>
      <c r="M1352" s="299"/>
      <c r="N1352" s="299"/>
      <c r="O1352" s="299"/>
      <c r="P1352" s="299"/>
      <c r="Q1352" s="299"/>
      <c r="R1352" s="299"/>
      <c r="S1352" s="299"/>
      <c r="T1352" s="299"/>
    </row>
    <row r="1353" ht="15.75" customHeight="1">
      <c r="G1353" s="298"/>
      <c r="H1353" s="298"/>
      <c r="I1353" s="299"/>
      <c r="J1353" s="299"/>
      <c r="K1353" s="299"/>
      <c r="L1353" s="299"/>
      <c r="M1353" s="299"/>
      <c r="N1353" s="299"/>
      <c r="O1353" s="299"/>
      <c r="P1353" s="299"/>
      <c r="Q1353" s="299"/>
      <c r="R1353" s="299"/>
      <c r="S1353" s="299"/>
      <c r="T1353" s="299"/>
    </row>
    <row r="1354" ht="15.75" customHeight="1">
      <c r="G1354" s="298"/>
      <c r="H1354" s="298"/>
      <c r="I1354" s="299"/>
      <c r="J1354" s="299"/>
      <c r="K1354" s="299"/>
      <c r="L1354" s="299"/>
      <c r="M1354" s="299"/>
      <c r="N1354" s="299"/>
      <c r="O1354" s="299"/>
      <c r="P1354" s="299"/>
      <c r="Q1354" s="299"/>
      <c r="R1354" s="299"/>
      <c r="S1354" s="299"/>
      <c r="T1354" s="299"/>
    </row>
    <row r="1355" ht="15.75" customHeight="1">
      <c r="G1355" s="298"/>
      <c r="H1355" s="298"/>
      <c r="I1355" s="299"/>
      <c r="J1355" s="299"/>
      <c r="K1355" s="299"/>
      <c r="L1355" s="299"/>
      <c r="M1355" s="299"/>
      <c r="N1355" s="299"/>
      <c r="O1355" s="299"/>
      <c r="P1355" s="299"/>
      <c r="Q1355" s="299"/>
      <c r="R1355" s="299"/>
      <c r="S1355" s="299"/>
      <c r="T1355" s="299"/>
    </row>
    <row r="1356" ht="15.75" customHeight="1">
      <c r="G1356" s="298"/>
      <c r="H1356" s="298"/>
      <c r="I1356" s="299"/>
      <c r="J1356" s="299"/>
      <c r="K1356" s="299"/>
      <c r="L1356" s="299"/>
      <c r="M1356" s="299"/>
      <c r="N1356" s="299"/>
      <c r="O1356" s="299"/>
      <c r="P1356" s="299"/>
      <c r="Q1356" s="299"/>
      <c r="R1356" s="299"/>
      <c r="S1356" s="299"/>
      <c r="T1356" s="299"/>
    </row>
    <row r="1357" ht="15.75" customHeight="1">
      <c r="G1357" s="298"/>
      <c r="H1357" s="298"/>
      <c r="I1357" s="299"/>
      <c r="J1357" s="299"/>
      <c r="K1357" s="299"/>
      <c r="L1357" s="299"/>
      <c r="M1357" s="299"/>
      <c r="N1357" s="299"/>
      <c r="O1357" s="299"/>
      <c r="P1357" s="299"/>
      <c r="Q1357" s="299"/>
      <c r="R1357" s="299"/>
      <c r="S1357" s="299"/>
      <c r="T1357" s="299"/>
    </row>
    <row r="1358" ht="15.75" customHeight="1">
      <c r="G1358" s="298"/>
      <c r="H1358" s="298"/>
      <c r="I1358" s="299"/>
      <c r="J1358" s="299"/>
      <c r="K1358" s="299"/>
      <c r="L1358" s="299"/>
      <c r="M1358" s="299"/>
      <c r="N1358" s="299"/>
      <c r="O1358" s="299"/>
      <c r="P1358" s="299"/>
      <c r="Q1358" s="299"/>
      <c r="R1358" s="299"/>
      <c r="S1358" s="299"/>
      <c r="T1358" s="299"/>
    </row>
    <row r="1359" ht="15.75" customHeight="1">
      <c r="G1359" s="298"/>
      <c r="H1359" s="298"/>
      <c r="I1359" s="299"/>
      <c r="J1359" s="299"/>
      <c r="K1359" s="299"/>
      <c r="L1359" s="299"/>
      <c r="M1359" s="299"/>
      <c r="N1359" s="299"/>
      <c r="O1359" s="299"/>
      <c r="P1359" s="299"/>
      <c r="Q1359" s="299"/>
      <c r="R1359" s="299"/>
      <c r="S1359" s="299"/>
      <c r="T1359" s="299"/>
    </row>
    <row r="1360" ht="15.75" customHeight="1">
      <c r="G1360" s="298"/>
      <c r="H1360" s="298"/>
      <c r="I1360" s="299"/>
      <c r="J1360" s="299"/>
      <c r="K1360" s="299"/>
      <c r="L1360" s="299"/>
      <c r="M1360" s="299"/>
      <c r="N1360" s="299"/>
      <c r="O1360" s="299"/>
      <c r="P1360" s="299"/>
      <c r="Q1360" s="299"/>
      <c r="R1360" s="299"/>
      <c r="S1360" s="299"/>
      <c r="T1360" s="299"/>
    </row>
    <row r="1361" ht="15.75" customHeight="1">
      <c r="G1361" s="298"/>
      <c r="H1361" s="298"/>
      <c r="I1361" s="299"/>
      <c r="J1361" s="299"/>
      <c r="K1361" s="299"/>
      <c r="L1361" s="299"/>
      <c r="M1361" s="299"/>
      <c r="N1361" s="299"/>
      <c r="O1361" s="299"/>
      <c r="P1361" s="299"/>
      <c r="Q1361" s="299"/>
      <c r="R1361" s="299"/>
      <c r="S1361" s="299"/>
      <c r="T1361" s="299"/>
    </row>
    <row r="1362" ht="15.75" customHeight="1">
      <c r="G1362" s="298"/>
      <c r="H1362" s="298"/>
      <c r="I1362" s="299"/>
      <c r="J1362" s="299"/>
      <c r="K1362" s="299"/>
      <c r="L1362" s="299"/>
      <c r="M1362" s="299"/>
      <c r="N1362" s="299"/>
      <c r="O1362" s="299"/>
      <c r="P1362" s="299"/>
      <c r="Q1362" s="299"/>
      <c r="R1362" s="299"/>
      <c r="S1362" s="299"/>
      <c r="T1362" s="299"/>
    </row>
    <row r="1363" ht="15.75" customHeight="1">
      <c r="G1363" s="298"/>
      <c r="H1363" s="298"/>
      <c r="I1363" s="299"/>
      <c r="J1363" s="299"/>
      <c r="K1363" s="299"/>
      <c r="L1363" s="299"/>
      <c r="M1363" s="299"/>
      <c r="N1363" s="299"/>
      <c r="O1363" s="299"/>
      <c r="P1363" s="299"/>
      <c r="Q1363" s="299"/>
      <c r="R1363" s="299"/>
      <c r="S1363" s="299"/>
      <c r="T1363" s="299"/>
    </row>
    <row r="1364" ht="15.75" customHeight="1">
      <c r="G1364" s="298"/>
      <c r="H1364" s="298"/>
      <c r="I1364" s="299"/>
      <c r="J1364" s="299"/>
      <c r="K1364" s="299"/>
      <c r="L1364" s="299"/>
      <c r="M1364" s="299"/>
      <c r="N1364" s="299"/>
      <c r="O1364" s="299"/>
      <c r="P1364" s="299"/>
      <c r="Q1364" s="299"/>
      <c r="R1364" s="299"/>
      <c r="S1364" s="299"/>
      <c r="T1364" s="299"/>
    </row>
    <row r="1365" ht="15.75" customHeight="1">
      <c r="G1365" s="298"/>
      <c r="H1365" s="298"/>
      <c r="I1365" s="299"/>
      <c r="J1365" s="299"/>
      <c r="K1365" s="299"/>
      <c r="L1365" s="299"/>
      <c r="M1365" s="299"/>
      <c r="N1365" s="299"/>
      <c r="O1365" s="299"/>
      <c r="P1365" s="299"/>
      <c r="Q1365" s="299"/>
      <c r="R1365" s="299"/>
      <c r="S1365" s="299"/>
      <c r="T1365" s="299"/>
    </row>
    <row r="1366" ht="15.75" customHeight="1">
      <c r="G1366" s="298"/>
      <c r="H1366" s="298"/>
      <c r="I1366" s="299"/>
      <c r="J1366" s="299"/>
      <c r="K1366" s="299"/>
      <c r="L1366" s="299"/>
      <c r="M1366" s="299"/>
      <c r="N1366" s="299"/>
      <c r="O1366" s="299"/>
      <c r="P1366" s="299"/>
      <c r="Q1366" s="299"/>
      <c r="R1366" s="299"/>
      <c r="S1366" s="299"/>
      <c r="T1366" s="299"/>
    </row>
    <row r="1367" ht="15.75" customHeight="1">
      <c r="G1367" s="298"/>
      <c r="H1367" s="298"/>
      <c r="I1367" s="299"/>
      <c r="J1367" s="299"/>
      <c r="K1367" s="299"/>
      <c r="L1367" s="299"/>
      <c r="M1367" s="299"/>
      <c r="N1367" s="299"/>
      <c r="O1367" s="299"/>
      <c r="P1367" s="299"/>
      <c r="Q1367" s="299"/>
      <c r="R1367" s="299"/>
      <c r="S1367" s="299"/>
      <c r="T1367" s="299"/>
    </row>
    <row r="1368" ht="15.75" customHeight="1">
      <c r="G1368" s="298"/>
      <c r="H1368" s="298"/>
      <c r="I1368" s="299"/>
      <c r="J1368" s="299"/>
      <c r="K1368" s="299"/>
      <c r="L1368" s="299"/>
      <c r="M1368" s="299"/>
      <c r="N1368" s="299"/>
      <c r="O1368" s="299"/>
      <c r="P1368" s="299"/>
      <c r="Q1368" s="299"/>
      <c r="R1368" s="299"/>
      <c r="S1368" s="299"/>
      <c r="T1368" s="299"/>
    </row>
    <row r="1369" ht="15.75" customHeight="1">
      <c r="G1369" s="298"/>
      <c r="H1369" s="298"/>
      <c r="I1369" s="299"/>
      <c r="J1369" s="299"/>
      <c r="K1369" s="299"/>
      <c r="L1369" s="299"/>
      <c r="M1369" s="299"/>
      <c r="N1369" s="299"/>
      <c r="O1369" s="299"/>
      <c r="P1369" s="299"/>
      <c r="Q1369" s="299"/>
      <c r="R1369" s="299"/>
      <c r="S1369" s="299"/>
      <c r="T1369" s="299"/>
    </row>
    <row r="1370" ht="15.75" customHeight="1">
      <c r="G1370" s="298"/>
      <c r="H1370" s="298"/>
      <c r="I1370" s="299"/>
      <c r="J1370" s="299"/>
      <c r="K1370" s="299"/>
      <c r="L1370" s="299"/>
      <c r="M1370" s="299"/>
      <c r="N1370" s="299"/>
      <c r="O1370" s="299"/>
      <c r="P1370" s="299"/>
      <c r="Q1370" s="299"/>
      <c r="R1370" s="299"/>
      <c r="S1370" s="299"/>
      <c r="T1370" s="299"/>
    </row>
    <row r="1371" ht="15.75" customHeight="1">
      <c r="G1371" s="298"/>
      <c r="H1371" s="298"/>
      <c r="I1371" s="299"/>
      <c r="J1371" s="299"/>
      <c r="K1371" s="299"/>
      <c r="L1371" s="299"/>
      <c r="M1371" s="299"/>
      <c r="N1371" s="299"/>
      <c r="O1371" s="299"/>
      <c r="P1371" s="299"/>
      <c r="Q1371" s="299"/>
      <c r="R1371" s="299"/>
      <c r="S1371" s="299"/>
      <c r="T1371" s="299"/>
    </row>
    <row r="1372" ht="15.75" customHeight="1">
      <c r="G1372" s="298"/>
      <c r="H1372" s="298"/>
      <c r="I1372" s="299"/>
      <c r="J1372" s="299"/>
      <c r="K1372" s="299"/>
      <c r="L1372" s="299"/>
      <c r="M1372" s="299"/>
      <c r="N1372" s="299"/>
      <c r="O1372" s="299"/>
      <c r="P1372" s="299"/>
      <c r="Q1372" s="299"/>
      <c r="R1372" s="299"/>
      <c r="S1372" s="299"/>
      <c r="T1372" s="299"/>
    </row>
    <row r="1373" ht="15.75" customHeight="1">
      <c r="G1373" s="298"/>
      <c r="H1373" s="298"/>
      <c r="I1373" s="299"/>
      <c r="J1373" s="299"/>
      <c r="K1373" s="299"/>
      <c r="L1373" s="299"/>
      <c r="M1373" s="299"/>
      <c r="N1373" s="299"/>
      <c r="O1373" s="299"/>
      <c r="P1373" s="299"/>
      <c r="Q1373" s="299"/>
      <c r="R1373" s="299"/>
      <c r="S1373" s="299"/>
      <c r="T1373" s="299"/>
    </row>
    <row r="1374" ht="15.75" customHeight="1">
      <c r="G1374" s="298"/>
      <c r="H1374" s="298"/>
      <c r="I1374" s="299"/>
      <c r="J1374" s="299"/>
      <c r="K1374" s="299"/>
      <c r="L1374" s="299"/>
      <c r="M1374" s="299"/>
      <c r="N1374" s="299"/>
      <c r="O1374" s="299"/>
      <c r="P1374" s="299"/>
      <c r="Q1374" s="299"/>
      <c r="R1374" s="299"/>
      <c r="S1374" s="299"/>
      <c r="T1374" s="299"/>
    </row>
  </sheetData>
  <autoFilter ref="$A$4:$T$410">
    <filterColumn colId="9">
      <filters>
        <filter val="Leonardo"/>
      </filters>
    </filterColumn>
  </autoFilter>
  <customSheetViews>
    <customSheetView guid="{4FC5A3C7-9538-474B-930D-1E4B548C3163}" filter="1" showAutoFilter="1">
      <autoFilter ref="$N$4:$N$410"/>
    </customSheetView>
    <customSheetView guid="{4FC5A3C7-9538-474B-930D-1E4B548C3163}" filter="1" showAutoFilter="1">
      <autoFilter ref="$A$4:$T$410"/>
    </customSheetView>
    <customSheetView guid="{4FC5A3C7-9538-474B-930D-1E4B548C3163}" filter="1" showAutoFilter="1">
      <autoFilter ref="$A$4:$T$410"/>
    </customSheetView>
    <customSheetView guid="{4FC5A3C7-9538-474B-930D-1E4B548C3163}" filter="1" showAutoFilter="1">
      <autoFilter ref="$A$4:$T$410"/>
    </customSheetView>
    <customSheetView guid="{4FC5A3C7-9538-474B-930D-1E4B548C3163}" filter="1" showAutoFilter="1">
      <autoFilter ref="$A$4:$T$410"/>
    </customSheetView>
  </customSheetViews>
  <conditionalFormatting sqref="A1">
    <cfRule type="notContainsBlanks" dxfId="0" priority="1">
      <formula>LEN(TRIM(A1))&gt;0</formula>
    </cfRule>
  </conditionalFormatting>
  <dataValidations>
    <dataValidation type="list" allowBlank="1" showErrorMessage="1" sqref="E5:E410">
      <formula1>"Samambaia,Colemar,Ap. Goiânia,Firminópolis,Caldas Novas,Goiás,Externo,Cidade Ocidental,Anápolis"</formula1>
    </dataValidation>
    <dataValidation type="list" allowBlank="1" showErrorMessage="1" sqref="J5:J410">
      <formula1>"Adriano,Gabriela,Gerani,Inah,Leonardo,Matheus,Murillo,Frederico,Cruciano"</formula1>
    </dataValidation>
    <dataValidation type="list" allowBlank="1" showErrorMessage="1" sqref="S5:S410">
      <formula1>"DMOE,DMOC,DMEQ,DMURB,Orçado,Em orçamentação,Contratato,Em contratação,Executado,Em Execução,Compl. em contratação,Compl. em Elaboração,Compl. Concluídos,Retornado p/ Demandante,Concluído na SEINFRA,Retornado Secretário (a)"</formula1>
    </dataValidation>
    <dataValidation type="list" allowBlank="1" showErrorMessage="1" sqref="F5:F410">
      <formula1>"Cidade Ocidental,Goiânia,Goiás,Firminópolis,Caldas Novas,Anápolis"</formula1>
    </dataValidation>
    <dataValidation type="list" allowBlank="1" showErrorMessage="1" sqref="N5:N410">
      <formula1>"Atribuir,A iniciar,Em Andamento,Pausado,Aguard. Definição,Concluído,Concl. s/ enc."</formula1>
    </dataValidation>
    <dataValidation type="list" allowBlank="1" showErrorMessage="1" sqref="I5:I410">
      <formula1>"Alta,Normal,Baixa"</formula1>
    </dataValidation>
    <dataValidation type="list" allowBlank="1" showErrorMessage="1" sqref="H5:H410">
      <formula1>"Classificar,Reformas/Adequações,Construções Novas,Paisagismo,Estruturas de Apoio,Avaliação/Parecer/Estudo,Administrativo,Regularização/Aprovação,Levantamento,Outros"</formula1>
    </dataValidation>
  </dataValidations>
  <hyperlinks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2"/>
    <hyperlink r:id="rId30" ref="A33"/>
    <hyperlink r:id="rId31" ref="A34"/>
    <hyperlink r:id="rId32" ref="A35"/>
    <hyperlink r:id="rId33" ref="A36"/>
    <hyperlink r:id="rId34" ref="A37"/>
    <hyperlink r:id="rId35" ref="A38"/>
    <hyperlink r:id="rId36" ref="A40"/>
    <hyperlink r:id="rId37" ref="A41"/>
    <hyperlink r:id="rId38" ref="A42"/>
    <hyperlink r:id="rId39" ref="A44"/>
    <hyperlink r:id="rId40" ref="A45"/>
    <hyperlink r:id="rId41" ref="A46"/>
    <hyperlink r:id="rId42" ref="A47"/>
    <hyperlink r:id="rId43" ref="A48"/>
    <hyperlink r:id="rId44" ref="A49"/>
    <hyperlink r:id="rId45" ref="A50"/>
    <hyperlink r:id="rId46" ref="A52"/>
    <hyperlink r:id="rId47" ref="A53"/>
    <hyperlink r:id="rId48" ref="A55"/>
    <hyperlink r:id="rId49" ref="A56"/>
    <hyperlink r:id="rId50" ref="A57"/>
    <hyperlink r:id="rId51" ref="A58"/>
    <hyperlink r:id="rId52" ref="A59"/>
    <hyperlink r:id="rId53" ref="A60"/>
    <hyperlink r:id="rId54" ref="A61"/>
    <hyperlink r:id="rId55" ref="A62"/>
    <hyperlink r:id="rId56" ref="A63"/>
    <hyperlink r:id="rId57" ref="A64"/>
    <hyperlink r:id="rId58" ref="A66"/>
    <hyperlink r:id="rId59" ref="A67"/>
    <hyperlink r:id="rId60" ref="A68"/>
    <hyperlink r:id="rId61" ref="A69"/>
    <hyperlink r:id="rId62" ref="A70"/>
    <hyperlink r:id="rId63" ref="A71"/>
    <hyperlink r:id="rId64" ref="A72"/>
    <hyperlink r:id="rId65" ref="A73"/>
    <hyperlink r:id="rId66" ref="A74"/>
    <hyperlink r:id="rId67" ref="A75"/>
    <hyperlink r:id="rId68" ref="A76"/>
    <hyperlink r:id="rId69" ref="A77"/>
    <hyperlink r:id="rId70" ref="A80"/>
    <hyperlink r:id="rId71" ref="A81"/>
    <hyperlink r:id="rId72" ref="A82"/>
    <hyperlink r:id="rId73" ref="A83"/>
    <hyperlink r:id="rId74" ref="A84"/>
    <hyperlink r:id="rId75" ref="A85"/>
    <hyperlink r:id="rId76" ref="A87"/>
    <hyperlink r:id="rId77" ref="A88"/>
    <hyperlink r:id="rId78" ref="A89"/>
    <hyperlink r:id="rId79" ref="A90"/>
    <hyperlink r:id="rId80" ref="A91"/>
    <hyperlink r:id="rId81" ref="A92"/>
    <hyperlink r:id="rId82" ref="A93"/>
    <hyperlink r:id="rId83" ref="A94"/>
    <hyperlink r:id="rId84" ref="A95"/>
    <hyperlink r:id="rId85" ref="A96"/>
    <hyperlink r:id="rId86" ref="A97"/>
    <hyperlink r:id="rId87" ref="A98"/>
    <hyperlink r:id="rId88" ref="A99"/>
    <hyperlink r:id="rId89" ref="A100"/>
    <hyperlink r:id="rId90" ref="A101"/>
    <hyperlink r:id="rId91" ref="A102"/>
    <hyperlink r:id="rId92" ref="A103"/>
    <hyperlink r:id="rId93" ref="A104"/>
    <hyperlink r:id="rId94" ref="A105"/>
    <hyperlink r:id="rId95" ref="A107"/>
    <hyperlink r:id="rId96" ref="A109"/>
    <hyperlink r:id="rId97" ref="A110"/>
    <hyperlink r:id="rId98" ref="A111"/>
    <hyperlink r:id="rId99" ref="A112"/>
    <hyperlink r:id="rId100" ref="A113"/>
    <hyperlink r:id="rId101" ref="A114"/>
    <hyperlink r:id="rId102" ref="A115"/>
    <hyperlink r:id="rId103" ref="A116"/>
    <hyperlink r:id="rId104" ref="A117"/>
    <hyperlink r:id="rId105" ref="A118"/>
    <hyperlink r:id="rId106" ref="A119"/>
    <hyperlink r:id="rId107" ref="A120"/>
    <hyperlink r:id="rId108" ref="A121"/>
    <hyperlink r:id="rId109" ref="A122"/>
    <hyperlink r:id="rId110" ref="A123"/>
    <hyperlink r:id="rId111" ref="A124"/>
    <hyperlink r:id="rId112" ref="A127"/>
    <hyperlink r:id="rId113" ref="A129"/>
    <hyperlink r:id="rId114" ref="A130"/>
    <hyperlink r:id="rId115" ref="A131"/>
    <hyperlink r:id="rId116" ref="A132"/>
    <hyperlink r:id="rId117" ref="A133"/>
    <hyperlink r:id="rId118" ref="A134"/>
    <hyperlink r:id="rId119" ref="A135"/>
    <hyperlink r:id="rId120" ref="A136"/>
    <hyperlink r:id="rId121" ref="A137"/>
    <hyperlink r:id="rId122" ref="A138"/>
    <hyperlink r:id="rId123" ref="A139"/>
    <hyperlink r:id="rId124" ref="A140"/>
    <hyperlink r:id="rId125" ref="A141"/>
    <hyperlink r:id="rId126" ref="A142"/>
    <hyperlink r:id="rId127" ref="A143"/>
    <hyperlink r:id="rId128" ref="A144"/>
    <hyperlink r:id="rId129" ref="A145"/>
    <hyperlink r:id="rId130" ref="A147"/>
    <hyperlink r:id="rId131" ref="A148"/>
    <hyperlink r:id="rId132" ref="A150"/>
    <hyperlink r:id="rId133" ref="A151"/>
    <hyperlink r:id="rId134" ref="A152"/>
    <hyperlink r:id="rId135" ref="A154"/>
    <hyperlink r:id="rId136" ref="A155"/>
    <hyperlink r:id="rId137" ref="A156"/>
    <hyperlink r:id="rId138" ref="A158"/>
    <hyperlink r:id="rId139" ref="A159"/>
    <hyperlink r:id="rId140" ref="A160"/>
    <hyperlink r:id="rId141" ref="A161"/>
    <hyperlink r:id="rId142" ref="A162"/>
    <hyperlink r:id="rId143" ref="A163"/>
    <hyperlink r:id="rId144" ref="A164"/>
    <hyperlink r:id="rId145" ref="A165"/>
    <hyperlink r:id="rId146" ref="A166"/>
    <hyperlink r:id="rId147" ref="A167"/>
    <hyperlink r:id="rId148" ref="A168"/>
    <hyperlink r:id="rId149" ref="A169"/>
    <hyperlink r:id="rId150" ref="A170"/>
    <hyperlink r:id="rId151" ref="A171"/>
    <hyperlink r:id="rId152" ref="A172"/>
    <hyperlink r:id="rId153" ref="A173"/>
    <hyperlink r:id="rId154" ref="A174"/>
    <hyperlink r:id="rId155" ref="A176"/>
    <hyperlink r:id="rId156" ref="A177"/>
    <hyperlink r:id="rId157" ref="A179"/>
    <hyperlink r:id="rId158" ref="A180"/>
    <hyperlink r:id="rId159" ref="A183"/>
    <hyperlink r:id="rId160" ref="A184"/>
    <hyperlink r:id="rId161" ref="A185"/>
    <hyperlink r:id="rId162" ref="A186"/>
    <hyperlink r:id="rId163" ref="A188"/>
    <hyperlink r:id="rId164" ref="A189"/>
    <hyperlink r:id="rId165" ref="A190"/>
    <hyperlink r:id="rId166" ref="A191"/>
    <hyperlink r:id="rId167" ref="A192"/>
    <hyperlink r:id="rId168" ref="A195"/>
    <hyperlink r:id="rId169" ref="A196"/>
    <hyperlink r:id="rId170" ref="A197"/>
    <hyperlink r:id="rId171" ref="A198"/>
    <hyperlink r:id="rId172" ref="A201"/>
    <hyperlink r:id="rId173" ref="A203"/>
    <hyperlink r:id="rId174" ref="A204"/>
    <hyperlink r:id="rId175" ref="G204"/>
    <hyperlink r:id="rId176" ref="A205"/>
    <hyperlink r:id="rId177" ref="A206"/>
    <hyperlink r:id="rId178" ref="A207"/>
    <hyperlink r:id="rId179" ref="A208"/>
    <hyperlink r:id="rId180" ref="A209"/>
    <hyperlink r:id="rId181" ref="A210"/>
    <hyperlink r:id="rId182" ref="A211"/>
    <hyperlink r:id="rId183" ref="A212"/>
    <hyperlink r:id="rId184" ref="A213"/>
    <hyperlink r:id="rId185" ref="A214"/>
    <hyperlink r:id="rId186" ref="A215"/>
    <hyperlink r:id="rId187" ref="A216"/>
    <hyperlink r:id="rId188" ref="A217"/>
    <hyperlink r:id="rId189" ref="A218"/>
    <hyperlink r:id="rId190" ref="A219"/>
    <hyperlink r:id="rId191" ref="A220"/>
    <hyperlink r:id="rId192" ref="A222"/>
    <hyperlink r:id="rId193" ref="A223"/>
    <hyperlink r:id="rId194" ref="A224"/>
    <hyperlink r:id="rId195" ref="A225"/>
    <hyperlink r:id="rId196" ref="A226"/>
    <hyperlink r:id="rId197" ref="A227"/>
    <hyperlink r:id="rId198" ref="A228"/>
    <hyperlink r:id="rId199" ref="A229"/>
    <hyperlink r:id="rId200" ref="A230"/>
    <hyperlink r:id="rId201" ref="A231"/>
    <hyperlink r:id="rId202" ref="A232"/>
    <hyperlink r:id="rId203" ref="A233"/>
    <hyperlink r:id="rId204" ref="A234"/>
    <hyperlink r:id="rId205" ref="A235"/>
    <hyperlink r:id="rId206" ref="A236"/>
    <hyperlink r:id="rId207" ref="A237"/>
    <hyperlink r:id="rId208" ref="A238"/>
    <hyperlink r:id="rId209" ref="A239"/>
    <hyperlink r:id="rId210" ref="A240"/>
    <hyperlink r:id="rId211" ref="A241"/>
    <hyperlink r:id="rId212" ref="A242"/>
    <hyperlink r:id="rId213" ref="A244"/>
    <hyperlink r:id="rId214" ref="A245"/>
    <hyperlink r:id="rId215" ref="A246"/>
    <hyperlink r:id="rId216" ref="A247"/>
    <hyperlink r:id="rId217" ref="A248"/>
    <hyperlink r:id="rId218" ref="A249"/>
    <hyperlink r:id="rId219" ref="A250"/>
    <hyperlink r:id="rId220" ref="A251"/>
    <hyperlink r:id="rId221" ref="A252"/>
    <hyperlink r:id="rId222" ref="A253"/>
    <hyperlink r:id="rId223" ref="A254"/>
    <hyperlink r:id="rId224" ref="A255"/>
    <hyperlink r:id="rId225" ref="A257"/>
    <hyperlink r:id="rId226" ref="A258"/>
    <hyperlink r:id="rId227" ref="A259"/>
    <hyperlink r:id="rId228" ref="A260"/>
    <hyperlink r:id="rId229" ref="A261"/>
    <hyperlink r:id="rId230" ref="A263"/>
    <hyperlink r:id="rId231" ref="A264"/>
    <hyperlink r:id="rId232" ref="A265"/>
    <hyperlink r:id="rId233" ref="A266"/>
    <hyperlink r:id="rId234" ref="A267"/>
    <hyperlink r:id="rId235" ref="A268"/>
    <hyperlink r:id="rId236" ref="A269"/>
    <hyperlink r:id="rId237" ref="A270"/>
    <hyperlink r:id="rId238" ref="A271"/>
    <hyperlink r:id="rId239" ref="A272"/>
    <hyperlink r:id="rId240" ref="A273"/>
    <hyperlink r:id="rId241" ref="A274"/>
    <hyperlink r:id="rId242" ref="A275"/>
    <hyperlink r:id="rId243" ref="A276"/>
    <hyperlink r:id="rId244" ref="A277"/>
    <hyperlink r:id="rId245" ref="A279"/>
    <hyperlink r:id="rId246" ref="A280"/>
    <hyperlink r:id="rId247" ref="A281"/>
    <hyperlink r:id="rId248" ref="A282"/>
    <hyperlink r:id="rId249" ref="A283"/>
    <hyperlink r:id="rId250" ref="A284"/>
    <hyperlink r:id="rId251" ref="A285"/>
    <hyperlink r:id="rId252" ref="A286"/>
    <hyperlink r:id="rId253" ref="A287"/>
    <hyperlink r:id="rId254" ref="A288"/>
    <hyperlink r:id="rId255" ref="A289"/>
    <hyperlink r:id="rId256" ref="A290"/>
    <hyperlink r:id="rId257" ref="A291"/>
    <hyperlink r:id="rId258" ref="A292"/>
    <hyperlink r:id="rId259" ref="A293"/>
    <hyperlink r:id="rId260" ref="A294"/>
    <hyperlink r:id="rId261" ref="A295"/>
    <hyperlink r:id="rId262" ref="A296"/>
    <hyperlink r:id="rId263" ref="A297"/>
    <hyperlink r:id="rId264" ref="A298"/>
    <hyperlink r:id="rId265" ref="A299"/>
    <hyperlink r:id="rId266" ref="A300"/>
    <hyperlink r:id="rId267" ref="A301"/>
    <hyperlink r:id="rId268" ref="A302"/>
    <hyperlink r:id="rId269" ref="A303"/>
    <hyperlink r:id="rId270" ref="A304"/>
    <hyperlink r:id="rId271" ref="A305"/>
    <hyperlink r:id="rId272" ref="A306"/>
    <hyperlink r:id="rId273" ref="A307"/>
    <hyperlink r:id="rId274" ref="A308"/>
    <hyperlink r:id="rId275" ref="A309"/>
    <hyperlink r:id="rId276" ref="A310"/>
    <hyperlink r:id="rId277" ref="A311"/>
    <hyperlink r:id="rId278" ref="A312"/>
    <hyperlink r:id="rId279" ref="A313"/>
    <hyperlink r:id="rId280" ref="A314"/>
    <hyperlink r:id="rId281" ref="A316"/>
    <hyperlink r:id="rId282" ref="A317"/>
    <hyperlink r:id="rId283" ref="A318"/>
    <hyperlink r:id="rId284" ref="A319"/>
    <hyperlink r:id="rId285" ref="A320"/>
    <hyperlink r:id="rId286" ref="A321"/>
    <hyperlink r:id="rId287" ref="A322"/>
    <hyperlink r:id="rId288" ref="A323"/>
    <hyperlink r:id="rId289" ref="A324"/>
    <hyperlink r:id="rId290" ref="A325"/>
    <hyperlink r:id="rId291" ref="A326"/>
    <hyperlink r:id="rId292" ref="A327"/>
    <hyperlink r:id="rId293" ref="A328"/>
    <hyperlink r:id="rId294" ref="A329"/>
    <hyperlink r:id="rId295" ref="A331"/>
    <hyperlink r:id="rId296" ref="A332"/>
    <hyperlink r:id="rId297" ref="A333"/>
    <hyperlink r:id="rId298" ref="A334"/>
    <hyperlink r:id="rId299" ref="A335"/>
    <hyperlink r:id="rId300" ref="A336"/>
    <hyperlink r:id="rId301" ref="A337"/>
    <hyperlink r:id="rId302" ref="A338"/>
    <hyperlink r:id="rId303" ref="A339"/>
    <hyperlink r:id="rId304" ref="A340"/>
    <hyperlink r:id="rId305" ref="A341"/>
    <hyperlink r:id="rId306" ref="A342"/>
    <hyperlink r:id="rId307" ref="A343"/>
    <hyperlink r:id="rId308" ref="A344"/>
    <hyperlink r:id="rId309" ref="A345"/>
    <hyperlink r:id="rId310" ref="A346"/>
    <hyperlink r:id="rId311" ref="A347"/>
    <hyperlink r:id="rId312" ref="A348"/>
    <hyperlink r:id="rId313" ref="A349"/>
    <hyperlink r:id="rId314" ref="A350"/>
    <hyperlink r:id="rId315" ref="A351"/>
    <hyperlink r:id="rId316" ref="A352"/>
    <hyperlink r:id="rId317" ref="A353"/>
    <hyperlink r:id="rId318" ref="A354"/>
    <hyperlink r:id="rId319" ref="A355"/>
    <hyperlink r:id="rId320" ref="A356"/>
    <hyperlink r:id="rId321" ref="A357"/>
    <hyperlink r:id="rId322" ref="A358"/>
    <hyperlink r:id="rId323" ref="A359"/>
    <hyperlink r:id="rId324" ref="A360"/>
    <hyperlink r:id="rId325" ref="A361"/>
    <hyperlink r:id="rId326" ref="A362"/>
    <hyperlink r:id="rId327" ref="A363"/>
    <hyperlink r:id="rId328" ref="A364"/>
    <hyperlink r:id="rId329" ref="A365"/>
    <hyperlink r:id="rId330" ref="A366"/>
    <hyperlink r:id="rId331" ref="A368"/>
    <hyperlink r:id="rId332" ref="A369"/>
    <hyperlink r:id="rId333" ref="A370"/>
    <hyperlink r:id="rId334" ref="A371"/>
    <hyperlink r:id="rId335" ref="A372"/>
    <hyperlink r:id="rId336" ref="A373"/>
    <hyperlink r:id="rId337" ref="A376"/>
    <hyperlink r:id="rId338" ref="A377"/>
    <hyperlink r:id="rId339" ref="A378"/>
    <hyperlink r:id="rId340" ref="A379"/>
    <hyperlink r:id="rId341" ref="A380"/>
    <hyperlink r:id="rId342" ref="A381"/>
    <hyperlink r:id="rId343" ref="A382"/>
    <hyperlink r:id="rId344" ref="A383"/>
    <hyperlink r:id="rId345" ref="A384"/>
    <hyperlink r:id="rId346" ref="A385"/>
    <hyperlink r:id="rId347" ref="A386"/>
    <hyperlink r:id="rId348" ref="A387"/>
    <hyperlink r:id="rId349" ref="A388"/>
    <hyperlink r:id="rId350" ref="A389"/>
    <hyperlink r:id="rId351" ref="A390"/>
    <hyperlink r:id="rId352" ref="A391"/>
    <hyperlink r:id="rId353" ref="A392"/>
    <hyperlink r:id="rId354" ref="A393"/>
    <hyperlink r:id="rId355" ref="A394"/>
    <hyperlink r:id="rId356" ref="A395"/>
    <hyperlink r:id="rId357" ref="A396"/>
    <hyperlink r:id="rId358" ref="A397"/>
    <hyperlink r:id="rId359" ref="A398"/>
    <hyperlink r:id="rId360" ref="A399"/>
    <hyperlink r:id="rId361" ref="A400"/>
    <hyperlink r:id="rId362" ref="A401"/>
    <hyperlink r:id="rId363" ref="A402"/>
    <hyperlink r:id="rId364" ref="A403"/>
    <hyperlink r:id="rId365" ref="A404"/>
    <hyperlink r:id="rId366" ref="A405"/>
    <hyperlink r:id="rId367" ref="A406"/>
    <hyperlink r:id="rId368" ref="A407"/>
    <hyperlink r:id="rId369" ref="A408"/>
    <hyperlink r:id="rId370" ref="A409"/>
    <hyperlink r:id="rId371" ref="A410"/>
  </hyperlinks>
  <printOptions/>
  <pageMargins bottom="0.3937007874015748" footer="0.0" header="0.0" left="0.2362204724409449" right="0.1968503937007874" top="0.4724409448818898"/>
  <pageSetup fitToHeight="0" paperSize="9" orientation="landscape"/>
  <drawing r:id="rId372"/>
  <legacyDrawing r:id="rId3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sheetData>
    <row r="1">
      <c r="A1" s="300" t="s">
        <v>1205</v>
      </c>
    </row>
    <row r="2"/>
    <row r="3"/>
    <row r="4"/>
    <row r="5"/>
    <row r="6"/>
    <row r="7"/>
    <row r="8"/>
    <row r="9">
      <c r="A9" s="303">
        <f>NOW()</f>
        <v>46212.13434</v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>
      <c r="S38" s="304" t="s">
        <v>68</v>
      </c>
      <c r="T38" s="304"/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</sheetData>
  <mergeCells count="2">
    <mergeCell ref="A1:C8"/>
    <mergeCell ref="A9:C9"/>
  </mergeCells>
  <printOptions gridLines="1" horizontalCentered="1" verticalCentered="1"/>
  <pageMargins bottom="0.25" footer="0.0" header="0.0" left="0.25" right="0.25" top="0.25"/>
  <pageSetup paperSize="9" cellComments="atEnd" orientation="landscape" pageOrder="overThenDown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sheetData>
    <row r="1">
      <c r="A1" s="304" t="str">
        <f t="array" ref="A1:T1025">DEMANDAS!A1:Z1025</f>
        <v>DEMANDAS DIRETORIAS DE PROJETOS - SEINFRA/UFG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 t="s">
        <v>1</v>
      </c>
      <c r="T1" s="305">
        <v>46212.13433503472</v>
      </c>
    </row>
    <row r="2">
      <c r="A2" s="304" t="s">
        <v>2</v>
      </c>
      <c r="B2" s="304" t="s">
        <v>3</v>
      </c>
      <c r="C2" s="304" t="s">
        <v>4</v>
      </c>
      <c r="D2" s="304" t="s">
        <v>5</v>
      </c>
      <c r="E2" s="304" t="s">
        <v>6</v>
      </c>
      <c r="F2" s="304" t="s">
        <v>7</v>
      </c>
      <c r="G2" s="304" t="s">
        <v>8</v>
      </c>
      <c r="H2" s="304" t="s">
        <v>9</v>
      </c>
      <c r="I2" s="304" t="s">
        <v>10</v>
      </c>
      <c r="J2" s="304" t="s">
        <v>11</v>
      </c>
      <c r="K2" s="304" t="s">
        <v>12</v>
      </c>
      <c r="L2" s="304" t="s">
        <v>13</v>
      </c>
      <c r="M2" s="304" t="s">
        <v>14</v>
      </c>
      <c r="N2" s="304" t="s">
        <v>15</v>
      </c>
      <c r="O2" s="304" t="s">
        <v>16</v>
      </c>
      <c r="P2" s="304" t="s">
        <v>17</v>
      </c>
      <c r="Q2" s="304" t="s">
        <v>18</v>
      </c>
      <c r="R2" s="304" t="s">
        <v>19</v>
      </c>
      <c r="S2" s="304" t="s">
        <v>20</v>
      </c>
      <c r="T2" s="304" t="s">
        <v>21</v>
      </c>
    </row>
    <row r="3">
      <c r="A3" s="304"/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</row>
    <row r="4">
      <c r="A4" s="304">
        <v>83.0</v>
      </c>
      <c r="B4" s="304" t="s">
        <v>3</v>
      </c>
      <c r="C4" s="304" t="s">
        <v>4</v>
      </c>
      <c r="D4" s="304" t="s">
        <v>5</v>
      </c>
      <c r="E4" s="304" t="s">
        <v>6</v>
      </c>
      <c r="F4" s="304" t="s">
        <v>7</v>
      </c>
      <c r="G4" s="304" t="s">
        <v>8</v>
      </c>
      <c r="H4" s="304" t="s">
        <v>9</v>
      </c>
      <c r="I4" s="304" t="s">
        <v>10</v>
      </c>
      <c r="J4" s="304" t="s">
        <v>11</v>
      </c>
      <c r="K4" s="304" t="s">
        <v>12</v>
      </c>
      <c r="L4" s="304" t="s">
        <v>13</v>
      </c>
      <c r="M4" s="304" t="s">
        <v>14</v>
      </c>
      <c r="N4" s="304" t="s">
        <v>15</v>
      </c>
      <c r="O4" s="304" t="s">
        <v>16</v>
      </c>
      <c r="P4" s="304" t="s">
        <v>17</v>
      </c>
      <c r="Q4" s="304" t="s">
        <v>18</v>
      </c>
      <c r="R4" s="304" t="s">
        <v>19</v>
      </c>
      <c r="S4" s="304" t="s">
        <v>20</v>
      </c>
      <c r="T4" s="304" t="s">
        <v>22</v>
      </c>
    </row>
    <row r="5">
      <c r="A5" s="306" t="s">
        <v>23</v>
      </c>
      <c r="B5" s="307">
        <v>46195.0</v>
      </c>
      <c r="C5" s="308">
        <v>46195.0</v>
      </c>
      <c r="D5" s="304" t="s">
        <v>24</v>
      </c>
      <c r="E5" s="304" t="s">
        <v>25</v>
      </c>
      <c r="F5" s="304" t="s">
        <v>26</v>
      </c>
      <c r="G5" s="304" t="s">
        <v>27</v>
      </c>
      <c r="H5" s="304" t="s">
        <v>28</v>
      </c>
      <c r="I5" s="304" t="s">
        <v>29</v>
      </c>
      <c r="J5" s="304"/>
      <c r="K5" s="309"/>
      <c r="L5" s="309"/>
      <c r="M5" s="309"/>
      <c r="N5" s="304" t="s">
        <v>30</v>
      </c>
      <c r="O5" s="304"/>
      <c r="P5" s="309"/>
      <c r="Q5" s="309"/>
      <c r="R5" s="308"/>
      <c r="S5" s="304"/>
      <c r="T5" s="304"/>
    </row>
    <row r="6">
      <c r="A6" s="306" t="s">
        <v>31</v>
      </c>
      <c r="B6" s="307">
        <v>46190.0</v>
      </c>
      <c r="C6" s="308">
        <v>46190.0</v>
      </c>
      <c r="D6" s="304" t="s">
        <v>32</v>
      </c>
      <c r="E6" s="304" t="s">
        <v>33</v>
      </c>
      <c r="F6" s="304" t="s">
        <v>26</v>
      </c>
      <c r="G6" s="304" t="s">
        <v>34</v>
      </c>
      <c r="H6" s="304" t="s">
        <v>35</v>
      </c>
      <c r="I6" s="304" t="s">
        <v>36</v>
      </c>
      <c r="J6" s="304"/>
      <c r="K6" s="309"/>
      <c r="L6" s="309"/>
      <c r="M6" s="309"/>
      <c r="N6" s="304" t="s">
        <v>30</v>
      </c>
      <c r="O6" s="304"/>
      <c r="P6" s="309"/>
      <c r="Q6" s="309"/>
      <c r="R6" s="308"/>
      <c r="S6" s="304"/>
      <c r="T6" s="304"/>
    </row>
    <row r="7">
      <c r="A7" s="306" t="s">
        <v>37</v>
      </c>
      <c r="B7" s="307">
        <v>46182.0</v>
      </c>
      <c r="C7" s="308">
        <v>46182.0</v>
      </c>
      <c r="D7" s="304" t="s">
        <v>38</v>
      </c>
      <c r="E7" s="304" t="s">
        <v>33</v>
      </c>
      <c r="F7" s="304" t="s">
        <v>26</v>
      </c>
      <c r="G7" s="304" t="s">
        <v>39</v>
      </c>
      <c r="H7" s="304" t="s">
        <v>40</v>
      </c>
      <c r="I7" s="304" t="s">
        <v>29</v>
      </c>
      <c r="J7" s="304" t="s">
        <v>41</v>
      </c>
      <c r="K7" s="309">
        <v>46182.0</v>
      </c>
      <c r="L7" s="309"/>
      <c r="M7" s="307">
        <v>46197.0</v>
      </c>
      <c r="N7" s="304" t="s">
        <v>42</v>
      </c>
      <c r="O7" s="304"/>
      <c r="P7" s="309"/>
      <c r="Q7" s="309">
        <v>46204.0</v>
      </c>
      <c r="R7" s="308">
        <v>46204.0</v>
      </c>
      <c r="S7" s="304" t="s">
        <v>43</v>
      </c>
      <c r="T7" s="304" t="s">
        <v>44</v>
      </c>
    </row>
    <row r="8">
      <c r="A8" s="306" t="s">
        <v>45</v>
      </c>
      <c r="B8" s="307">
        <v>46181.0</v>
      </c>
      <c r="C8" s="308">
        <v>46181.0</v>
      </c>
      <c r="D8" s="304" t="s">
        <v>46</v>
      </c>
      <c r="E8" s="304" t="s">
        <v>47</v>
      </c>
      <c r="F8" s="304" t="s">
        <v>47</v>
      </c>
      <c r="G8" s="304" t="s">
        <v>48</v>
      </c>
      <c r="H8" s="304" t="s">
        <v>49</v>
      </c>
      <c r="I8" s="304" t="s">
        <v>36</v>
      </c>
      <c r="J8" s="304" t="s">
        <v>41</v>
      </c>
      <c r="K8" s="309">
        <v>46181.0</v>
      </c>
      <c r="L8" s="309"/>
      <c r="M8" s="309">
        <v>46204.0</v>
      </c>
      <c r="N8" s="304" t="s">
        <v>42</v>
      </c>
      <c r="O8" s="304"/>
      <c r="P8" s="309"/>
      <c r="Q8" s="309">
        <v>46204.0</v>
      </c>
      <c r="R8" s="308">
        <v>46204.0</v>
      </c>
      <c r="S8" s="304" t="s">
        <v>50</v>
      </c>
      <c r="T8" s="304"/>
    </row>
    <row r="9">
      <c r="A9" s="306" t="s">
        <v>51</v>
      </c>
      <c r="B9" s="307">
        <v>46174.0</v>
      </c>
      <c r="C9" s="308">
        <v>46174.0</v>
      </c>
      <c r="D9" s="304" t="s">
        <v>52</v>
      </c>
      <c r="E9" s="304"/>
      <c r="F9" s="304"/>
      <c r="G9" s="304" t="s">
        <v>53</v>
      </c>
      <c r="H9" s="304" t="s">
        <v>54</v>
      </c>
      <c r="I9" s="304" t="s">
        <v>36</v>
      </c>
      <c r="J9" s="304" t="s">
        <v>41</v>
      </c>
      <c r="K9" s="309">
        <v>46174.0</v>
      </c>
      <c r="L9" s="309"/>
      <c r="M9" s="309"/>
      <c r="N9" s="304" t="s">
        <v>55</v>
      </c>
      <c r="O9" s="304"/>
      <c r="P9" s="309"/>
      <c r="Q9" s="309"/>
      <c r="R9" s="308"/>
      <c r="S9" s="304"/>
      <c r="T9" s="304"/>
    </row>
    <row r="10">
      <c r="A10" s="306" t="s">
        <v>56</v>
      </c>
      <c r="B10" s="307">
        <v>46164.0</v>
      </c>
      <c r="C10" s="308">
        <v>46164.0</v>
      </c>
      <c r="D10" s="304" t="s">
        <v>57</v>
      </c>
      <c r="E10" s="304" t="s">
        <v>58</v>
      </c>
      <c r="F10" s="304" t="s">
        <v>58</v>
      </c>
      <c r="G10" s="304" t="s">
        <v>59</v>
      </c>
      <c r="H10" s="304" t="s">
        <v>60</v>
      </c>
      <c r="I10" s="304" t="s">
        <v>61</v>
      </c>
      <c r="J10" s="304"/>
      <c r="K10" s="309"/>
      <c r="L10" s="309"/>
      <c r="M10" s="309"/>
      <c r="N10" s="304" t="s">
        <v>30</v>
      </c>
      <c r="O10" s="304"/>
      <c r="P10" s="309"/>
      <c r="Q10" s="309"/>
      <c r="R10" s="308"/>
      <c r="S10" s="304"/>
      <c r="T10" s="304"/>
    </row>
    <row r="11">
      <c r="A11" s="306" t="s">
        <v>62</v>
      </c>
      <c r="B11" s="307">
        <v>46163.0</v>
      </c>
      <c r="C11" s="308">
        <v>46163.0</v>
      </c>
      <c r="D11" s="304" t="s">
        <v>52</v>
      </c>
      <c r="E11" s="304"/>
      <c r="F11" s="304"/>
      <c r="G11" s="304" t="s">
        <v>63</v>
      </c>
      <c r="H11" s="304" t="s">
        <v>54</v>
      </c>
      <c r="I11" s="304" t="s">
        <v>36</v>
      </c>
      <c r="J11" s="304" t="s">
        <v>41</v>
      </c>
      <c r="K11" s="309">
        <v>46163.0</v>
      </c>
      <c r="L11" s="309"/>
      <c r="M11" s="309"/>
      <c r="N11" s="304" t="s">
        <v>64</v>
      </c>
      <c r="O11" s="304"/>
      <c r="P11" s="309"/>
      <c r="Q11" s="309"/>
      <c r="R11" s="308"/>
      <c r="S11" s="304"/>
      <c r="T11" s="304"/>
    </row>
    <row r="12">
      <c r="A12" s="306" t="s">
        <v>65</v>
      </c>
      <c r="B12" s="307">
        <v>46160.0</v>
      </c>
      <c r="C12" s="308">
        <v>46160.0</v>
      </c>
      <c r="D12" s="304" t="s">
        <v>66</v>
      </c>
      <c r="E12" s="304" t="s">
        <v>25</v>
      </c>
      <c r="F12" s="304" t="s">
        <v>26</v>
      </c>
      <c r="G12" s="304" t="s">
        <v>67</v>
      </c>
      <c r="H12" s="304" t="s">
        <v>28</v>
      </c>
      <c r="I12" s="304" t="s">
        <v>61</v>
      </c>
      <c r="J12" s="304"/>
      <c r="K12" s="309"/>
      <c r="L12" s="304" t="s">
        <v>68</v>
      </c>
      <c r="M12" s="309"/>
      <c r="N12" s="304" t="s">
        <v>30</v>
      </c>
      <c r="O12" s="304"/>
      <c r="P12" s="309"/>
      <c r="Q12" s="309"/>
      <c r="R12" s="308"/>
      <c r="S12" s="304"/>
      <c r="T12" s="304" t="s">
        <v>69</v>
      </c>
    </row>
    <row r="13">
      <c r="A13" s="306" t="s">
        <v>70</v>
      </c>
      <c r="B13" s="307">
        <v>46160.0</v>
      </c>
      <c r="C13" s="308">
        <v>46160.0</v>
      </c>
      <c r="D13" s="304" t="s">
        <v>24</v>
      </c>
      <c r="E13" s="304" t="s">
        <v>25</v>
      </c>
      <c r="F13" s="304" t="s">
        <v>26</v>
      </c>
      <c r="G13" s="304" t="s">
        <v>71</v>
      </c>
      <c r="H13" s="304" t="s">
        <v>28</v>
      </c>
      <c r="I13" s="304" t="s">
        <v>61</v>
      </c>
      <c r="J13" s="304"/>
      <c r="K13" s="309"/>
      <c r="L13" s="309"/>
      <c r="M13" s="309"/>
      <c r="N13" s="304" t="s">
        <v>30</v>
      </c>
      <c r="O13" s="304"/>
      <c r="P13" s="309"/>
      <c r="Q13" s="309"/>
      <c r="R13" s="308"/>
      <c r="S13" s="304"/>
      <c r="T13" s="304" t="s">
        <v>72</v>
      </c>
    </row>
    <row r="14">
      <c r="A14" s="306" t="s">
        <v>73</v>
      </c>
      <c r="B14" s="307">
        <v>46160.0</v>
      </c>
      <c r="C14" s="308">
        <v>46160.0</v>
      </c>
      <c r="D14" s="304" t="s">
        <v>46</v>
      </c>
      <c r="E14" s="304" t="s">
        <v>25</v>
      </c>
      <c r="F14" s="304" t="s">
        <v>26</v>
      </c>
      <c r="G14" s="304" t="s">
        <v>74</v>
      </c>
      <c r="H14" s="304" t="s">
        <v>28</v>
      </c>
      <c r="I14" s="304" t="s">
        <v>61</v>
      </c>
      <c r="J14" s="304" t="s">
        <v>75</v>
      </c>
      <c r="K14" s="309">
        <v>46160.0</v>
      </c>
      <c r="L14" s="309"/>
      <c r="M14" s="309"/>
      <c r="N14" s="304" t="s">
        <v>64</v>
      </c>
      <c r="O14" s="304"/>
      <c r="P14" s="309"/>
      <c r="Q14" s="309"/>
      <c r="R14" s="308"/>
      <c r="S14" s="304"/>
      <c r="T14" s="304"/>
    </row>
    <row r="15">
      <c r="A15" s="304" t="s">
        <v>76</v>
      </c>
      <c r="B15" s="307">
        <v>46157.0</v>
      </c>
      <c r="C15" s="308">
        <v>46157.0</v>
      </c>
      <c r="D15" s="304" t="s">
        <v>77</v>
      </c>
      <c r="E15" s="304" t="s">
        <v>33</v>
      </c>
      <c r="F15" s="304" t="s">
        <v>26</v>
      </c>
      <c r="G15" s="304" t="s">
        <v>78</v>
      </c>
      <c r="H15" s="304" t="s">
        <v>35</v>
      </c>
      <c r="I15" s="304" t="s">
        <v>61</v>
      </c>
      <c r="J15" s="304" t="s">
        <v>41</v>
      </c>
      <c r="K15" s="309">
        <v>46157.0</v>
      </c>
      <c r="L15" s="309">
        <v>46191.0</v>
      </c>
      <c r="M15" s="309">
        <v>46160.0</v>
      </c>
      <c r="N15" s="304" t="s">
        <v>42</v>
      </c>
      <c r="O15" s="304">
        <v>37.12</v>
      </c>
      <c r="P15" s="309">
        <v>46199.0</v>
      </c>
      <c r="Q15" s="309">
        <v>46195.0</v>
      </c>
      <c r="R15" s="308">
        <v>46195.0</v>
      </c>
      <c r="S15" s="304" t="s">
        <v>50</v>
      </c>
      <c r="T15" s="304" t="s">
        <v>79</v>
      </c>
    </row>
    <row r="16">
      <c r="A16" s="306" t="s">
        <v>80</v>
      </c>
      <c r="B16" s="307">
        <v>46155.0</v>
      </c>
      <c r="C16" s="308">
        <v>46155.0</v>
      </c>
      <c r="D16" s="304" t="s">
        <v>81</v>
      </c>
      <c r="E16" s="304" t="s">
        <v>25</v>
      </c>
      <c r="F16" s="304" t="s">
        <v>26</v>
      </c>
      <c r="G16" s="304" t="s">
        <v>82</v>
      </c>
      <c r="H16" s="304" t="s">
        <v>60</v>
      </c>
      <c r="I16" s="304" t="s">
        <v>61</v>
      </c>
      <c r="J16" s="304"/>
      <c r="K16" s="309"/>
      <c r="L16" s="309"/>
      <c r="M16" s="309"/>
      <c r="N16" s="304" t="s">
        <v>30</v>
      </c>
      <c r="O16" s="304"/>
      <c r="P16" s="309"/>
      <c r="Q16" s="309"/>
      <c r="R16" s="308"/>
      <c r="S16" s="304"/>
      <c r="T16" s="304"/>
    </row>
    <row r="17">
      <c r="A17" s="306" t="s">
        <v>83</v>
      </c>
      <c r="B17" s="307">
        <v>46153.0</v>
      </c>
      <c r="C17" s="308">
        <v>46153.0</v>
      </c>
      <c r="D17" s="304" t="s">
        <v>32</v>
      </c>
      <c r="E17" s="304" t="s">
        <v>33</v>
      </c>
      <c r="F17" s="304" t="s">
        <v>26</v>
      </c>
      <c r="G17" s="304" t="s">
        <v>84</v>
      </c>
      <c r="H17" s="304" t="s">
        <v>35</v>
      </c>
      <c r="I17" s="304" t="s">
        <v>61</v>
      </c>
      <c r="J17" s="304"/>
      <c r="K17" s="309"/>
      <c r="L17" s="309"/>
      <c r="M17" s="309"/>
      <c r="N17" s="304" t="s">
        <v>30</v>
      </c>
      <c r="O17" s="304"/>
      <c r="P17" s="309"/>
      <c r="Q17" s="309"/>
      <c r="R17" s="308"/>
      <c r="S17" s="304"/>
      <c r="T17" s="304"/>
    </row>
    <row r="18">
      <c r="A18" s="306" t="s">
        <v>85</v>
      </c>
      <c r="B18" s="307">
        <v>46147.0</v>
      </c>
      <c r="C18" s="308">
        <v>46147.0</v>
      </c>
      <c r="D18" s="304" t="s">
        <v>57</v>
      </c>
      <c r="E18" s="304" t="s">
        <v>58</v>
      </c>
      <c r="F18" s="304" t="s">
        <v>58</v>
      </c>
      <c r="G18" s="304" t="s">
        <v>86</v>
      </c>
      <c r="H18" s="304" t="s">
        <v>87</v>
      </c>
      <c r="I18" s="304" t="s">
        <v>36</v>
      </c>
      <c r="J18" s="304"/>
      <c r="K18" s="309"/>
      <c r="L18" s="309"/>
      <c r="M18" s="309"/>
      <c r="N18" s="304" t="s">
        <v>30</v>
      </c>
      <c r="O18" s="304"/>
      <c r="P18" s="309"/>
      <c r="Q18" s="309"/>
      <c r="R18" s="308"/>
      <c r="S18" s="304"/>
      <c r="T18" s="304"/>
    </row>
    <row r="19">
      <c r="A19" s="306" t="s">
        <v>88</v>
      </c>
      <c r="B19" s="307">
        <v>46147.0</v>
      </c>
      <c r="C19" s="308">
        <v>46147.0</v>
      </c>
      <c r="D19" s="304" t="s">
        <v>57</v>
      </c>
      <c r="E19" s="304" t="s">
        <v>58</v>
      </c>
      <c r="F19" s="304" t="s">
        <v>58</v>
      </c>
      <c r="G19" s="304" t="s">
        <v>89</v>
      </c>
      <c r="H19" s="304" t="s">
        <v>87</v>
      </c>
      <c r="I19" s="304" t="s">
        <v>36</v>
      </c>
      <c r="J19" s="304"/>
      <c r="K19" s="309"/>
      <c r="L19" s="309"/>
      <c r="M19" s="309"/>
      <c r="N19" s="304" t="s">
        <v>30</v>
      </c>
      <c r="O19" s="304"/>
      <c r="P19" s="309"/>
      <c r="Q19" s="309"/>
      <c r="R19" s="308"/>
      <c r="S19" s="304"/>
      <c r="T19" s="304"/>
    </row>
    <row r="20">
      <c r="A20" s="306" t="s">
        <v>90</v>
      </c>
      <c r="B20" s="307">
        <v>46141.0</v>
      </c>
      <c r="C20" s="308">
        <v>46141.0</v>
      </c>
      <c r="D20" s="304" t="s">
        <v>91</v>
      </c>
      <c r="E20" s="304" t="s">
        <v>25</v>
      </c>
      <c r="F20" s="304" t="s">
        <v>26</v>
      </c>
      <c r="G20" s="304" t="s">
        <v>92</v>
      </c>
      <c r="H20" s="304" t="s">
        <v>28</v>
      </c>
      <c r="I20" s="304" t="s">
        <v>36</v>
      </c>
      <c r="J20" s="304" t="s">
        <v>41</v>
      </c>
      <c r="K20" s="309">
        <v>46141.0</v>
      </c>
      <c r="L20" s="309">
        <v>46188.0</v>
      </c>
      <c r="M20" s="309">
        <v>46188.0</v>
      </c>
      <c r="N20" s="304" t="s">
        <v>42</v>
      </c>
      <c r="O20" s="304">
        <v>10.94</v>
      </c>
      <c r="P20" s="309">
        <v>46192.0</v>
      </c>
      <c r="Q20" s="309">
        <v>46191.0</v>
      </c>
      <c r="R20" s="308">
        <v>46191.0</v>
      </c>
      <c r="S20" s="304" t="s">
        <v>43</v>
      </c>
      <c r="T20" s="304" t="s">
        <v>93</v>
      </c>
    </row>
    <row r="21">
      <c r="A21" s="306" t="s">
        <v>94</v>
      </c>
      <c r="B21" s="310">
        <v>46139.0</v>
      </c>
      <c r="C21" s="308">
        <v>46139.0</v>
      </c>
      <c r="D21" s="304" t="s">
        <v>38</v>
      </c>
      <c r="E21" s="304" t="s">
        <v>33</v>
      </c>
      <c r="F21" s="304" t="s">
        <v>26</v>
      </c>
      <c r="G21" s="304" t="s">
        <v>95</v>
      </c>
      <c r="H21" s="304" t="s">
        <v>28</v>
      </c>
      <c r="I21" s="304" t="s">
        <v>29</v>
      </c>
      <c r="J21" s="304" t="s">
        <v>41</v>
      </c>
      <c r="K21" s="309">
        <v>46139.0</v>
      </c>
      <c r="L21" s="309"/>
      <c r="M21" s="309">
        <v>46147.0</v>
      </c>
      <c r="N21" s="304" t="s">
        <v>42</v>
      </c>
      <c r="O21" s="304"/>
      <c r="P21" s="309"/>
      <c r="Q21" s="309">
        <v>46153.0</v>
      </c>
      <c r="R21" s="308">
        <v>46153.0</v>
      </c>
      <c r="S21" s="304" t="s">
        <v>96</v>
      </c>
      <c r="T21" s="304" t="s">
        <v>97</v>
      </c>
    </row>
    <row r="22">
      <c r="A22" s="306" t="s">
        <v>98</v>
      </c>
      <c r="B22" s="310">
        <v>46138.0</v>
      </c>
      <c r="C22" s="308">
        <v>46138.0</v>
      </c>
      <c r="D22" s="304" t="s">
        <v>57</v>
      </c>
      <c r="E22" s="304" t="s">
        <v>58</v>
      </c>
      <c r="F22" s="304" t="s">
        <v>58</v>
      </c>
      <c r="G22" s="304" t="s">
        <v>99</v>
      </c>
      <c r="H22" s="304" t="s">
        <v>35</v>
      </c>
      <c r="I22" s="304" t="s">
        <v>61</v>
      </c>
      <c r="J22" s="304"/>
      <c r="K22" s="309"/>
      <c r="L22" s="309"/>
      <c r="M22" s="309"/>
      <c r="N22" s="304" t="s">
        <v>30</v>
      </c>
      <c r="O22" s="304"/>
      <c r="P22" s="309"/>
      <c r="Q22" s="309"/>
      <c r="R22" s="308"/>
      <c r="S22" s="304"/>
      <c r="T22" s="304"/>
    </row>
    <row r="23">
      <c r="A23" s="306" t="s">
        <v>100</v>
      </c>
      <c r="B23" s="310">
        <v>46130.0</v>
      </c>
      <c r="C23" s="308">
        <v>46130.0</v>
      </c>
      <c r="D23" s="304" t="s">
        <v>101</v>
      </c>
      <c r="E23" s="304" t="s">
        <v>25</v>
      </c>
      <c r="F23" s="304" t="s">
        <v>26</v>
      </c>
      <c r="G23" s="304" t="s">
        <v>102</v>
      </c>
      <c r="H23" s="304" t="s">
        <v>60</v>
      </c>
      <c r="I23" s="304" t="s">
        <v>36</v>
      </c>
      <c r="J23" s="304"/>
      <c r="K23" s="309"/>
      <c r="L23" s="309"/>
      <c r="M23" s="309"/>
      <c r="N23" s="304" t="s">
        <v>30</v>
      </c>
      <c r="O23" s="304"/>
      <c r="P23" s="309"/>
      <c r="Q23" s="309"/>
      <c r="R23" s="308"/>
      <c r="S23" s="304"/>
      <c r="T23" s="304"/>
    </row>
    <row r="24">
      <c r="A24" s="306" t="s">
        <v>103</v>
      </c>
      <c r="B24" s="310">
        <v>46129.0</v>
      </c>
      <c r="C24" s="308">
        <v>46129.0</v>
      </c>
      <c r="D24" s="304" t="s">
        <v>57</v>
      </c>
      <c r="E24" s="304" t="s">
        <v>58</v>
      </c>
      <c r="F24" s="304" t="s">
        <v>58</v>
      </c>
      <c r="G24" s="304" t="s">
        <v>104</v>
      </c>
      <c r="H24" s="304" t="s">
        <v>35</v>
      </c>
      <c r="I24" s="304" t="s">
        <v>36</v>
      </c>
      <c r="J24" s="304"/>
      <c r="K24" s="309"/>
      <c r="L24" s="309"/>
      <c r="M24" s="309"/>
      <c r="N24" s="304" t="s">
        <v>30</v>
      </c>
      <c r="O24" s="304"/>
      <c r="P24" s="309"/>
      <c r="Q24" s="309"/>
      <c r="R24" s="308"/>
      <c r="S24" s="304"/>
      <c r="T24" s="304"/>
    </row>
    <row r="25">
      <c r="A25" s="306" t="s">
        <v>105</v>
      </c>
      <c r="B25" s="310">
        <v>46129.0</v>
      </c>
      <c r="C25" s="308">
        <v>46129.0</v>
      </c>
      <c r="D25" s="304" t="s">
        <v>57</v>
      </c>
      <c r="E25" s="304" t="s">
        <v>58</v>
      </c>
      <c r="F25" s="304" t="s">
        <v>58</v>
      </c>
      <c r="G25" s="304" t="s">
        <v>106</v>
      </c>
      <c r="H25" s="304" t="s">
        <v>28</v>
      </c>
      <c r="I25" s="304" t="s">
        <v>36</v>
      </c>
      <c r="J25" s="304"/>
      <c r="K25" s="309"/>
      <c r="L25" s="309"/>
      <c r="M25" s="309"/>
      <c r="N25" s="304" t="s">
        <v>30</v>
      </c>
      <c r="O25" s="304"/>
      <c r="P25" s="309"/>
      <c r="Q25" s="309"/>
      <c r="R25" s="308"/>
      <c r="S25" s="304"/>
      <c r="T25" s="304"/>
    </row>
    <row r="26">
      <c r="A26" s="306" t="s">
        <v>107</v>
      </c>
      <c r="B26" s="310">
        <v>46120.0</v>
      </c>
      <c r="C26" s="308">
        <v>46120.0</v>
      </c>
      <c r="D26" s="304" t="s">
        <v>108</v>
      </c>
      <c r="E26" s="304" t="s">
        <v>25</v>
      </c>
      <c r="F26" s="304" t="s">
        <v>26</v>
      </c>
      <c r="G26" s="304" t="s">
        <v>109</v>
      </c>
      <c r="H26" s="304" t="s">
        <v>28</v>
      </c>
      <c r="I26" s="304" t="s">
        <v>61</v>
      </c>
      <c r="J26" s="304" t="s">
        <v>110</v>
      </c>
      <c r="K26" s="309">
        <v>46122.0</v>
      </c>
      <c r="L26" s="309">
        <v>46129.0</v>
      </c>
      <c r="M26" s="309">
        <v>46129.0</v>
      </c>
      <c r="N26" s="304" t="s">
        <v>42</v>
      </c>
      <c r="O26" s="304">
        <v>564.5</v>
      </c>
      <c r="P26" s="309">
        <v>46150.0</v>
      </c>
      <c r="Q26" s="309">
        <v>46149.0</v>
      </c>
      <c r="R26" s="308">
        <v>46149.0</v>
      </c>
      <c r="S26" s="304" t="s">
        <v>43</v>
      </c>
      <c r="T26" s="304" t="s">
        <v>111</v>
      </c>
    </row>
    <row r="27">
      <c r="A27" s="306" t="s">
        <v>112</v>
      </c>
      <c r="B27" s="310">
        <v>46118.0</v>
      </c>
      <c r="C27" s="308">
        <v>46118.0</v>
      </c>
      <c r="D27" s="304" t="s">
        <v>52</v>
      </c>
      <c r="E27" s="304"/>
      <c r="F27" s="304"/>
      <c r="G27" s="304" t="s">
        <v>113</v>
      </c>
      <c r="H27" s="304" t="s">
        <v>54</v>
      </c>
      <c r="I27" s="304" t="s">
        <v>29</v>
      </c>
      <c r="J27" s="304" t="s">
        <v>41</v>
      </c>
      <c r="K27" s="309">
        <v>46119.0</v>
      </c>
      <c r="L27" s="309"/>
      <c r="M27" s="309"/>
      <c r="N27" s="304" t="s">
        <v>64</v>
      </c>
      <c r="O27" s="304"/>
      <c r="P27" s="309"/>
      <c r="Q27" s="309"/>
      <c r="R27" s="308"/>
      <c r="S27" s="304"/>
      <c r="T27" s="304" t="s">
        <v>114</v>
      </c>
    </row>
    <row r="28">
      <c r="A28" s="306" t="s">
        <v>115</v>
      </c>
      <c r="B28" s="310">
        <v>46114.0</v>
      </c>
      <c r="C28" s="308">
        <v>46114.0</v>
      </c>
      <c r="D28" s="304" t="s">
        <v>116</v>
      </c>
      <c r="E28" s="304" t="s">
        <v>25</v>
      </c>
      <c r="F28" s="304" t="s">
        <v>26</v>
      </c>
      <c r="G28" s="304" t="s">
        <v>117</v>
      </c>
      <c r="H28" s="304" t="s">
        <v>49</v>
      </c>
      <c r="I28" s="304" t="s">
        <v>61</v>
      </c>
      <c r="J28" s="304" t="s">
        <v>41</v>
      </c>
      <c r="K28" s="309">
        <v>46155.0</v>
      </c>
      <c r="L28" s="309"/>
      <c r="M28" s="309">
        <v>46155.0</v>
      </c>
      <c r="N28" s="304" t="s">
        <v>118</v>
      </c>
      <c r="O28" s="304"/>
      <c r="P28" s="309"/>
      <c r="Q28" s="309">
        <v>46158.0</v>
      </c>
      <c r="R28" s="308">
        <v>46158.0</v>
      </c>
      <c r="S28" s="304" t="s">
        <v>119</v>
      </c>
      <c r="T28" s="304" t="s">
        <v>120</v>
      </c>
    </row>
    <row r="29">
      <c r="A29" s="306" t="s">
        <v>121</v>
      </c>
      <c r="B29" s="310">
        <v>46113.0</v>
      </c>
      <c r="C29" s="308">
        <v>46113.0</v>
      </c>
      <c r="D29" s="304" t="s">
        <v>122</v>
      </c>
      <c r="E29" s="304" t="s">
        <v>25</v>
      </c>
      <c r="F29" s="304" t="s">
        <v>26</v>
      </c>
      <c r="G29" s="304" t="s">
        <v>123</v>
      </c>
      <c r="H29" s="304" t="s">
        <v>54</v>
      </c>
      <c r="I29" s="304" t="s">
        <v>61</v>
      </c>
      <c r="J29" s="304" t="s">
        <v>41</v>
      </c>
      <c r="K29" s="309">
        <v>46113.0</v>
      </c>
      <c r="L29" s="309"/>
      <c r="M29" s="309"/>
      <c r="N29" s="304" t="s">
        <v>118</v>
      </c>
      <c r="O29" s="304"/>
      <c r="P29" s="309"/>
      <c r="Q29" s="309">
        <v>46128.0</v>
      </c>
      <c r="R29" s="308">
        <v>46128.0</v>
      </c>
      <c r="S29" s="304" t="s">
        <v>124</v>
      </c>
      <c r="T29" s="304" t="s">
        <v>125</v>
      </c>
    </row>
    <row r="30">
      <c r="A30" s="306" t="s">
        <v>126</v>
      </c>
      <c r="B30" s="310">
        <v>46112.0</v>
      </c>
      <c r="C30" s="308">
        <v>46112.0</v>
      </c>
      <c r="D30" s="304" t="s">
        <v>32</v>
      </c>
      <c r="E30" s="304" t="s">
        <v>33</v>
      </c>
      <c r="F30" s="304" t="s">
        <v>26</v>
      </c>
      <c r="G30" s="304" t="s">
        <v>127</v>
      </c>
      <c r="H30" s="304" t="s">
        <v>28</v>
      </c>
      <c r="I30" s="304" t="s">
        <v>36</v>
      </c>
      <c r="J30" s="304" t="s">
        <v>128</v>
      </c>
      <c r="K30" s="309">
        <v>46127.0</v>
      </c>
      <c r="L30" s="309">
        <v>46127.0</v>
      </c>
      <c r="M30" s="309">
        <v>46127.0</v>
      </c>
      <c r="N30" s="304" t="s">
        <v>42</v>
      </c>
      <c r="O30" s="304">
        <v>271.0</v>
      </c>
      <c r="P30" s="309">
        <v>46128.0</v>
      </c>
      <c r="Q30" s="309">
        <v>46128.0</v>
      </c>
      <c r="R30" s="308">
        <v>46128.0</v>
      </c>
      <c r="S30" s="304" t="s">
        <v>43</v>
      </c>
      <c r="T30" s="304" t="s">
        <v>129</v>
      </c>
    </row>
    <row r="31">
      <c r="A31" s="304" t="s">
        <v>76</v>
      </c>
      <c r="B31" s="310">
        <v>46111.0</v>
      </c>
      <c r="C31" s="308">
        <v>46111.0</v>
      </c>
      <c r="D31" s="304" t="s">
        <v>32</v>
      </c>
      <c r="E31" s="304" t="s">
        <v>33</v>
      </c>
      <c r="F31" s="304" t="s">
        <v>26</v>
      </c>
      <c r="G31" s="304" t="s">
        <v>130</v>
      </c>
      <c r="H31" s="304" t="s">
        <v>49</v>
      </c>
      <c r="I31" s="304" t="s">
        <v>29</v>
      </c>
      <c r="J31" s="304" t="s">
        <v>41</v>
      </c>
      <c r="K31" s="309">
        <v>46111.0</v>
      </c>
      <c r="L31" s="309">
        <v>46114.0</v>
      </c>
      <c r="M31" s="309">
        <v>46114.0</v>
      </c>
      <c r="N31" s="304" t="s">
        <v>42</v>
      </c>
      <c r="O31" s="304"/>
      <c r="P31" s="309">
        <v>46126.0</v>
      </c>
      <c r="Q31" s="309">
        <v>46128.0</v>
      </c>
      <c r="R31" s="308">
        <v>46128.0</v>
      </c>
      <c r="S31" s="304" t="s">
        <v>119</v>
      </c>
      <c r="T31" s="304" t="s">
        <v>131</v>
      </c>
    </row>
    <row r="32">
      <c r="A32" s="306" t="s">
        <v>132</v>
      </c>
      <c r="B32" s="310">
        <v>46111.0</v>
      </c>
      <c r="C32" s="308">
        <v>46111.0</v>
      </c>
      <c r="D32" s="304" t="s">
        <v>133</v>
      </c>
      <c r="E32" s="304" t="s">
        <v>33</v>
      </c>
      <c r="F32" s="304" t="s">
        <v>26</v>
      </c>
      <c r="G32" s="304" t="s">
        <v>134</v>
      </c>
      <c r="H32" s="304" t="s">
        <v>28</v>
      </c>
      <c r="I32" s="304" t="s">
        <v>61</v>
      </c>
      <c r="J32" s="304"/>
      <c r="K32" s="309"/>
      <c r="L32" s="309"/>
      <c r="M32" s="309"/>
      <c r="N32" s="304" t="s">
        <v>30</v>
      </c>
      <c r="O32" s="304"/>
      <c r="P32" s="309"/>
      <c r="Q32" s="309"/>
      <c r="R32" s="308"/>
      <c r="S32" s="304"/>
      <c r="T32" s="304" t="s">
        <v>135</v>
      </c>
    </row>
    <row r="33">
      <c r="A33" s="306" t="s">
        <v>136</v>
      </c>
      <c r="B33" s="310">
        <v>46108.0</v>
      </c>
      <c r="C33" s="308">
        <v>46108.0</v>
      </c>
      <c r="D33" s="304" t="s">
        <v>81</v>
      </c>
      <c r="E33" s="304" t="s">
        <v>25</v>
      </c>
      <c r="F33" s="304" t="s">
        <v>26</v>
      </c>
      <c r="G33" s="304" t="s">
        <v>137</v>
      </c>
      <c r="H33" s="304" t="s">
        <v>28</v>
      </c>
      <c r="I33" s="304" t="s">
        <v>29</v>
      </c>
      <c r="J33" s="304" t="s">
        <v>110</v>
      </c>
      <c r="K33" s="309">
        <v>46139.0</v>
      </c>
      <c r="L33" s="309">
        <v>46153.0</v>
      </c>
      <c r="M33" s="309">
        <v>46150.0</v>
      </c>
      <c r="N33" s="304" t="s">
        <v>118</v>
      </c>
      <c r="O33" s="304"/>
      <c r="P33" s="309"/>
      <c r="Q33" s="309">
        <v>46150.0</v>
      </c>
      <c r="R33" s="308">
        <v>46150.0</v>
      </c>
      <c r="S33" s="304" t="s">
        <v>119</v>
      </c>
      <c r="T33" s="304" t="s">
        <v>138</v>
      </c>
    </row>
    <row r="34">
      <c r="A34" s="306" t="s">
        <v>139</v>
      </c>
      <c r="B34" s="310">
        <v>46108.0</v>
      </c>
      <c r="C34" s="308">
        <v>46108.0</v>
      </c>
      <c r="D34" s="304" t="s">
        <v>140</v>
      </c>
      <c r="E34" s="304" t="s">
        <v>25</v>
      </c>
      <c r="F34" s="304" t="s">
        <v>26</v>
      </c>
      <c r="G34" s="304" t="s">
        <v>141</v>
      </c>
      <c r="H34" s="304" t="s">
        <v>28</v>
      </c>
      <c r="I34" s="304" t="s">
        <v>61</v>
      </c>
      <c r="J34" s="304"/>
      <c r="K34" s="309"/>
      <c r="L34" s="309"/>
      <c r="M34" s="309"/>
      <c r="N34" s="304" t="s">
        <v>30</v>
      </c>
      <c r="O34" s="304"/>
      <c r="P34" s="309"/>
      <c r="Q34" s="309"/>
      <c r="R34" s="308"/>
      <c r="S34" s="304"/>
      <c r="T34" s="304"/>
    </row>
    <row r="35">
      <c r="A35" s="306" t="s">
        <v>142</v>
      </c>
      <c r="B35" s="310">
        <v>46108.0</v>
      </c>
      <c r="C35" s="308">
        <v>46108.0</v>
      </c>
      <c r="D35" s="304" t="s">
        <v>91</v>
      </c>
      <c r="E35" s="304" t="s">
        <v>25</v>
      </c>
      <c r="F35" s="304" t="s">
        <v>26</v>
      </c>
      <c r="G35" s="304" t="s">
        <v>143</v>
      </c>
      <c r="H35" s="304" t="s">
        <v>60</v>
      </c>
      <c r="I35" s="304" t="s">
        <v>61</v>
      </c>
      <c r="J35" s="304"/>
      <c r="K35" s="309"/>
      <c r="L35" s="309"/>
      <c r="M35" s="309"/>
      <c r="N35" s="304" t="s">
        <v>30</v>
      </c>
      <c r="O35" s="304"/>
      <c r="P35" s="309"/>
      <c r="Q35" s="309"/>
      <c r="R35" s="308"/>
      <c r="S35" s="304"/>
      <c r="T35" s="304"/>
    </row>
    <row r="36">
      <c r="A36" s="306" t="s">
        <v>144</v>
      </c>
      <c r="B36" s="310">
        <v>46108.0</v>
      </c>
      <c r="C36" s="308">
        <v>46108.0</v>
      </c>
      <c r="D36" s="304" t="s">
        <v>91</v>
      </c>
      <c r="E36" s="304" t="s">
        <v>25</v>
      </c>
      <c r="F36" s="304" t="s">
        <v>26</v>
      </c>
      <c r="G36" s="304" t="s">
        <v>145</v>
      </c>
      <c r="H36" s="304" t="s">
        <v>60</v>
      </c>
      <c r="I36" s="304" t="s">
        <v>61</v>
      </c>
      <c r="J36" s="304"/>
      <c r="K36" s="309"/>
      <c r="L36" s="309"/>
      <c r="M36" s="309"/>
      <c r="N36" s="304" t="s">
        <v>30</v>
      </c>
      <c r="O36" s="304"/>
      <c r="P36" s="309"/>
      <c r="Q36" s="309"/>
      <c r="R36" s="308"/>
      <c r="S36" s="304"/>
      <c r="T36" s="304"/>
    </row>
    <row r="37">
      <c r="A37" s="306" t="s">
        <v>146</v>
      </c>
      <c r="B37" s="310">
        <v>46108.0</v>
      </c>
      <c r="C37" s="308">
        <v>46108.0</v>
      </c>
      <c r="D37" s="304" t="s">
        <v>147</v>
      </c>
      <c r="E37" s="304" t="s">
        <v>25</v>
      </c>
      <c r="F37" s="304" t="s">
        <v>26</v>
      </c>
      <c r="G37" s="304" t="s">
        <v>148</v>
      </c>
      <c r="H37" s="304" t="s">
        <v>60</v>
      </c>
      <c r="I37" s="304" t="s">
        <v>61</v>
      </c>
      <c r="J37" s="304"/>
      <c r="K37" s="309"/>
      <c r="L37" s="309"/>
      <c r="M37" s="309"/>
      <c r="N37" s="304" t="s">
        <v>30</v>
      </c>
      <c r="O37" s="304"/>
      <c r="P37" s="309"/>
      <c r="Q37" s="309"/>
      <c r="R37" s="308"/>
      <c r="S37" s="304"/>
      <c r="T37" s="304"/>
    </row>
    <row r="38">
      <c r="A38" s="306" t="s">
        <v>149</v>
      </c>
      <c r="B38" s="310">
        <v>46108.0</v>
      </c>
      <c r="C38" s="308">
        <v>46108.0</v>
      </c>
      <c r="D38" s="304" t="s">
        <v>150</v>
      </c>
      <c r="E38" s="304" t="s">
        <v>33</v>
      </c>
      <c r="F38" s="304" t="s">
        <v>26</v>
      </c>
      <c r="G38" s="304" t="s">
        <v>151</v>
      </c>
      <c r="H38" s="304" t="s">
        <v>28</v>
      </c>
      <c r="I38" s="304" t="s">
        <v>29</v>
      </c>
      <c r="J38" s="304" t="s">
        <v>152</v>
      </c>
      <c r="K38" s="309">
        <v>46153.0</v>
      </c>
      <c r="L38" s="309">
        <v>46153.0</v>
      </c>
      <c r="M38" s="309">
        <v>46153.0</v>
      </c>
      <c r="N38" s="304" t="s">
        <v>42</v>
      </c>
      <c r="O38" s="304">
        <v>366.8</v>
      </c>
      <c r="P38" s="309"/>
      <c r="Q38" s="309">
        <v>46161.0</v>
      </c>
      <c r="R38" s="308">
        <v>46161.0</v>
      </c>
      <c r="S38" s="304" t="s">
        <v>50</v>
      </c>
      <c r="T38" s="304" t="s">
        <v>153</v>
      </c>
    </row>
    <row r="39">
      <c r="A39" s="304" t="s">
        <v>76</v>
      </c>
      <c r="B39" s="310">
        <v>46108.0</v>
      </c>
      <c r="C39" s="308">
        <v>46108.0</v>
      </c>
      <c r="D39" s="304" t="s">
        <v>154</v>
      </c>
      <c r="E39" s="304" t="s">
        <v>25</v>
      </c>
      <c r="F39" s="304" t="s">
        <v>26</v>
      </c>
      <c r="G39" s="304" t="s">
        <v>155</v>
      </c>
      <c r="H39" s="304" t="s">
        <v>28</v>
      </c>
      <c r="I39" s="304" t="s">
        <v>29</v>
      </c>
      <c r="J39" s="304" t="s">
        <v>75</v>
      </c>
      <c r="K39" s="309">
        <v>46108.0</v>
      </c>
      <c r="L39" s="309">
        <v>46111.0</v>
      </c>
      <c r="M39" s="309">
        <v>46111.0</v>
      </c>
      <c r="N39" s="304" t="s">
        <v>42</v>
      </c>
      <c r="O39" s="304">
        <v>408.74</v>
      </c>
      <c r="P39" s="309"/>
      <c r="Q39" s="309">
        <v>46174.0</v>
      </c>
      <c r="R39" s="308">
        <v>46174.0</v>
      </c>
      <c r="S39" s="304" t="s">
        <v>43</v>
      </c>
      <c r="T39" s="304" t="s">
        <v>156</v>
      </c>
    </row>
    <row r="40">
      <c r="A40" s="306" t="s">
        <v>157</v>
      </c>
      <c r="B40" s="310">
        <v>46107.0</v>
      </c>
      <c r="C40" s="308">
        <v>46107.0</v>
      </c>
      <c r="D40" s="304" t="s">
        <v>158</v>
      </c>
      <c r="E40" s="304" t="s">
        <v>25</v>
      </c>
      <c r="F40" s="304" t="s">
        <v>26</v>
      </c>
      <c r="G40" s="304" t="s">
        <v>159</v>
      </c>
      <c r="H40" s="304" t="s">
        <v>60</v>
      </c>
      <c r="I40" s="304" t="s">
        <v>61</v>
      </c>
      <c r="J40" s="304"/>
      <c r="K40" s="309"/>
      <c r="L40" s="309"/>
      <c r="M40" s="309"/>
      <c r="N40" s="304" t="s">
        <v>30</v>
      </c>
      <c r="O40" s="304">
        <v>530.0</v>
      </c>
      <c r="P40" s="309"/>
      <c r="Q40" s="309"/>
      <c r="R40" s="308"/>
      <c r="S40" s="304"/>
      <c r="T40" s="304"/>
    </row>
    <row r="41">
      <c r="A41" s="306" t="s">
        <v>160</v>
      </c>
      <c r="B41" s="310">
        <v>46106.0</v>
      </c>
      <c r="C41" s="308">
        <v>46106.0</v>
      </c>
      <c r="D41" s="304" t="s">
        <v>161</v>
      </c>
      <c r="E41" s="304" t="s">
        <v>33</v>
      </c>
      <c r="F41" s="304" t="s">
        <v>26</v>
      </c>
      <c r="G41" s="304" t="s">
        <v>162</v>
      </c>
      <c r="H41" s="304" t="s">
        <v>28</v>
      </c>
      <c r="I41" s="304" t="s">
        <v>29</v>
      </c>
      <c r="J41" s="304" t="s">
        <v>128</v>
      </c>
      <c r="K41" s="309">
        <v>46106.0</v>
      </c>
      <c r="L41" s="309"/>
      <c r="M41" s="309"/>
      <c r="N41" s="304" t="s">
        <v>42</v>
      </c>
      <c r="O41" s="304">
        <v>234.74</v>
      </c>
      <c r="P41" s="309"/>
      <c r="Q41" s="309">
        <v>46198.0</v>
      </c>
      <c r="R41" s="308">
        <v>46198.0</v>
      </c>
      <c r="S41" s="304" t="s">
        <v>43</v>
      </c>
      <c r="T41" s="304" t="s">
        <v>163</v>
      </c>
    </row>
    <row r="42">
      <c r="A42" s="306" t="s">
        <v>164</v>
      </c>
      <c r="B42" s="310">
        <v>46105.0</v>
      </c>
      <c r="C42" s="308">
        <v>46105.0</v>
      </c>
      <c r="D42" s="304" t="s">
        <v>165</v>
      </c>
      <c r="E42" s="304" t="s">
        <v>33</v>
      </c>
      <c r="F42" s="304" t="s">
        <v>26</v>
      </c>
      <c r="G42" s="304" t="s">
        <v>166</v>
      </c>
      <c r="H42" s="304" t="s">
        <v>28</v>
      </c>
      <c r="I42" s="304" t="s">
        <v>29</v>
      </c>
      <c r="J42" s="304" t="s">
        <v>110</v>
      </c>
      <c r="K42" s="309">
        <v>46153.0</v>
      </c>
      <c r="L42" s="309">
        <v>46174.0</v>
      </c>
      <c r="M42" s="309">
        <v>46174.0</v>
      </c>
      <c r="N42" s="304" t="s">
        <v>42</v>
      </c>
      <c r="O42" s="304">
        <v>48.3</v>
      </c>
      <c r="P42" s="309">
        <v>46192.0</v>
      </c>
      <c r="Q42" s="309">
        <v>46191.0</v>
      </c>
      <c r="R42" s="308">
        <v>46191.0</v>
      </c>
      <c r="S42" s="304" t="s">
        <v>43</v>
      </c>
      <c r="T42" s="304" t="s">
        <v>167</v>
      </c>
    </row>
    <row r="43">
      <c r="A43" s="304" t="s">
        <v>76</v>
      </c>
      <c r="B43" s="310">
        <v>46101.0</v>
      </c>
      <c r="C43" s="308">
        <v>46101.0</v>
      </c>
      <c r="D43" s="304" t="s">
        <v>168</v>
      </c>
      <c r="E43" s="304" t="s">
        <v>33</v>
      </c>
      <c r="F43" s="304" t="s">
        <v>26</v>
      </c>
      <c r="G43" s="304" t="s">
        <v>169</v>
      </c>
      <c r="H43" s="304" t="s">
        <v>49</v>
      </c>
      <c r="I43" s="304" t="s">
        <v>29</v>
      </c>
      <c r="J43" s="304" t="s">
        <v>41</v>
      </c>
      <c r="K43" s="309">
        <v>46101.0</v>
      </c>
      <c r="L43" s="309">
        <v>46107.0</v>
      </c>
      <c r="M43" s="309">
        <v>46107.0</v>
      </c>
      <c r="N43" s="304" t="s">
        <v>42</v>
      </c>
      <c r="O43" s="304"/>
      <c r="P43" s="309">
        <v>46108.0</v>
      </c>
      <c r="Q43" s="309">
        <v>46108.0</v>
      </c>
      <c r="R43" s="308">
        <v>46108.0</v>
      </c>
      <c r="S43" s="304" t="s">
        <v>43</v>
      </c>
      <c r="T43" s="304" t="s">
        <v>170</v>
      </c>
    </row>
    <row r="44">
      <c r="A44" s="306" t="s">
        <v>171</v>
      </c>
      <c r="B44" s="310">
        <v>46101.0</v>
      </c>
      <c r="C44" s="308">
        <v>46101.0</v>
      </c>
      <c r="D44" s="304" t="s">
        <v>161</v>
      </c>
      <c r="E44" s="304" t="s">
        <v>25</v>
      </c>
      <c r="F44" s="304" t="s">
        <v>26</v>
      </c>
      <c r="G44" s="304" t="s">
        <v>172</v>
      </c>
      <c r="H44" s="304" t="s">
        <v>28</v>
      </c>
      <c r="I44" s="304" t="s">
        <v>36</v>
      </c>
      <c r="J44" s="304"/>
      <c r="K44" s="309"/>
      <c r="L44" s="309"/>
      <c r="M44" s="309"/>
      <c r="N44" s="304" t="s">
        <v>30</v>
      </c>
      <c r="O44" s="304"/>
      <c r="P44" s="309"/>
      <c r="Q44" s="309"/>
      <c r="R44" s="308"/>
      <c r="S44" s="304"/>
      <c r="T44" s="304"/>
    </row>
    <row r="45">
      <c r="A45" s="306" t="s">
        <v>173</v>
      </c>
      <c r="B45" s="310">
        <v>46101.0</v>
      </c>
      <c r="C45" s="308">
        <v>46101.0</v>
      </c>
      <c r="D45" s="304" t="s">
        <v>32</v>
      </c>
      <c r="E45" s="304" t="s">
        <v>33</v>
      </c>
      <c r="F45" s="304" t="s">
        <v>26</v>
      </c>
      <c r="G45" s="304" t="s">
        <v>174</v>
      </c>
      <c r="H45" s="304" t="s">
        <v>28</v>
      </c>
      <c r="I45" s="304" t="s">
        <v>29</v>
      </c>
      <c r="J45" s="304" t="s">
        <v>128</v>
      </c>
      <c r="K45" s="309">
        <v>46153.0</v>
      </c>
      <c r="L45" s="309">
        <v>46154.0</v>
      </c>
      <c r="M45" s="309">
        <v>46154.0</v>
      </c>
      <c r="N45" s="304" t="s">
        <v>42</v>
      </c>
      <c r="O45" s="304">
        <v>155.95</v>
      </c>
      <c r="P45" s="309">
        <v>46185.0</v>
      </c>
      <c r="Q45" s="309">
        <v>46190.0</v>
      </c>
      <c r="R45" s="308">
        <v>46190.0</v>
      </c>
      <c r="S45" s="304" t="s">
        <v>43</v>
      </c>
      <c r="T45" s="304" t="s">
        <v>175</v>
      </c>
    </row>
    <row r="46">
      <c r="A46" s="306" t="s">
        <v>176</v>
      </c>
      <c r="B46" s="310">
        <v>46101.0</v>
      </c>
      <c r="C46" s="308">
        <v>46101.0</v>
      </c>
      <c r="D46" s="304" t="s">
        <v>24</v>
      </c>
      <c r="E46" s="304" t="s">
        <v>25</v>
      </c>
      <c r="F46" s="304" t="s">
        <v>26</v>
      </c>
      <c r="G46" s="304" t="s">
        <v>177</v>
      </c>
      <c r="H46" s="304" t="s">
        <v>28</v>
      </c>
      <c r="I46" s="304" t="s">
        <v>36</v>
      </c>
      <c r="J46" s="304"/>
      <c r="K46" s="309"/>
      <c r="L46" s="309"/>
      <c r="M46" s="309"/>
      <c r="N46" s="304" t="s">
        <v>30</v>
      </c>
      <c r="O46" s="304"/>
      <c r="P46" s="309"/>
      <c r="Q46" s="309"/>
      <c r="R46" s="308"/>
      <c r="S46" s="304"/>
      <c r="T46" s="304"/>
    </row>
    <row r="47">
      <c r="A47" s="306" t="s">
        <v>178</v>
      </c>
      <c r="B47" s="310">
        <v>46101.0</v>
      </c>
      <c r="C47" s="308">
        <v>46101.0</v>
      </c>
      <c r="D47" s="304" t="s">
        <v>179</v>
      </c>
      <c r="E47" s="304" t="s">
        <v>33</v>
      </c>
      <c r="F47" s="304" t="s">
        <v>26</v>
      </c>
      <c r="G47" s="304" t="s">
        <v>180</v>
      </c>
      <c r="H47" s="304" t="s">
        <v>40</v>
      </c>
      <c r="I47" s="304" t="s">
        <v>36</v>
      </c>
      <c r="J47" s="304"/>
      <c r="K47" s="309"/>
      <c r="L47" s="309"/>
      <c r="M47" s="309"/>
      <c r="N47" s="304" t="s">
        <v>30</v>
      </c>
      <c r="O47" s="304"/>
      <c r="P47" s="309"/>
      <c r="Q47" s="309"/>
      <c r="R47" s="308"/>
      <c r="S47" s="304"/>
      <c r="T47" s="304"/>
    </row>
    <row r="48">
      <c r="A48" s="306" t="s">
        <v>181</v>
      </c>
      <c r="B48" s="310">
        <v>46101.0</v>
      </c>
      <c r="C48" s="308">
        <v>46101.0</v>
      </c>
      <c r="D48" s="304" t="s">
        <v>133</v>
      </c>
      <c r="E48" s="304" t="s">
        <v>33</v>
      </c>
      <c r="F48" s="304" t="s">
        <v>26</v>
      </c>
      <c r="G48" s="304" t="s">
        <v>182</v>
      </c>
      <c r="H48" s="304" t="s">
        <v>28</v>
      </c>
      <c r="I48" s="304" t="s">
        <v>61</v>
      </c>
      <c r="J48" s="304"/>
      <c r="K48" s="309"/>
      <c r="L48" s="309"/>
      <c r="M48" s="309"/>
      <c r="N48" s="304" t="s">
        <v>30</v>
      </c>
      <c r="O48" s="304"/>
      <c r="P48" s="309"/>
      <c r="Q48" s="309"/>
      <c r="R48" s="308"/>
      <c r="S48" s="304"/>
      <c r="T48" s="304" t="s">
        <v>183</v>
      </c>
    </row>
    <row r="49">
      <c r="A49" s="306" t="s">
        <v>184</v>
      </c>
      <c r="B49" s="310">
        <v>46101.0</v>
      </c>
      <c r="C49" s="308">
        <v>46101.0</v>
      </c>
      <c r="D49" s="304" t="s">
        <v>158</v>
      </c>
      <c r="E49" s="304" t="s">
        <v>25</v>
      </c>
      <c r="F49" s="304" t="s">
        <v>26</v>
      </c>
      <c r="G49" s="304" t="s">
        <v>185</v>
      </c>
      <c r="H49" s="304" t="s">
        <v>186</v>
      </c>
      <c r="I49" s="304" t="s">
        <v>36</v>
      </c>
      <c r="J49" s="304" t="s">
        <v>41</v>
      </c>
      <c r="K49" s="309">
        <v>46101.0</v>
      </c>
      <c r="L49" s="309">
        <v>46104.0</v>
      </c>
      <c r="M49" s="309">
        <v>46104.0</v>
      </c>
      <c r="N49" s="304" t="s">
        <v>42</v>
      </c>
      <c r="O49" s="304"/>
      <c r="P49" s="309">
        <v>46104.0</v>
      </c>
      <c r="Q49" s="309">
        <v>46104.0</v>
      </c>
      <c r="R49" s="308">
        <v>46104.0</v>
      </c>
      <c r="S49" s="304" t="s">
        <v>50</v>
      </c>
      <c r="T49" s="304" t="s">
        <v>187</v>
      </c>
    </row>
    <row r="50">
      <c r="A50" s="306" t="s">
        <v>188</v>
      </c>
      <c r="B50" s="310">
        <v>46101.0</v>
      </c>
      <c r="C50" s="308">
        <v>46101.0</v>
      </c>
      <c r="D50" s="304" t="s">
        <v>165</v>
      </c>
      <c r="E50" s="304" t="s">
        <v>33</v>
      </c>
      <c r="F50" s="304" t="s">
        <v>26</v>
      </c>
      <c r="G50" s="304" t="s">
        <v>189</v>
      </c>
      <c r="H50" s="304" t="s">
        <v>28</v>
      </c>
      <c r="I50" s="304" t="s">
        <v>61</v>
      </c>
      <c r="J50" s="304"/>
      <c r="K50" s="309"/>
      <c r="L50" s="309"/>
      <c r="M50" s="309"/>
      <c r="N50" s="304" t="s">
        <v>30</v>
      </c>
      <c r="O50" s="304"/>
      <c r="P50" s="309"/>
      <c r="Q50" s="309"/>
      <c r="R50" s="308"/>
      <c r="S50" s="304"/>
      <c r="T50" s="304"/>
    </row>
    <row r="51">
      <c r="A51" s="304" t="s">
        <v>76</v>
      </c>
      <c r="B51" s="310">
        <v>46100.0</v>
      </c>
      <c r="C51" s="308">
        <v>46100.0</v>
      </c>
      <c r="D51" s="304" t="s">
        <v>190</v>
      </c>
      <c r="E51" s="304" t="s">
        <v>47</v>
      </c>
      <c r="F51" s="304" t="s">
        <v>47</v>
      </c>
      <c r="G51" s="304" t="s">
        <v>191</v>
      </c>
      <c r="H51" s="304" t="s">
        <v>28</v>
      </c>
      <c r="I51" s="304" t="s">
        <v>29</v>
      </c>
      <c r="J51" s="304" t="s">
        <v>128</v>
      </c>
      <c r="K51" s="309">
        <v>46125.0</v>
      </c>
      <c r="L51" s="309">
        <v>46125.0</v>
      </c>
      <c r="M51" s="309">
        <v>46094.0</v>
      </c>
      <c r="N51" s="304" t="s">
        <v>55</v>
      </c>
      <c r="O51" s="304">
        <v>525.39</v>
      </c>
      <c r="P51" s="309">
        <v>46168.0</v>
      </c>
      <c r="Q51" s="309"/>
      <c r="R51" s="308"/>
      <c r="S51" s="304" t="s">
        <v>192</v>
      </c>
      <c r="T51" s="304" t="s">
        <v>193</v>
      </c>
    </row>
    <row r="52">
      <c r="A52" s="306" t="s">
        <v>194</v>
      </c>
      <c r="B52" s="310">
        <v>46098.0</v>
      </c>
      <c r="C52" s="308">
        <v>46098.0</v>
      </c>
      <c r="D52" s="304" t="s">
        <v>195</v>
      </c>
      <c r="E52" s="304" t="s">
        <v>33</v>
      </c>
      <c r="F52" s="304" t="s">
        <v>26</v>
      </c>
      <c r="G52" s="304" t="s">
        <v>196</v>
      </c>
      <c r="H52" s="304" t="s">
        <v>28</v>
      </c>
      <c r="I52" s="304" t="s">
        <v>29</v>
      </c>
      <c r="J52" s="304" t="s">
        <v>110</v>
      </c>
      <c r="K52" s="309">
        <v>46153.0</v>
      </c>
      <c r="L52" s="309">
        <v>46156.0</v>
      </c>
      <c r="M52" s="309">
        <v>46157.0</v>
      </c>
      <c r="N52" s="304" t="s">
        <v>42</v>
      </c>
      <c r="O52" s="304">
        <v>36.31</v>
      </c>
      <c r="P52" s="309">
        <v>46171.0</v>
      </c>
      <c r="Q52" s="309">
        <v>46181.0</v>
      </c>
      <c r="R52" s="308">
        <v>46181.0</v>
      </c>
      <c r="S52" s="304" t="s">
        <v>43</v>
      </c>
      <c r="T52" s="304" t="s">
        <v>197</v>
      </c>
    </row>
    <row r="53">
      <c r="A53" s="306" t="s">
        <v>198</v>
      </c>
      <c r="B53" s="310">
        <v>46088.0</v>
      </c>
      <c r="C53" s="308">
        <v>46088.0</v>
      </c>
      <c r="D53" s="304" t="s">
        <v>57</v>
      </c>
      <c r="E53" s="304" t="s">
        <v>58</v>
      </c>
      <c r="F53" s="304" t="s">
        <v>58</v>
      </c>
      <c r="G53" s="304" t="s">
        <v>199</v>
      </c>
      <c r="H53" s="304" t="s">
        <v>49</v>
      </c>
      <c r="I53" s="304" t="s">
        <v>36</v>
      </c>
      <c r="J53" s="304" t="s">
        <v>41</v>
      </c>
      <c r="K53" s="309">
        <v>46090.0</v>
      </c>
      <c r="L53" s="309">
        <v>46090.0</v>
      </c>
      <c r="M53" s="309">
        <v>46090.0</v>
      </c>
      <c r="N53" s="304" t="s">
        <v>42</v>
      </c>
      <c r="O53" s="304"/>
      <c r="P53" s="309">
        <v>46091.0</v>
      </c>
      <c r="Q53" s="309">
        <v>46090.0</v>
      </c>
      <c r="R53" s="308">
        <v>46090.0</v>
      </c>
      <c r="S53" s="304" t="s">
        <v>200</v>
      </c>
      <c r="T53" s="304"/>
    </row>
    <row r="54">
      <c r="A54" s="304" t="s">
        <v>76</v>
      </c>
      <c r="B54" s="310">
        <v>46084.0</v>
      </c>
      <c r="C54" s="308">
        <v>46084.0</v>
      </c>
      <c r="D54" s="304" t="s">
        <v>116</v>
      </c>
      <c r="E54" s="304" t="s">
        <v>25</v>
      </c>
      <c r="F54" s="304" t="s">
        <v>26</v>
      </c>
      <c r="G54" s="304" t="s">
        <v>201</v>
      </c>
      <c r="H54" s="304" t="s">
        <v>60</v>
      </c>
      <c r="I54" s="304" t="s">
        <v>29</v>
      </c>
      <c r="J54" s="304" t="s">
        <v>41</v>
      </c>
      <c r="K54" s="309">
        <v>46084.0</v>
      </c>
      <c r="L54" s="309">
        <v>46084.0</v>
      </c>
      <c r="M54" s="307">
        <v>46084.0</v>
      </c>
      <c r="N54" s="304" t="s">
        <v>42</v>
      </c>
      <c r="O54" s="311">
        <v>1253.05</v>
      </c>
      <c r="P54" s="309">
        <v>46091.0</v>
      </c>
      <c r="Q54" s="309">
        <v>46092.0</v>
      </c>
      <c r="R54" s="308">
        <v>46092.0</v>
      </c>
      <c r="S54" s="304" t="s">
        <v>119</v>
      </c>
      <c r="T54" s="304" t="s">
        <v>202</v>
      </c>
    </row>
    <row r="55">
      <c r="A55" s="306" t="s">
        <v>203</v>
      </c>
      <c r="B55" s="310">
        <v>46084.0</v>
      </c>
      <c r="C55" s="308">
        <v>46084.0</v>
      </c>
      <c r="D55" s="304" t="s">
        <v>140</v>
      </c>
      <c r="E55" s="304" t="s">
        <v>25</v>
      </c>
      <c r="F55" s="304" t="s">
        <v>26</v>
      </c>
      <c r="G55" s="304" t="s">
        <v>204</v>
      </c>
      <c r="H55" s="304" t="s">
        <v>28</v>
      </c>
      <c r="I55" s="304" t="s">
        <v>61</v>
      </c>
      <c r="J55" s="304"/>
      <c r="K55" s="309"/>
      <c r="L55" s="309"/>
      <c r="M55" s="309"/>
      <c r="N55" s="304" t="s">
        <v>30</v>
      </c>
      <c r="O55" s="304"/>
      <c r="P55" s="309"/>
      <c r="Q55" s="309"/>
      <c r="R55" s="308"/>
      <c r="S55" s="304"/>
      <c r="T55" s="304"/>
    </row>
    <row r="56">
      <c r="A56" s="306" t="s">
        <v>205</v>
      </c>
      <c r="B56" s="310">
        <v>46080.0</v>
      </c>
      <c r="C56" s="308">
        <v>46080.0</v>
      </c>
      <c r="D56" s="304" t="s">
        <v>165</v>
      </c>
      <c r="E56" s="304" t="s">
        <v>33</v>
      </c>
      <c r="F56" s="304" t="s">
        <v>26</v>
      </c>
      <c r="G56" s="304" t="s">
        <v>206</v>
      </c>
      <c r="H56" s="304" t="s">
        <v>28</v>
      </c>
      <c r="I56" s="304" t="s">
        <v>36</v>
      </c>
      <c r="J56" s="304" t="s">
        <v>110</v>
      </c>
      <c r="K56" s="309">
        <v>46098.0</v>
      </c>
      <c r="L56" s="309">
        <v>46100.0</v>
      </c>
      <c r="M56" s="309">
        <v>46100.0</v>
      </c>
      <c r="N56" s="304" t="s">
        <v>42</v>
      </c>
      <c r="O56" s="304">
        <v>24.9</v>
      </c>
      <c r="P56" s="309">
        <v>46121.0</v>
      </c>
      <c r="Q56" s="309">
        <v>46120.0</v>
      </c>
      <c r="R56" s="308">
        <v>46120.0</v>
      </c>
      <c r="S56" s="304" t="s">
        <v>43</v>
      </c>
      <c r="T56" s="304" t="s">
        <v>207</v>
      </c>
    </row>
    <row r="57">
      <c r="A57" s="306" t="s">
        <v>208</v>
      </c>
      <c r="B57" s="310">
        <v>46076.0</v>
      </c>
      <c r="C57" s="308">
        <v>46076.0</v>
      </c>
      <c r="D57" s="304" t="s">
        <v>32</v>
      </c>
      <c r="E57" s="304" t="s">
        <v>33</v>
      </c>
      <c r="F57" s="304" t="s">
        <v>26</v>
      </c>
      <c r="G57" s="304" t="s">
        <v>209</v>
      </c>
      <c r="H57" s="304" t="s">
        <v>28</v>
      </c>
      <c r="I57" s="304" t="s">
        <v>29</v>
      </c>
      <c r="J57" s="304" t="s">
        <v>128</v>
      </c>
      <c r="K57" s="309">
        <v>46094.0</v>
      </c>
      <c r="L57" s="309"/>
      <c r="M57" s="309"/>
      <c r="N57" s="304" t="s">
        <v>210</v>
      </c>
      <c r="O57" s="304"/>
      <c r="P57" s="309"/>
      <c r="Q57" s="309"/>
      <c r="R57" s="308"/>
      <c r="S57" s="304"/>
      <c r="T57" s="304" t="s">
        <v>211</v>
      </c>
    </row>
    <row r="58">
      <c r="A58" s="306" t="s">
        <v>212</v>
      </c>
      <c r="B58" s="310">
        <v>46066.0</v>
      </c>
      <c r="C58" s="308">
        <v>46066.0</v>
      </c>
      <c r="D58" s="304" t="s">
        <v>213</v>
      </c>
      <c r="E58" s="304" t="s">
        <v>25</v>
      </c>
      <c r="F58" s="304" t="s">
        <v>26</v>
      </c>
      <c r="G58" s="304" t="s">
        <v>214</v>
      </c>
      <c r="H58" s="304" t="s">
        <v>49</v>
      </c>
      <c r="I58" s="304" t="s">
        <v>61</v>
      </c>
      <c r="J58" s="304"/>
      <c r="K58" s="309"/>
      <c r="L58" s="309"/>
      <c r="M58" s="309"/>
      <c r="N58" s="304" t="s">
        <v>30</v>
      </c>
      <c r="O58" s="304"/>
      <c r="P58" s="309"/>
      <c r="Q58" s="309"/>
      <c r="R58" s="308"/>
      <c r="S58" s="304"/>
      <c r="T58" s="304"/>
    </row>
    <row r="59">
      <c r="A59" s="306" t="s">
        <v>215</v>
      </c>
      <c r="B59" s="310">
        <v>46065.0</v>
      </c>
      <c r="C59" s="308">
        <v>46065.0</v>
      </c>
      <c r="D59" s="304" t="s">
        <v>81</v>
      </c>
      <c r="E59" s="304" t="s">
        <v>25</v>
      </c>
      <c r="F59" s="304" t="s">
        <v>26</v>
      </c>
      <c r="G59" s="304" t="s">
        <v>216</v>
      </c>
      <c r="H59" s="304" t="s">
        <v>28</v>
      </c>
      <c r="I59" s="304" t="s">
        <v>29</v>
      </c>
      <c r="J59" s="304" t="s">
        <v>110</v>
      </c>
      <c r="K59" s="309">
        <v>46065.0</v>
      </c>
      <c r="L59" s="309">
        <v>46065.0</v>
      </c>
      <c r="M59" s="309">
        <v>46065.0</v>
      </c>
      <c r="N59" s="304" t="s">
        <v>42</v>
      </c>
      <c r="O59" s="304">
        <v>65.7</v>
      </c>
      <c r="P59" s="309">
        <v>46086.0</v>
      </c>
      <c r="Q59" s="309">
        <v>46083.0</v>
      </c>
      <c r="R59" s="308">
        <v>46083.0</v>
      </c>
      <c r="S59" s="304" t="s">
        <v>43</v>
      </c>
      <c r="T59" s="304" t="s">
        <v>217</v>
      </c>
    </row>
    <row r="60">
      <c r="A60" s="306" t="s">
        <v>218</v>
      </c>
      <c r="B60" s="310">
        <v>46063.0</v>
      </c>
      <c r="C60" s="308">
        <v>46063.0</v>
      </c>
      <c r="D60" s="304" t="s">
        <v>52</v>
      </c>
      <c r="E60" s="304" t="s">
        <v>33</v>
      </c>
      <c r="F60" s="304" t="s">
        <v>26</v>
      </c>
      <c r="G60" s="304" t="s">
        <v>219</v>
      </c>
      <c r="H60" s="304" t="s">
        <v>35</v>
      </c>
      <c r="I60" s="304" t="s">
        <v>36</v>
      </c>
      <c r="J60" s="304" t="s">
        <v>41</v>
      </c>
      <c r="K60" s="309">
        <v>46063.0</v>
      </c>
      <c r="L60" s="309"/>
      <c r="M60" s="309">
        <v>46063.0</v>
      </c>
      <c r="N60" s="304" t="s">
        <v>42</v>
      </c>
      <c r="O60" s="304">
        <v>1334.61</v>
      </c>
      <c r="P60" s="309"/>
      <c r="Q60" s="309">
        <v>46063.0</v>
      </c>
      <c r="R60" s="308">
        <v>46063.0</v>
      </c>
      <c r="S60" s="304" t="s">
        <v>43</v>
      </c>
      <c r="T60" s="304" t="s">
        <v>220</v>
      </c>
    </row>
    <row r="61">
      <c r="A61" s="306" t="s">
        <v>221</v>
      </c>
      <c r="B61" s="310">
        <v>46051.0</v>
      </c>
      <c r="C61" s="308">
        <v>46051.0</v>
      </c>
      <c r="D61" s="304" t="s">
        <v>147</v>
      </c>
      <c r="E61" s="304" t="s">
        <v>25</v>
      </c>
      <c r="F61" s="304" t="s">
        <v>26</v>
      </c>
      <c r="G61" s="304" t="s">
        <v>222</v>
      </c>
      <c r="H61" s="304" t="s">
        <v>28</v>
      </c>
      <c r="I61" s="304" t="s">
        <v>29</v>
      </c>
      <c r="J61" s="304" t="s">
        <v>128</v>
      </c>
      <c r="K61" s="309">
        <v>46055.0</v>
      </c>
      <c r="L61" s="309">
        <v>46065.0</v>
      </c>
      <c r="M61" s="309">
        <v>46065.0</v>
      </c>
      <c r="N61" s="304" t="s">
        <v>42</v>
      </c>
      <c r="O61" s="304">
        <v>99.29</v>
      </c>
      <c r="P61" s="309">
        <v>46073.0</v>
      </c>
      <c r="Q61" s="309">
        <v>46076.0</v>
      </c>
      <c r="R61" s="308">
        <v>46076.0</v>
      </c>
      <c r="S61" s="304" t="s">
        <v>43</v>
      </c>
      <c r="T61" s="304" t="s">
        <v>223</v>
      </c>
    </row>
    <row r="62">
      <c r="A62" s="306" t="s">
        <v>224</v>
      </c>
      <c r="B62" s="310">
        <v>46049.0</v>
      </c>
      <c r="C62" s="308">
        <v>46049.0</v>
      </c>
      <c r="D62" s="304" t="s">
        <v>225</v>
      </c>
      <c r="E62" s="304" t="s">
        <v>47</v>
      </c>
      <c r="F62" s="304" t="s">
        <v>47</v>
      </c>
      <c r="G62" s="304" t="s">
        <v>226</v>
      </c>
      <c r="H62" s="304" t="s">
        <v>28</v>
      </c>
      <c r="I62" s="304" t="s">
        <v>29</v>
      </c>
      <c r="J62" s="304" t="s">
        <v>128</v>
      </c>
      <c r="K62" s="309">
        <v>46055.0</v>
      </c>
      <c r="L62" s="309"/>
      <c r="M62" s="309">
        <v>46142.0</v>
      </c>
      <c r="N62" s="304" t="s">
        <v>42</v>
      </c>
      <c r="O62" s="304">
        <v>340.87</v>
      </c>
      <c r="P62" s="309"/>
      <c r="Q62" s="309">
        <v>46190.0</v>
      </c>
      <c r="R62" s="308">
        <v>46190.0</v>
      </c>
      <c r="S62" s="304" t="s">
        <v>227</v>
      </c>
      <c r="T62" s="304" t="s">
        <v>228</v>
      </c>
    </row>
    <row r="63">
      <c r="A63" s="306" t="s">
        <v>229</v>
      </c>
      <c r="B63" s="310">
        <v>46048.0</v>
      </c>
      <c r="C63" s="308">
        <v>46048.0</v>
      </c>
      <c r="D63" s="304" t="s">
        <v>32</v>
      </c>
      <c r="E63" s="304" t="s">
        <v>33</v>
      </c>
      <c r="F63" s="304" t="s">
        <v>26</v>
      </c>
      <c r="G63" s="304" t="s">
        <v>230</v>
      </c>
      <c r="H63" s="304" t="s">
        <v>49</v>
      </c>
      <c r="I63" s="304" t="s">
        <v>61</v>
      </c>
      <c r="J63" s="304" t="s">
        <v>41</v>
      </c>
      <c r="K63" s="309">
        <v>46048.0</v>
      </c>
      <c r="L63" s="309"/>
      <c r="M63" s="309">
        <v>46155.0</v>
      </c>
      <c r="N63" s="304" t="s">
        <v>42</v>
      </c>
      <c r="O63" s="304"/>
      <c r="P63" s="309"/>
      <c r="Q63" s="309">
        <v>46155.0</v>
      </c>
      <c r="R63" s="308">
        <v>46155.0</v>
      </c>
      <c r="S63" s="304" t="s">
        <v>119</v>
      </c>
      <c r="T63" s="304"/>
    </row>
    <row r="64">
      <c r="A64" s="306" t="s">
        <v>231</v>
      </c>
      <c r="B64" s="310">
        <v>46041.0</v>
      </c>
      <c r="C64" s="308">
        <v>46041.0</v>
      </c>
      <c r="D64" s="304" t="s">
        <v>77</v>
      </c>
      <c r="E64" s="304" t="s">
        <v>25</v>
      </c>
      <c r="F64" s="304" t="s">
        <v>26</v>
      </c>
      <c r="G64" s="304" t="s">
        <v>232</v>
      </c>
      <c r="H64" s="304" t="s">
        <v>28</v>
      </c>
      <c r="I64" s="304" t="s">
        <v>29</v>
      </c>
      <c r="J64" s="304" t="s">
        <v>75</v>
      </c>
      <c r="K64" s="309">
        <v>46083.0</v>
      </c>
      <c r="L64" s="309">
        <v>46085.0</v>
      </c>
      <c r="M64" s="309"/>
      <c r="N64" s="304" t="s">
        <v>55</v>
      </c>
      <c r="O64" s="304"/>
      <c r="P64" s="309"/>
      <c r="Q64" s="309"/>
      <c r="R64" s="308"/>
      <c r="S64" s="304"/>
      <c r="T64" s="304" t="s">
        <v>233</v>
      </c>
    </row>
    <row r="65">
      <c r="A65" s="304" t="s">
        <v>76</v>
      </c>
      <c r="B65" s="310">
        <v>46038.0</v>
      </c>
      <c r="C65" s="308">
        <v>46038.0</v>
      </c>
      <c r="D65" s="304" t="s">
        <v>101</v>
      </c>
      <c r="E65" s="304" t="s">
        <v>25</v>
      </c>
      <c r="F65" s="304" t="s">
        <v>26</v>
      </c>
      <c r="G65" s="304" t="s">
        <v>234</v>
      </c>
      <c r="H65" s="304" t="s">
        <v>28</v>
      </c>
      <c r="I65" s="304" t="s">
        <v>29</v>
      </c>
      <c r="J65" s="304" t="s">
        <v>41</v>
      </c>
      <c r="K65" s="309">
        <v>46038.0</v>
      </c>
      <c r="L65" s="309">
        <v>46041.0</v>
      </c>
      <c r="M65" s="309">
        <v>46041.0</v>
      </c>
      <c r="N65" s="304" t="s">
        <v>42</v>
      </c>
      <c r="O65" s="304">
        <v>44.76</v>
      </c>
      <c r="P65" s="309">
        <v>46045.0</v>
      </c>
      <c r="Q65" s="309">
        <v>46048.0</v>
      </c>
      <c r="R65" s="308">
        <v>46048.0</v>
      </c>
      <c r="S65" s="304" t="s">
        <v>119</v>
      </c>
      <c r="T65" s="304" t="s">
        <v>235</v>
      </c>
    </row>
    <row r="66">
      <c r="A66" s="306" t="s">
        <v>236</v>
      </c>
      <c r="B66" s="310">
        <v>46034.0</v>
      </c>
      <c r="C66" s="308">
        <v>46034.0</v>
      </c>
      <c r="D66" s="304" t="s">
        <v>237</v>
      </c>
      <c r="E66" s="304" t="s">
        <v>33</v>
      </c>
      <c r="F66" s="304" t="s">
        <v>26</v>
      </c>
      <c r="G66" s="304" t="s">
        <v>238</v>
      </c>
      <c r="H66" s="304" t="s">
        <v>28</v>
      </c>
      <c r="I66" s="304" t="s">
        <v>61</v>
      </c>
      <c r="J66" s="304"/>
      <c r="K66" s="309"/>
      <c r="L66" s="309"/>
      <c r="M66" s="309"/>
      <c r="N66" s="304" t="s">
        <v>30</v>
      </c>
      <c r="O66" s="304"/>
      <c r="P66" s="309"/>
      <c r="Q66" s="309"/>
      <c r="R66" s="308"/>
      <c r="S66" s="304"/>
      <c r="T66" s="304"/>
    </row>
    <row r="67">
      <c r="A67" s="306" t="s">
        <v>239</v>
      </c>
      <c r="B67" s="310">
        <v>46017.0</v>
      </c>
      <c r="C67" s="308">
        <v>46017.0</v>
      </c>
      <c r="D67" s="304" t="s">
        <v>213</v>
      </c>
      <c r="E67" s="304" t="s">
        <v>25</v>
      </c>
      <c r="F67" s="304" t="s">
        <v>26</v>
      </c>
      <c r="G67" s="304" t="s">
        <v>240</v>
      </c>
      <c r="H67" s="304" t="s">
        <v>28</v>
      </c>
      <c r="I67" s="304" t="s">
        <v>36</v>
      </c>
      <c r="J67" s="304"/>
      <c r="K67" s="309"/>
      <c r="L67" s="309"/>
      <c r="M67" s="309"/>
      <c r="N67" s="304" t="s">
        <v>30</v>
      </c>
      <c r="O67" s="304"/>
      <c r="P67" s="309"/>
      <c r="Q67" s="309"/>
      <c r="R67" s="308"/>
      <c r="S67" s="304"/>
      <c r="T67" s="304" t="s">
        <v>241</v>
      </c>
    </row>
    <row r="68">
      <c r="A68" s="306" t="s">
        <v>242</v>
      </c>
      <c r="B68" s="310">
        <v>46002.0</v>
      </c>
      <c r="C68" s="308">
        <v>46002.0</v>
      </c>
      <c r="D68" s="304" t="s">
        <v>158</v>
      </c>
      <c r="E68" s="304" t="s">
        <v>25</v>
      </c>
      <c r="F68" s="304" t="s">
        <v>26</v>
      </c>
      <c r="G68" s="304" t="s">
        <v>243</v>
      </c>
      <c r="H68" s="304" t="s">
        <v>186</v>
      </c>
      <c r="I68" s="304" t="s">
        <v>36</v>
      </c>
      <c r="J68" s="304" t="s">
        <v>41</v>
      </c>
      <c r="K68" s="309">
        <v>46002.0</v>
      </c>
      <c r="L68" s="309">
        <v>46104.0</v>
      </c>
      <c r="M68" s="309">
        <v>46104.0</v>
      </c>
      <c r="N68" s="304" t="s">
        <v>118</v>
      </c>
      <c r="O68" s="304"/>
      <c r="P68" s="309">
        <v>46104.0</v>
      </c>
      <c r="Q68" s="309">
        <v>46104.0</v>
      </c>
      <c r="R68" s="308">
        <v>46104.0</v>
      </c>
      <c r="S68" s="304" t="s">
        <v>119</v>
      </c>
      <c r="T68" s="304" t="s">
        <v>244</v>
      </c>
    </row>
    <row r="69">
      <c r="A69" s="306" t="s">
        <v>245</v>
      </c>
      <c r="B69" s="310">
        <v>46002.0</v>
      </c>
      <c r="C69" s="308">
        <v>46002.0</v>
      </c>
      <c r="D69" s="304" t="s">
        <v>246</v>
      </c>
      <c r="E69" s="304" t="s">
        <v>25</v>
      </c>
      <c r="F69" s="304" t="s">
        <v>26</v>
      </c>
      <c r="G69" s="304" t="s">
        <v>247</v>
      </c>
      <c r="H69" s="304" t="s">
        <v>186</v>
      </c>
      <c r="I69" s="304" t="s">
        <v>36</v>
      </c>
      <c r="J69" s="304" t="s">
        <v>75</v>
      </c>
      <c r="K69" s="309">
        <v>46006.0</v>
      </c>
      <c r="L69" s="309"/>
      <c r="M69" s="309"/>
      <c r="N69" s="304" t="s">
        <v>210</v>
      </c>
      <c r="O69" s="304"/>
      <c r="P69" s="309"/>
      <c r="Q69" s="309"/>
      <c r="R69" s="308"/>
      <c r="S69" s="304"/>
      <c r="T69" s="304"/>
    </row>
    <row r="70">
      <c r="A70" s="306" t="s">
        <v>248</v>
      </c>
      <c r="B70" s="310">
        <v>46002.0</v>
      </c>
      <c r="C70" s="308">
        <v>46002.0</v>
      </c>
      <c r="D70" s="304" t="s">
        <v>237</v>
      </c>
      <c r="E70" s="304" t="s">
        <v>33</v>
      </c>
      <c r="F70" s="304" t="s">
        <v>26</v>
      </c>
      <c r="G70" s="304" t="s">
        <v>249</v>
      </c>
      <c r="H70" s="304" t="s">
        <v>40</v>
      </c>
      <c r="I70" s="304" t="s">
        <v>61</v>
      </c>
      <c r="J70" s="304"/>
      <c r="K70" s="309"/>
      <c r="L70" s="309"/>
      <c r="M70" s="309"/>
      <c r="N70" s="304" t="s">
        <v>30</v>
      </c>
      <c r="O70" s="304"/>
      <c r="P70" s="309"/>
      <c r="Q70" s="309"/>
      <c r="R70" s="308"/>
      <c r="S70" s="304"/>
      <c r="T70" s="304"/>
    </row>
    <row r="71">
      <c r="A71" s="306" t="s">
        <v>250</v>
      </c>
      <c r="B71" s="310">
        <v>46002.0</v>
      </c>
      <c r="C71" s="308">
        <v>46002.0</v>
      </c>
      <c r="D71" s="304" t="s">
        <v>165</v>
      </c>
      <c r="E71" s="304" t="s">
        <v>33</v>
      </c>
      <c r="F71" s="304" t="s">
        <v>26</v>
      </c>
      <c r="G71" s="304" t="s">
        <v>251</v>
      </c>
      <c r="H71" s="304" t="s">
        <v>28</v>
      </c>
      <c r="I71" s="304" t="s">
        <v>36</v>
      </c>
      <c r="J71" s="304" t="s">
        <v>128</v>
      </c>
      <c r="K71" s="309">
        <v>46038.0</v>
      </c>
      <c r="L71" s="309"/>
      <c r="M71" s="309"/>
      <c r="N71" s="304" t="s">
        <v>42</v>
      </c>
      <c r="O71" s="304">
        <v>73.0</v>
      </c>
      <c r="P71" s="309"/>
      <c r="Q71" s="309">
        <v>46052.0</v>
      </c>
      <c r="R71" s="308">
        <v>46052.0</v>
      </c>
      <c r="S71" s="304"/>
      <c r="T71" s="304" t="s">
        <v>252</v>
      </c>
    </row>
    <row r="72">
      <c r="A72" s="306" t="s">
        <v>253</v>
      </c>
      <c r="B72" s="310">
        <v>46002.0</v>
      </c>
      <c r="C72" s="308">
        <v>46002.0</v>
      </c>
      <c r="D72" s="304" t="s">
        <v>161</v>
      </c>
      <c r="E72" s="304" t="s">
        <v>25</v>
      </c>
      <c r="F72" s="304" t="s">
        <v>26</v>
      </c>
      <c r="G72" s="304" t="s">
        <v>254</v>
      </c>
      <c r="H72" s="304" t="s">
        <v>40</v>
      </c>
      <c r="I72" s="304" t="s">
        <v>36</v>
      </c>
      <c r="J72" s="304" t="s">
        <v>255</v>
      </c>
      <c r="K72" s="309">
        <v>46055.0</v>
      </c>
      <c r="L72" s="309"/>
      <c r="M72" s="309">
        <v>46056.0</v>
      </c>
      <c r="N72" s="304" t="s">
        <v>55</v>
      </c>
      <c r="O72" s="304"/>
      <c r="P72" s="309"/>
      <c r="Q72" s="309"/>
      <c r="R72" s="308"/>
      <c r="S72" s="304"/>
      <c r="T72" s="304"/>
    </row>
    <row r="73">
      <c r="A73" s="306" t="s">
        <v>256</v>
      </c>
      <c r="B73" s="310">
        <v>46002.0</v>
      </c>
      <c r="C73" s="308">
        <v>46002.0</v>
      </c>
      <c r="D73" s="304" t="s">
        <v>257</v>
      </c>
      <c r="E73" s="304" t="s">
        <v>25</v>
      </c>
      <c r="F73" s="304" t="s">
        <v>26</v>
      </c>
      <c r="G73" s="304" t="s">
        <v>258</v>
      </c>
      <c r="H73" s="304" t="s">
        <v>49</v>
      </c>
      <c r="I73" s="304" t="s">
        <v>36</v>
      </c>
      <c r="J73" s="304"/>
      <c r="K73" s="309"/>
      <c r="L73" s="309"/>
      <c r="M73" s="309"/>
      <c r="N73" s="304" t="s">
        <v>30</v>
      </c>
      <c r="O73" s="304"/>
      <c r="P73" s="309"/>
      <c r="Q73" s="309"/>
      <c r="R73" s="308"/>
      <c r="S73" s="304"/>
      <c r="T73" s="304"/>
    </row>
    <row r="74">
      <c r="A74" s="306" t="s">
        <v>259</v>
      </c>
      <c r="B74" s="310">
        <v>46002.0</v>
      </c>
      <c r="C74" s="308">
        <v>46002.0</v>
      </c>
      <c r="D74" s="304" t="s">
        <v>246</v>
      </c>
      <c r="E74" s="304" t="s">
        <v>33</v>
      </c>
      <c r="F74" s="304" t="s">
        <v>26</v>
      </c>
      <c r="G74" s="304" t="s">
        <v>260</v>
      </c>
      <c r="H74" s="304" t="s">
        <v>186</v>
      </c>
      <c r="I74" s="304" t="s">
        <v>36</v>
      </c>
      <c r="J74" s="304" t="s">
        <v>110</v>
      </c>
      <c r="K74" s="309">
        <v>46055.0</v>
      </c>
      <c r="L74" s="309"/>
      <c r="M74" s="309"/>
      <c r="N74" s="304" t="s">
        <v>64</v>
      </c>
      <c r="O74" s="304"/>
      <c r="P74" s="309"/>
      <c r="Q74" s="309"/>
      <c r="R74" s="308"/>
      <c r="S74" s="304"/>
      <c r="T74" s="304"/>
    </row>
    <row r="75">
      <c r="A75" s="306" t="s">
        <v>261</v>
      </c>
      <c r="B75" s="310">
        <v>46002.0</v>
      </c>
      <c r="C75" s="308">
        <v>46002.0</v>
      </c>
      <c r="D75" s="304" t="s">
        <v>133</v>
      </c>
      <c r="E75" s="304" t="s">
        <v>33</v>
      </c>
      <c r="F75" s="304" t="s">
        <v>26</v>
      </c>
      <c r="G75" s="304" t="s">
        <v>262</v>
      </c>
      <c r="H75" s="304" t="s">
        <v>28</v>
      </c>
      <c r="I75" s="304" t="s">
        <v>29</v>
      </c>
      <c r="J75" s="304" t="s">
        <v>128</v>
      </c>
      <c r="K75" s="309">
        <v>46006.0</v>
      </c>
      <c r="L75" s="309"/>
      <c r="M75" s="309"/>
      <c r="N75" s="304" t="s">
        <v>42</v>
      </c>
      <c r="O75" s="304">
        <v>105.8</v>
      </c>
      <c r="P75" s="309"/>
      <c r="Q75" s="309">
        <v>46050.0</v>
      </c>
      <c r="R75" s="308">
        <v>46050.0</v>
      </c>
      <c r="S75" s="304" t="s">
        <v>43</v>
      </c>
      <c r="T75" s="304" t="s">
        <v>263</v>
      </c>
    </row>
    <row r="76">
      <c r="A76" s="306" t="s">
        <v>264</v>
      </c>
      <c r="B76" s="310">
        <v>46001.0</v>
      </c>
      <c r="C76" s="308">
        <v>46001.0</v>
      </c>
      <c r="D76" s="304" t="s">
        <v>147</v>
      </c>
      <c r="E76" s="304" t="s">
        <v>25</v>
      </c>
      <c r="F76" s="304" t="s">
        <v>26</v>
      </c>
      <c r="G76" s="304" t="s">
        <v>265</v>
      </c>
      <c r="H76" s="304" t="s">
        <v>49</v>
      </c>
      <c r="I76" s="304" t="s">
        <v>61</v>
      </c>
      <c r="J76" s="304" t="s">
        <v>41</v>
      </c>
      <c r="K76" s="309">
        <v>46001.0</v>
      </c>
      <c r="L76" s="309">
        <v>46002.0</v>
      </c>
      <c r="M76" s="309">
        <v>46003.0</v>
      </c>
      <c r="N76" s="304" t="s">
        <v>42</v>
      </c>
      <c r="O76" s="304"/>
      <c r="P76" s="309">
        <v>46003.0</v>
      </c>
      <c r="Q76" s="309">
        <v>46003.0</v>
      </c>
      <c r="R76" s="308">
        <v>46003.0</v>
      </c>
      <c r="S76" s="304" t="s">
        <v>119</v>
      </c>
      <c r="T76" s="304"/>
    </row>
    <row r="77">
      <c r="A77" s="306" t="s">
        <v>266</v>
      </c>
      <c r="B77" s="310">
        <v>46001.0</v>
      </c>
      <c r="C77" s="308">
        <v>46001.0</v>
      </c>
      <c r="D77" s="304" t="s">
        <v>116</v>
      </c>
      <c r="E77" s="304" t="s">
        <v>25</v>
      </c>
      <c r="F77" s="304" t="s">
        <v>26</v>
      </c>
      <c r="G77" s="304" t="s">
        <v>267</v>
      </c>
      <c r="H77" s="304" t="s">
        <v>49</v>
      </c>
      <c r="I77" s="304" t="s">
        <v>61</v>
      </c>
      <c r="J77" s="304" t="s">
        <v>41</v>
      </c>
      <c r="K77" s="309">
        <v>46001.0</v>
      </c>
      <c r="L77" s="309">
        <v>46002.0</v>
      </c>
      <c r="M77" s="309">
        <v>46002.0</v>
      </c>
      <c r="N77" s="304" t="s">
        <v>42</v>
      </c>
      <c r="O77" s="304"/>
      <c r="P77" s="309">
        <v>46003.0</v>
      </c>
      <c r="Q77" s="309">
        <v>46002.0</v>
      </c>
      <c r="R77" s="308">
        <v>46002.0</v>
      </c>
      <c r="S77" s="304" t="s">
        <v>119</v>
      </c>
      <c r="T77" s="304" t="s">
        <v>268</v>
      </c>
    </row>
    <row r="78">
      <c r="A78" s="304" t="s">
        <v>76</v>
      </c>
      <c r="B78" s="310">
        <v>45999.0</v>
      </c>
      <c r="C78" s="308">
        <v>45999.0</v>
      </c>
      <c r="D78" s="304" t="s">
        <v>52</v>
      </c>
      <c r="E78" s="304" t="s">
        <v>33</v>
      </c>
      <c r="F78" s="304" t="s">
        <v>26</v>
      </c>
      <c r="G78" s="304" t="s">
        <v>269</v>
      </c>
      <c r="H78" s="304" t="s">
        <v>49</v>
      </c>
      <c r="I78" s="304" t="s">
        <v>61</v>
      </c>
      <c r="J78" s="304" t="s">
        <v>41</v>
      </c>
      <c r="K78" s="309">
        <v>45999.0</v>
      </c>
      <c r="L78" s="309">
        <v>45999.0</v>
      </c>
      <c r="M78" s="309">
        <v>45999.0</v>
      </c>
      <c r="N78" s="304" t="s">
        <v>42</v>
      </c>
      <c r="O78" s="304"/>
      <c r="P78" s="309">
        <v>46003.0</v>
      </c>
      <c r="Q78" s="309">
        <v>45999.0</v>
      </c>
      <c r="R78" s="308">
        <v>45999.0</v>
      </c>
      <c r="S78" s="304" t="s">
        <v>119</v>
      </c>
      <c r="T78" s="304" t="s">
        <v>270</v>
      </c>
    </row>
    <row r="79">
      <c r="A79" s="304" t="s">
        <v>76</v>
      </c>
      <c r="B79" s="310">
        <v>45988.0</v>
      </c>
      <c r="C79" s="308">
        <v>45988.0</v>
      </c>
      <c r="D79" s="304" t="s">
        <v>52</v>
      </c>
      <c r="E79" s="304" t="s">
        <v>271</v>
      </c>
      <c r="F79" s="304" t="s">
        <v>26</v>
      </c>
      <c r="G79" s="304" t="s">
        <v>272</v>
      </c>
      <c r="H79" s="304" t="s">
        <v>87</v>
      </c>
      <c r="I79" s="304" t="s">
        <v>29</v>
      </c>
      <c r="J79" s="304" t="s">
        <v>41</v>
      </c>
      <c r="K79" s="309">
        <v>45988.0</v>
      </c>
      <c r="L79" s="309">
        <v>45989.0</v>
      </c>
      <c r="M79" s="309">
        <v>45989.0</v>
      </c>
      <c r="N79" s="304" t="s">
        <v>42</v>
      </c>
      <c r="O79" s="304"/>
      <c r="P79" s="309">
        <v>45994.0</v>
      </c>
      <c r="Q79" s="309">
        <v>45995.0</v>
      </c>
      <c r="R79" s="308">
        <v>45995.0</v>
      </c>
      <c r="S79" s="304" t="s">
        <v>119</v>
      </c>
      <c r="T79" s="304" t="s">
        <v>273</v>
      </c>
    </row>
    <row r="80">
      <c r="A80" s="306" t="s">
        <v>274</v>
      </c>
      <c r="B80" s="310">
        <v>45959.0</v>
      </c>
      <c r="C80" s="308">
        <v>45959.0</v>
      </c>
      <c r="D80" s="304" t="s">
        <v>275</v>
      </c>
      <c r="E80" s="304" t="s">
        <v>33</v>
      </c>
      <c r="F80" s="304" t="s">
        <v>26</v>
      </c>
      <c r="G80" s="304" t="s">
        <v>276</v>
      </c>
      <c r="H80" s="304" t="s">
        <v>186</v>
      </c>
      <c r="I80" s="304" t="s">
        <v>36</v>
      </c>
      <c r="J80" s="304" t="s">
        <v>41</v>
      </c>
      <c r="K80" s="309">
        <v>45959.0</v>
      </c>
      <c r="L80" s="309">
        <v>45968.0</v>
      </c>
      <c r="M80" s="309">
        <v>45985.0</v>
      </c>
      <c r="N80" s="304" t="s">
        <v>42</v>
      </c>
      <c r="O80" s="304"/>
      <c r="P80" s="309">
        <v>45968.0</v>
      </c>
      <c r="Q80" s="309">
        <v>45985.0</v>
      </c>
      <c r="R80" s="308">
        <v>45985.0</v>
      </c>
      <c r="S80" s="304" t="s">
        <v>119</v>
      </c>
      <c r="T80" s="304" t="s">
        <v>277</v>
      </c>
    </row>
    <row r="81">
      <c r="A81" s="306" t="s">
        <v>278</v>
      </c>
      <c r="B81" s="310">
        <v>45958.0</v>
      </c>
      <c r="C81" s="308">
        <v>45958.0</v>
      </c>
      <c r="D81" s="304" t="s">
        <v>279</v>
      </c>
      <c r="E81" s="304" t="s">
        <v>25</v>
      </c>
      <c r="F81" s="304" t="s">
        <v>26</v>
      </c>
      <c r="G81" s="304" t="s">
        <v>280</v>
      </c>
      <c r="H81" s="304" t="s">
        <v>49</v>
      </c>
      <c r="I81" s="304" t="s">
        <v>36</v>
      </c>
      <c r="J81" s="304"/>
      <c r="K81" s="309"/>
      <c r="L81" s="309"/>
      <c r="M81" s="309"/>
      <c r="N81" s="304" t="s">
        <v>30</v>
      </c>
      <c r="O81" s="304"/>
      <c r="P81" s="309"/>
      <c r="Q81" s="309"/>
      <c r="R81" s="308"/>
      <c r="S81" s="304"/>
      <c r="T81" s="304"/>
    </row>
    <row r="82">
      <c r="A82" s="306" t="s">
        <v>281</v>
      </c>
      <c r="B82" s="309">
        <v>45952.0</v>
      </c>
      <c r="C82" s="308">
        <v>45952.0</v>
      </c>
      <c r="D82" s="304" t="s">
        <v>195</v>
      </c>
      <c r="E82" s="304" t="s">
        <v>33</v>
      </c>
      <c r="F82" s="304" t="s">
        <v>26</v>
      </c>
      <c r="G82" s="304" t="s">
        <v>282</v>
      </c>
      <c r="H82" s="304" t="s">
        <v>40</v>
      </c>
      <c r="I82" s="304" t="s">
        <v>29</v>
      </c>
      <c r="J82" s="304" t="s">
        <v>41</v>
      </c>
      <c r="K82" s="309">
        <v>45958.0</v>
      </c>
      <c r="L82" s="309">
        <v>46085.0</v>
      </c>
      <c r="M82" s="309">
        <v>46085.0</v>
      </c>
      <c r="N82" s="304" t="s">
        <v>42</v>
      </c>
      <c r="O82" s="304"/>
      <c r="P82" s="309"/>
      <c r="Q82" s="309">
        <v>46100.0</v>
      </c>
      <c r="R82" s="308">
        <v>46100.0</v>
      </c>
      <c r="S82" s="304" t="s">
        <v>119</v>
      </c>
      <c r="T82" s="304" t="s">
        <v>283</v>
      </c>
    </row>
    <row r="83">
      <c r="A83" s="306" t="s">
        <v>284</v>
      </c>
      <c r="B83" s="310">
        <v>45952.0</v>
      </c>
      <c r="C83" s="308">
        <v>45952.0</v>
      </c>
      <c r="D83" s="304" t="s">
        <v>285</v>
      </c>
      <c r="E83" s="304" t="s">
        <v>25</v>
      </c>
      <c r="F83" s="304" t="s">
        <v>26</v>
      </c>
      <c r="G83" s="304" t="s">
        <v>286</v>
      </c>
      <c r="H83" s="304" t="s">
        <v>28</v>
      </c>
      <c r="I83" s="304" t="s">
        <v>61</v>
      </c>
      <c r="J83" s="304" t="s">
        <v>110</v>
      </c>
      <c r="K83" s="309">
        <v>46055.0</v>
      </c>
      <c r="L83" s="307">
        <v>46059.0</v>
      </c>
      <c r="M83" s="309">
        <v>46059.0</v>
      </c>
      <c r="N83" s="304" t="s">
        <v>42</v>
      </c>
      <c r="O83" s="304">
        <v>43.3</v>
      </c>
      <c r="P83" s="309">
        <v>46070.0</v>
      </c>
      <c r="Q83" s="309">
        <v>46253.0</v>
      </c>
      <c r="R83" s="308">
        <v>46253.0</v>
      </c>
      <c r="S83" s="304" t="s">
        <v>43</v>
      </c>
      <c r="T83" s="304" t="s">
        <v>287</v>
      </c>
    </row>
    <row r="84">
      <c r="A84" s="306" t="s">
        <v>288</v>
      </c>
      <c r="B84" s="310">
        <v>45938.0</v>
      </c>
      <c r="C84" s="308">
        <v>45938.0</v>
      </c>
      <c r="D84" s="304" t="s">
        <v>246</v>
      </c>
      <c r="E84" s="304" t="s">
        <v>25</v>
      </c>
      <c r="F84" s="304" t="s">
        <v>26</v>
      </c>
      <c r="G84" s="304" t="s">
        <v>289</v>
      </c>
      <c r="H84" s="304" t="s">
        <v>28</v>
      </c>
      <c r="I84" s="304" t="s">
        <v>36</v>
      </c>
      <c r="J84" s="304" t="s">
        <v>75</v>
      </c>
      <c r="K84" s="309">
        <v>45958.0</v>
      </c>
      <c r="L84" s="309"/>
      <c r="M84" s="309"/>
      <c r="N84" s="304" t="s">
        <v>210</v>
      </c>
      <c r="O84" s="304"/>
      <c r="P84" s="309"/>
      <c r="Q84" s="309"/>
      <c r="R84" s="308"/>
      <c r="S84" s="304"/>
      <c r="T84" s="304"/>
    </row>
    <row r="85">
      <c r="A85" s="306" t="s">
        <v>290</v>
      </c>
      <c r="B85" s="310">
        <v>45945.0</v>
      </c>
      <c r="C85" s="308">
        <v>45945.0</v>
      </c>
      <c r="D85" s="304" t="s">
        <v>291</v>
      </c>
      <c r="E85" s="304" t="s">
        <v>33</v>
      </c>
      <c r="F85" s="304" t="s">
        <v>26</v>
      </c>
      <c r="G85" s="304" t="s">
        <v>292</v>
      </c>
      <c r="H85" s="304" t="s">
        <v>49</v>
      </c>
      <c r="I85" s="304" t="s">
        <v>36</v>
      </c>
      <c r="J85" s="304" t="s">
        <v>255</v>
      </c>
      <c r="K85" s="309">
        <v>45958.0</v>
      </c>
      <c r="L85" s="309"/>
      <c r="M85" s="309"/>
      <c r="N85" s="304" t="s">
        <v>42</v>
      </c>
      <c r="O85" s="304"/>
      <c r="P85" s="309"/>
      <c r="Q85" s="309">
        <v>45966.0</v>
      </c>
      <c r="R85" s="308">
        <v>45966.0</v>
      </c>
      <c r="S85" s="304" t="s">
        <v>119</v>
      </c>
      <c r="T85" s="304" t="s">
        <v>293</v>
      </c>
    </row>
    <row r="86">
      <c r="A86" s="304" t="s">
        <v>76</v>
      </c>
      <c r="B86" s="310">
        <v>45944.0</v>
      </c>
      <c r="C86" s="308">
        <v>45944.0</v>
      </c>
      <c r="D86" s="304" t="s">
        <v>52</v>
      </c>
      <c r="E86" s="304" t="s">
        <v>33</v>
      </c>
      <c r="F86" s="304" t="s">
        <v>26</v>
      </c>
      <c r="G86" s="304" t="s">
        <v>294</v>
      </c>
      <c r="H86" s="304" t="s">
        <v>87</v>
      </c>
      <c r="I86" s="304" t="s">
        <v>29</v>
      </c>
      <c r="J86" s="304" t="s">
        <v>41</v>
      </c>
      <c r="K86" s="309">
        <v>45945.0</v>
      </c>
      <c r="L86" s="309">
        <v>45945.0</v>
      </c>
      <c r="M86" s="309">
        <v>45945.0</v>
      </c>
      <c r="N86" s="304" t="s">
        <v>42</v>
      </c>
      <c r="O86" s="304">
        <v>50.0</v>
      </c>
      <c r="P86" s="309">
        <v>45954.0</v>
      </c>
      <c r="Q86" s="309">
        <v>45961.0</v>
      </c>
      <c r="R86" s="308">
        <v>45961.0</v>
      </c>
      <c r="S86" s="304" t="s">
        <v>43</v>
      </c>
      <c r="T86" s="304" t="s">
        <v>295</v>
      </c>
    </row>
    <row r="87">
      <c r="A87" s="306" t="s">
        <v>296</v>
      </c>
      <c r="B87" s="307">
        <v>45944.0</v>
      </c>
      <c r="C87" s="308">
        <v>45944.0</v>
      </c>
      <c r="D87" s="304" t="s">
        <v>168</v>
      </c>
      <c r="E87" s="304" t="s">
        <v>33</v>
      </c>
      <c r="F87" s="304" t="s">
        <v>26</v>
      </c>
      <c r="G87" s="304" t="s">
        <v>297</v>
      </c>
      <c r="H87" s="304" t="s">
        <v>28</v>
      </c>
      <c r="I87" s="304" t="s">
        <v>29</v>
      </c>
      <c r="J87" s="304" t="s">
        <v>110</v>
      </c>
      <c r="K87" s="309">
        <v>45945.0</v>
      </c>
      <c r="L87" s="309">
        <v>45951.0</v>
      </c>
      <c r="M87" s="309">
        <v>45951.0</v>
      </c>
      <c r="N87" s="304" t="s">
        <v>210</v>
      </c>
      <c r="O87" s="304">
        <v>398.35</v>
      </c>
      <c r="P87" s="309"/>
      <c r="Q87" s="309">
        <v>45788.0</v>
      </c>
      <c r="R87" s="308">
        <v>45788.0</v>
      </c>
      <c r="S87" s="304" t="s">
        <v>119</v>
      </c>
      <c r="T87" s="304" t="s">
        <v>298</v>
      </c>
    </row>
    <row r="88">
      <c r="A88" s="306" t="s">
        <v>299</v>
      </c>
      <c r="B88" s="307">
        <v>45937.0</v>
      </c>
      <c r="C88" s="308">
        <v>45937.0</v>
      </c>
      <c r="D88" s="304" t="s">
        <v>38</v>
      </c>
      <c r="E88" s="304" t="s">
        <v>33</v>
      </c>
      <c r="F88" s="304" t="s">
        <v>26</v>
      </c>
      <c r="G88" s="304" t="s">
        <v>300</v>
      </c>
      <c r="H88" s="304" t="s">
        <v>28</v>
      </c>
      <c r="I88" s="304" t="s">
        <v>36</v>
      </c>
      <c r="J88" s="304" t="s">
        <v>41</v>
      </c>
      <c r="K88" s="309"/>
      <c r="L88" s="309"/>
      <c r="M88" s="309"/>
      <c r="N88" s="304" t="s">
        <v>118</v>
      </c>
      <c r="O88" s="304"/>
      <c r="P88" s="309"/>
      <c r="Q88" s="309"/>
      <c r="R88" s="308"/>
      <c r="S88" s="304" t="s">
        <v>119</v>
      </c>
      <c r="T88" s="304" t="s">
        <v>301</v>
      </c>
    </row>
    <row r="89">
      <c r="A89" s="306" t="s">
        <v>302</v>
      </c>
      <c r="B89" s="307">
        <v>45926.0</v>
      </c>
      <c r="C89" s="308">
        <v>45926.0</v>
      </c>
      <c r="D89" s="304" t="s">
        <v>52</v>
      </c>
      <c r="E89" s="304"/>
      <c r="F89" s="304"/>
      <c r="G89" s="304" t="s">
        <v>303</v>
      </c>
      <c r="H89" s="304" t="s">
        <v>54</v>
      </c>
      <c r="I89" s="304" t="s">
        <v>29</v>
      </c>
      <c r="J89" s="304" t="s">
        <v>41</v>
      </c>
      <c r="K89" s="309">
        <v>45926.0</v>
      </c>
      <c r="L89" s="309">
        <v>45936.0</v>
      </c>
      <c r="M89" s="309">
        <v>46038.0</v>
      </c>
      <c r="N89" s="304" t="s">
        <v>42</v>
      </c>
      <c r="O89" s="304"/>
      <c r="P89" s="309"/>
      <c r="Q89" s="309">
        <v>46059.0</v>
      </c>
      <c r="R89" s="308">
        <v>46059.0</v>
      </c>
      <c r="S89" s="304" t="s">
        <v>124</v>
      </c>
      <c r="T89" s="304" t="s">
        <v>304</v>
      </c>
    </row>
    <row r="90">
      <c r="A90" s="306" t="s">
        <v>305</v>
      </c>
      <c r="B90" s="307">
        <v>45925.0</v>
      </c>
      <c r="C90" s="308">
        <v>45925.0</v>
      </c>
      <c r="D90" s="304" t="s">
        <v>213</v>
      </c>
      <c r="E90" s="304" t="s">
        <v>25</v>
      </c>
      <c r="F90" s="304" t="s">
        <v>26</v>
      </c>
      <c r="G90" s="304" t="s">
        <v>306</v>
      </c>
      <c r="H90" s="304" t="s">
        <v>49</v>
      </c>
      <c r="I90" s="304" t="s">
        <v>36</v>
      </c>
      <c r="J90" s="304" t="s">
        <v>255</v>
      </c>
      <c r="K90" s="309">
        <v>45926.0</v>
      </c>
      <c r="L90" s="309">
        <v>45929.0</v>
      </c>
      <c r="M90" s="309">
        <v>45929.0</v>
      </c>
      <c r="N90" s="304" t="s">
        <v>42</v>
      </c>
      <c r="O90" s="304"/>
      <c r="P90" s="309"/>
      <c r="Q90" s="309">
        <v>45929.0</v>
      </c>
      <c r="R90" s="308">
        <v>45929.0</v>
      </c>
      <c r="S90" s="304" t="s">
        <v>119</v>
      </c>
      <c r="T90" s="304" t="s">
        <v>307</v>
      </c>
    </row>
    <row r="91">
      <c r="A91" s="306" t="s">
        <v>308</v>
      </c>
      <c r="B91" s="307">
        <v>45925.0</v>
      </c>
      <c r="C91" s="308">
        <v>45925.0</v>
      </c>
      <c r="D91" s="304" t="s">
        <v>309</v>
      </c>
      <c r="E91" s="304" t="s">
        <v>310</v>
      </c>
      <c r="F91" s="304" t="s">
        <v>26</v>
      </c>
      <c r="G91" s="304" t="s">
        <v>311</v>
      </c>
      <c r="H91" s="304" t="s">
        <v>49</v>
      </c>
      <c r="I91" s="304" t="s">
        <v>61</v>
      </c>
      <c r="J91" s="304" t="s">
        <v>41</v>
      </c>
      <c r="K91" s="309">
        <v>46290.0</v>
      </c>
      <c r="L91" s="309">
        <v>45929.0</v>
      </c>
      <c r="M91" s="309">
        <v>45929.0</v>
      </c>
      <c r="N91" s="304" t="s">
        <v>42</v>
      </c>
      <c r="O91" s="304"/>
      <c r="P91" s="309"/>
      <c r="Q91" s="309">
        <v>45929.0</v>
      </c>
      <c r="R91" s="308">
        <v>45929.0</v>
      </c>
      <c r="S91" s="304" t="s">
        <v>119</v>
      </c>
      <c r="T91" s="304" t="s">
        <v>312</v>
      </c>
    </row>
    <row r="92">
      <c r="A92" s="306" t="s">
        <v>313</v>
      </c>
      <c r="B92" s="307">
        <v>45925.0</v>
      </c>
      <c r="C92" s="308">
        <v>45925.0</v>
      </c>
      <c r="D92" s="304" t="s">
        <v>57</v>
      </c>
      <c r="E92" s="304" t="s">
        <v>58</v>
      </c>
      <c r="F92" s="304" t="s">
        <v>58</v>
      </c>
      <c r="G92" s="304" t="s">
        <v>314</v>
      </c>
      <c r="H92" s="304" t="s">
        <v>35</v>
      </c>
      <c r="I92" s="304" t="s">
        <v>61</v>
      </c>
      <c r="J92" s="304" t="s">
        <v>152</v>
      </c>
      <c r="K92" s="309">
        <v>46063.0</v>
      </c>
      <c r="L92" s="309"/>
      <c r="M92" s="309"/>
      <c r="N92" s="304" t="s">
        <v>64</v>
      </c>
      <c r="O92" s="304"/>
      <c r="P92" s="309"/>
      <c r="Q92" s="309"/>
      <c r="R92" s="308"/>
      <c r="S92" s="304"/>
      <c r="T92" s="304" t="s">
        <v>315</v>
      </c>
    </row>
    <row r="93">
      <c r="A93" s="306" t="s">
        <v>316</v>
      </c>
      <c r="B93" s="307">
        <v>45918.0</v>
      </c>
      <c r="C93" s="308">
        <v>45918.0</v>
      </c>
      <c r="D93" s="304" t="s">
        <v>317</v>
      </c>
      <c r="E93" s="304" t="s">
        <v>25</v>
      </c>
      <c r="F93" s="304" t="s">
        <v>26</v>
      </c>
      <c r="G93" s="304" t="s">
        <v>318</v>
      </c>
      <c r="H93" s="304" t="s">
        <v>28</v>
      </c>
      <c r="I93" s="304" t="s">
        <v>36</v>
      </c>
      <c r="J93" s="304"/>
      <c r="K93" s="309"/>
      <c r="L93" s="309"/>
      <c r="M93" s="309"/>
      <c r="N93" s="304" t="s">
        <v>30</v>
      </c>
      <c r="O93" s="304"/>
      <c r="P93" s="309"/>
      <c r="Q93" s="309"/>
      <c r="R93" s="308"/>
      <c r="S93" s="304"/>
      <c r="T93" s="304"/>
    </row>
    <row r="94">
      <c r="A94" s="306" t="s">
        <v>319</v>
      </c>
      <c r="B94" s="307">
        <v>45915.0</v>
      </c>
      <c r="C94" s="308">
        <v>45915.0</v>
      </c>
      <c r="D94" s="304" t="s">
        <v>309</v>
      </c>
      <c r="E94" s="304" t="s">
        <v>310</v>
      </c>
      <c r="F94" s="304" t="s">
        <v>26</v>
      </c>
      <c r="G94" s="304" t="s">
        <v>320</v>
      </c>
      <c r="H94" s="304" t="s">
        <v>60</v>
      </c>
      <c r="I94" s="304" t="s">
        <v>36</v>
      </c>
      <c r="J94" s="304" t="s">
        <v>41</v>
      </c>
      <c r="K94" s="309">
        <v>45915.0</v>
      </c>
      <c r="L94" s="309">
        <v>45915.0</v>
      </c>
      <c r="M94" s="309">
        <v>45915.0</v>
      </c>
      <c r="N94" s="304" t="s">
        <v>118</v>
      </c>
      <c r="O94" s="304"/>
      <c r="P94" s="309"/>
      <c r="Q94" s="309">
        <v>45915.0</v>
      </c>
      <c r="R94" s="308">
        <v>45915.0</v>
      </c>
      <c r="S94" s="304" t="s">
        <v>119</v>
      </c>
      <c r="T94" s="304" t="s">
        <v>321</v>
      </c>
    </row>
    <row r="95">
      <c r="A95" s="306" t="s">
        <v>322</v>
      </c>
      <c r="B95" s="307">
        <v>45911.0</v>
      </c>
      <c r="C95" s="308">
        <v>45911.0</v>
      </c>
      <c r="D95" s="304" t="s">
        <v>323</v>
      </c>
      <c r="E95" s="304" t="s">
        <v>25</v>
      </c>
      <c r="F95" s="304" t="s">
        <v>26</v>
      </c>
      <c r="G95" s="304" t="s">
        <v>324</v>
      </c>
      <c r="H95" s="304" t="s">
        <v>28</v>
      </c>
      <c r="I95" s="304" t="s">
        <v>29</v>
      </c>
      <c r="J95" s="304" t="s">
        <v>128</v>
      </c>
      <c r="K95" s="309">
        <v>45944.0</v>
      </c>
      <c r="L95" s="309"/>
      <c r="M95" s="309"/>
      <c r="N95" s="304" t="s">
        <v>42</v>
      </c>
      <c r="O95" s="304">
        <v>12.4</v>
      </c>
      <c r="P95" s="309"/>
      <c r="Q95" s="309">
        <v>45988.0</v>
      </c>
      <c r="R95" s="308">
        <v>45988.0</v>
      </c>
      <c r="S95" s="304" t="s">
        <v>119</v>
      </c>
      <c r="T95" s="304" t="s">
        <v>325</v>
      </c>
    </row>
    <row r="96">
      <c r="A96" s="306" t="s">
        <v>326</v>
      </c>
      <c r="B96" s="307">
        <v>45904.0</v>
      </c>
      <c r="C96" s="308">
        <v>45904.0</v>
      </c>
      <c r="D96" s="304" t="s">
        <v>327</v>
      </c>
      <c r="E96" s="304" t="s">
        <v>25</v>
      </c>
      <c r="F96" s="304" t="s">
        <v>26</v>
      </c>
      <c r="G96" s="304" t="s">
        <v>328</v>
      </c>
      <c r="H96" s="304" t="s">
        <v>28</v>
      </c>
      <c r="I96" s="304" t="s">
        <v>61</v>
      </c>
      <c r="J96" s="304" t="s">
        <v>152</v>
      </c>
      <c r="K96" s="309"/>
      <c r="L96" s="309"/>
      <c r="M96" s="309"/>
      <c r="N96" s="304" t="s">
        <v>42</v>
      </c>
      <c r="O96" s="304">
        <v>77.8</v>
      </c>
      <c r="P96" s="309"/>
      <c r="Q96" s="309">
        <v>45918.0</v>
      </c>
      <c r="R96" s="308">
        <v>45918.0</v>
      </c>
      <c r="S96" s="304"/>
      <c r="T96" s="304" t="s">
        <v>329</v>
      </c>
    </row>
    <row r="97">
      <c r="A97" s="306" t="s">
        <v>330</v>
      </c>
      <c r="B97" s="309">
        <v>45897.0</v>
      </c>
      <c r="C97" s="308">
        <v>45897.0</v>
      </c>
      <c r="D97" s="304" t="s">
        <v>246</v>
      </c>
      <c r="E97" s="304" t="s">
        <v>25</v>
      </c>
      <c r="F97" s="304" t="s">
        <v>26</v>
      </c>
      <c r="G97" s="304" t="s">
        <v>331</v>
      </c>
      <c r="H97" s="304" t="s">
        <v>186</v>
      </c>
      <c r="I97" s="304" t="s">
        <v>36</v>
      </c>
      <c r="J97" s="304" t="s">
        <v>41</v>
      </c>
      <c r="K97" s="309">
        <v>45898.0</v>
      </c>
      <c r="L97" s="309"/>
      <c r="M97" s="309"/>
      <c r="N97" s="304" t="s">
        <v>42</v>
      </c>
      <c r="O97" s="304"/>
      <c r="P97" s="309"/>
      <c r="Q97" s="309">
        <v>45992.0</v>
      </c>
      <c r="R97" s="308">
        <v>45992.0</v>
      </c>
      <c r="S97" s="304" t="s">
        <v>119</v>
      </c>
      <c r="T97" s="304" t="s">
        <v>332</v>
      </c>
    </row>
    <row r="98">
      <c r="A98" s="306" t="s">
        <v>333</v>
      </c>
      <c r="B98" s="309">
        <v>45891.0</v>
      </c>
      <c r="C98" s="308">
        <v>45891.0</v>
      </c>
      <c r="D98" s="304" t="s">
        <v>52</v>
      </c>
      <c r="E98" s="304" t="s">
        <v>25</v>
      </c>
      <c r="F98" s="304" t="s">
        <v>26</v>
      </c>
      <c r="G98" s="304" t="s">
        <v>334</v>
      </c>
      <c r="H98" s="304" t="s">
        <v>28</v>
      </c>
      <c r="I98" s="304" t="s">
        <v>36</v>
      </c>
      <c r="J98" s="304"/>
      <c r="K98" s="309"/>
      <c r="L98" s="309"/>
      <c r="M98" s="309"/>
      <c r="N98" s="304" t="s">
        <v>30</v>
      </c>
      <c r="O98" s="304"/>
      <c r="P98" s="309"/>
      <c r="Q98" s="309"/>
      <c r="R98" s="308"/>
      <c r="S98" s="304"/>
      <c r="T98" s="304"/>
    </row>
    <row r="99">
      <c r="A99" s="306" t="s">
        <v>335</v>
      </c>
      <c r="B99" s="309">
        <v>45891.0</v>
      </c>
      <c r="C99" s="308">
        <v>45891.0</v>
      </c>
      <c r="D99" s="304" t="s">
        <v>179</v>
      </c>
      <c r="E99" s="304" t="s">
        <v>25</v>
      </c>
      <c r="F99" s="304" t="s">
        <v>26</v>
      </c>
      <c r="G99" s="304" t="s">
        <v>336</v>
      </c>
      <c r="H99" s="304" t="s">
        <v>40</v>
      </c>
      <c r="I99" s="304" t="s">
        <v>36</v>
      </c>
      <c r="J99" s="304" t="s">
        <v>255</v>
      </c>
      <c r="K99" s="309">
        <v>45926.0</v>
      </c>
      <c r="L99" s="309"/>
      <c r="M99" s="309">
        <v>45929.0</v>
      </c>
      <c r="N99" s="304" t="s">
        <v>42</v>
      </c>
      <c r="O99" s="304"/>
      <c r="P99" s="309"/>
      <c r="Q99" s="309">
        <v>45931.0</v>
      </c>
      <c r="R99" s="308">
        <v>45931.0</v>
      </c>
      <c r="S99" s="304" t="s">
        <v>119</v>
      </c>
      <c r="T99" s="304" t="s">
        <v>337</v>
      </c>
    </row>
    <row r="100">
      <c r="A100" s="306" t="s">
        <v>338</v>
      </c>
      <c r="B100" s="309">
        <v>45891.0</v>
      </c>
      <c r="C100" s="308">
        <v>45891.0</v>
      </c>
      <c r="D100" s="304" t="s">
        <v>66</v>
      </c>
      <c r="E100" s="304" t="s">
        <v>25</v>
      </c>
      <c r="F100" s="304" t="s">
        <v>26</v>
      </c>
      <c r="G100" s="304" t="s">
        <v>339</v>
      </c>
      <c r="H100" s="304" t="s">
        <v>40</v>
      </c>
      <c r="I100" s="304" t="s">
        <v>36</v>
      </c>
      <c r="J100" s="304" t="s">
        <v>255</v>
      </c>
      <c r="K100" s="309">
        <v>45926.0</v>
      </c>
      <c r="L100" s="309"/>
      <c r="M100" s="309">
        <v>45929.0</v>
      </c>
      <c r="N100" s="304" t="s">
        <v>42</v>
      </c>
      <c r="O100" s="304"/>
      <c r="P100" s="309"/>
      <c r="Q100" s="309">
        <v>45932.0</v>
      </c>
      <c r="R100" s="308">
        <v>45932.0</v>
      </c>
      <c r="S100" s="304" t="s">
        <v>119</v>
      </c>
      <c r="T100" s="304" t="s">
        <v>340</v>
      </c>
    </row>
    <row r="101">
      <c r="A101" s="306" t="s">
        <v>341</v>
      </c>
      <c r="B101" s="309">
        <v>45887.0</v>
      </c>
      <c r="C101" s="308">
        <v>45887.0</v>
      </c>
      <c r="D101" s="304" t="s">
        <v>309</v>
      </c>
      <c r="E101" s="304" t="s">
        <v>310</v>
      </c>
      <c r="F101" s="304" t="s">
        <v>26</v>
      </c>
      <c r="G101" s="304" t="s">
        <v>342</v>
      </c>
      <c r="H101" s="304" t="s">
        <v>35</v>
      </c>
      <c r="I101" s="304" t="s">
        <v>29</v>
      </c>
      <c r="J101" s="304" t="s">
        <v>41</v>
      </c>
      <c r="K101" s="309">
        <v>45887.0</v>
      </c>
      <c r="L101" s="309">
        <v>45903.0</v>
      </c>
      <c r="M101" s="309">
        <v>45903.0</v>
      </c>
      <c r="N101" s="304" t="s">
        <v>343</v>
      </c>
      <c r="O101" s="304"/>
      <c r="P101" s="309">
        <v>45911.0</v>
      </c>
      <c r="Q101" s="309"/>
      <c r="R101" s="308"/>
      <c r="S101" s="304"/>
      <c r="T101" s="304" t="s">
        <v>344</v>
      </c>
    </row>
    <row r="102">
      <c r="A102" s="306" t="s">
        <v>345</v>
      </c>
      <c r="B102" s="309">
        <v>45887.0</v>
      </c>
      <c r="C102" s="308">
        <v>45887.0</v>
      </c>
      <c r="D102" s="304" t="s">
        <v>246</v>
      </c>
      <c r="E102" s="304" t="s">
        <v>25</v>
      </c>
      <c r="F102" s="304" t="s">
        <v>26</v>
      </c>
      <c r="G102" s="304" t="s">
        <v>346</v>
      </c>
      <c r="H102" s="304" t="s">
        <v>28</v>
      </c>
      <c r="I102" s="304" t="s">
        <v>29</v>
      </c>
      <c r="J102" s="304" t="s">
        <v>75</v>
      </c>
      <c r="K102" s="309">
        <v>45909.0</v>
      </c>
      <c r="L102" s="309">
        <v>45923.0</v>
      </c>
      <c r="M102" s="309">
        <v>45924.0</v>
      </c>
      <c r="N102" s="304" t="s">
        <v>210</v>
      </c>
      <c r="O102" s="304"/>
      <c r="P102" s="309">
        <v>45931.0</v>
      </c>
      <c r="Q102" s="309"/>
      <c r="R102" s="308"/>
      <c r="S102" s="304"/>
      <c r="T102" s="304" t="s">
        <v>347</v>
      </c>
    </row>
    <row r="103">
      <c r="A103" s="306" t="s">
        <v>348</v>
      </c>
      <c r="B103" s="309">
        <v>45883.0</v>
      </c>
      <c r="C103" s="308">
        <v>45883.0</v>
      </c>
      <c r="D103" s="304" t="s">
        <v>349</v>
      </c>
      <c r="E103" s="304" t="s">
        <v>25</v>
      </c>
      <c r="F103" s="304" t="s">
        <v>26</v>
      </c>
      <c r="G103" s="304" t="s">
        <v>350</v>
      </c>
      <c r="H103" s="304" t="s">
        <v>40</v>
      </c>
      <c r="I103" s="304" t="s">
        <v>36</v>
      </c>
      <c r="J103" s="304" t="s">
        <v>255</v>
      </c>
      <c r="K103" s="309">
        <v>45926.0</v>
      </c>
      <c r="L103" s="309"/>
      <c r="M103" s="309">
        <v>45929.0</v>
      </c>
      <c r="N103" s="304" t="s">
        <v>42</v>
      </c>
      <c r="O103" s="304"/>
      <c r="P103" s="309">
        <v>45933.0</v>
      </c>
      <c r="Q103" s="309">
        <v>45933.0</v>
      </c>
      <c r="R103" s="308">
        <v>45933.0</v>
      </c>
      <c r="S103" s="304" t="s">
        <v>43</v>
      </c>
      <c r="T103" s="304" t="s">
        <v>351</v>
      </c>
    </row>
    <row r="104">
      <c r="A104" s="306" t="s">
        <v>352</v>
      </c>
      <c r="B104" s="309">
        <v>45875.0</v>
      </c>
      <c r="C104" s="308">
        <v>45875.0</v>
      </c>
      <c r="D104" s="304" t="s">
        <v>195</v>
      </c>
      <c r="E104" s="304" t="s">
        <v>33</v>
      </c>
      <c r="F104" s="304" t="s">
        <v>26</v>
      </c>
      <c r="G104" s="304" t="s">
        <v>353</v>
      </c>
      <c r="H104" s="304" t="s">
        <v>40</v>
      </c>
      <c r="I104" s="304" t="s">
        <v>29</v>
      </c>
      <c r="J104" s="304" t="s">
        <v>255</v>
      </c>
      <c r="K104" s="309">
        <v>45875.0</v>
      </c>
      <c r="L104" s="309">
        <v>45880.0</v>
      </c>
      <c r="M104" s="309"/>
      <c r="N104" s="304" t="s">
        <v>55</v>
      </c>
      <c r="O104" s="304"/>
      <c r="P104" s="309"/>
      <c r="Q104" s="309"/>
      <c r="R104" s="308"/>
      <c r="S104" s="304"/>
      <c r="T104" s="304"/>
    </row>
    <row r="105">
      <c r="A105" s="306" t="s">
        <v>354</v>
      </c>
      <c r="B105" s="309">
        <v>45874.0</v>
      </c>
      <c r="C105" s="308">
        <v>45874.0</v>
      </c>
      <c r="D105" s="304" t="s">
        <v>279</v>
      </c>
      <c r="E105" s="304" t="s">
        <v>25</v>
      </c>
      <c r="F105" s="304" t="s">
        <v>26</v>
      </c>
      <c r="G105" s="304" t="s">
        <v>355</v>
      </c>
      <c r="H105" s="304" t="s">
        <v>186</v>
      </c>
      <c r="I105" s="304" t="s">
        <v>61</v>
      </c>
      <c r="J105" s="304" t="s">
        <v>255</v>
      </c>
      <c r="K105" s="309">
        <v>45875.0</v>
      </c>
      <c r="L105" s="309">
        <v>45876.0</v>
      </c>
      <c r="M105" s="309">
        <v>45876.0</v>
      </c>
      <c r="N105" s="304" t="s">
        <v>42</v>
      </c>
      <c r="O105" s="304"/>
      <c r="P105" s="309">
        <v>45877.0</v>
      </c>
      <c r="Q105" s="309">
        <v>45877.0</v>
      </c>
      <c r="R105" s="308">
        <v>45877.0</v>
      </c>
      <c r="S105" s="304" t="s">
        <v>119</v>
      </c>
      <c r="T105" s="304"/>
    </row>
    <row r="106">
      <c r="A106" s="304" t="s">
        <v>76</v>
      </c>
      <c r="B106" s="309">
        <v>45869.0</v>
      </c>
      <c r="C106" s="308">
        <v>45869.0</v>
      </c>
      <c r="D106" s="304" t="s">
        <v>46</v>
      </c>
      <c r="E106" s="304" t="s">
        <v>33</v>
      </c>
      <c r="F106" s="304" t="s">
        <v>26</v>
      </c>
      <c r="G106" s="304" t="s">
        <v>356</v>
      </c>
      <c r="H106" s="304" t="s">
        <v>28</v>
      </c>
      <c r="I106" s="304" t="s">
        <v>29</v>
      </c>
      <c r="J106" s="304" t="s">
        <v>110</v>
      </c>
      <c r="K106" s="309">
        <v>45874.0</v>
      </c>
      <c r="L106" s="309">
        <v>45875.0</v>
      </c>
      <c r="M106" s="309">
        <v>45875.0</v>
      </c>
      <c r="N106" s="304" t="s">
        <v>42</v>
      </c>
      <c r="O106" s="304"/>
      <c r="P106" s="309">
        <v>45876.0</v>
      </c>
      <c r="Q106" s="309">
        <v>45877.0</v>
      </c>
      <c r="R106" s="308">
        <v>45877.0</v>
      </c>
      <c r="S106" s="304"/>
      <c r="T106" s="304"/>
    </row>
    <row r="107">
      <c r="A107" s="306" t="s">
        <v>357</v>
      </c>
      <c r="B107" s="309">
        <v>45866.0</v>
      </c>
      <c r="C107" s="308">
        <v>45866.0</v>
      </c>
      <c r="D107" s="304" t="s">
        <v>116</v>
      </c>
      <c r="E107" s="304" t="s">
        <v>25</v>
      </c>
      <c r="F107" s="304" t="s">
        <v>26</v>
      </c>
      <c r="G107" s="304" t="s">
        <v>358</v>
      </c>
      <c r="H107" s="304" t="s">
        <v>186</v>
      </c>
      <c r="I107" s="304" t="s">
        <v>36</v>
      </c>
      <c r="J107" s="304" t="s">
        <v>41</v>
      </c>
      <c r="K107" s="309">
        <v>45866.0</v>
      </c>
      <c r="L107" s="309">
        <v>46963.0</v>
      </c>
      <c r="M107" s="309">
        <v>46963.0</v>
      </c>
      <c r="N107" s="304" t="s">
        <v>42</v>
      </c>
      <c r="O107" s="304"/>
      <c r="P107" s="309">
        <v>45868.0</v>
      </c>
      <c r="Q107" s="309">
        <v>45868.0</v>
      </c>
      <c r="R107" s="308">
        <v>45868.0</v>
      </c>
      <c r="S107" s="304" t="s">
        <v>119</v>
      </c>
      <c r="T107" s="304"/>
    </row>
    <row r="108">
      <c r="A108" s="304" t="s">
        <v>76</v>
      </c>
      <c r="B108" s="309">
        <v>45865.0</v>
      </c>
      <c r="C108" s="308">
        <v>45865.0</v>
      </c>
      <c r="D108" s="304" t="s">
        <v>359</v>
      </c>
      <c r="E108" s="304" t="s">
        <v>33</v>
      </c>
      <c r="F108" s="304" t="s">
        <v>26</v>
      </c>
      <c r="G108" s="304" t="s">
        <v>360</v>
      </c>
      <c r="H108" s="304" t="s">
        <v>28</v>
      </c>
      <c r="I108" s="304" t="s">
        <v>36</v>
      </c>
      <c r="J108" s="304" t="s">
        <v>128</v>
      </c>
      <c r="K108" s="309">
        <v>45866.0</v>
      </c>
      <c r="L108" s="309">
        <v>45867.0</v>
      </c>
      <c r="M108" s="309">
        <v>45867.0</v>
      </c>
      <c r="N108" s="304" t="s">
        <v>42</v>
      </c>
      <c r="O108" s="304">
        <v>120.0</v>
      </c>
      <c r="P108" s="309">
        <v>45869.0</v>
      </c>
      <c r="Q108" s="309">
        <v>45869.0</v>
      </c>
      <c r="R108" s="308">
        <v>45869.0</v>
      </c>
      <c r="S108" s="304" t="s">
        <v>43</v>
      </c>
      <c r="T108" s="304"/>
    </row>
    <row r="109">
      <c r="A109" s="306" t="s">
        <v>361</v>
      </c>
      <c r="B109" s="309">
        <v>45852.0</v>
      </c>
      <c r="C109" s="308">
        <v>45852.0</v>
      </c>
      <c r="D109" s="304" t="s">
        <v>179</v>
      </c>
      <c r="E109" s="304" t="s">
        <v>33</v>
      </c>
      <c r="F109" s="304" t="s">
        <v>26</v>
      </c>
      <c r="G109" s="304" t="s">
        <v>362</v>
      </c>
      <c r="H109" s="304" t="s">
        <v>49</v>
      </c>
      <c r="I109" s="304" t="s">
        <v>61</v>
      </c>
      <c r="J109" s="304" t="s">
        <v>255</v>
      </c>
      <c r="K109" s="309">
        <v>45852.0</v>
      </c>
      <c r="L109" s="309">
        <v>45853.0</v>
      </c>
      <c r="M109" s="309">
        <v>45876.0</v>
      </c>
      <c r="N109" s="304" t="s">
        <v>42</v>
      </c>
      <c r="O109" s="304"/>
      <c r="P109" s="309"/>
      <c r="Q109" s="309">
        <v>45877.0</v>
      </c>
      <c r="R109" s="308">
        <v>45877.0</v>
      </c>
      <c r="S109" s="304" t="s">
        <v>119</v>
      </c>
      <c r="T109" s="304"/>
    </row>
    <row r="110">
      <c r="A110" s="306" t="s">
        <v>363</v>
      </c>
      <c r="B110" s="309">
        <v>45848.0</v>
      </c>
      <c r="C110" s="308">
        <v>45848.0</v>
      </c>
      <c r="D110" s="304" t="s">
        <v>364</v>
      </c>
      <c r="E110" s="304" t="s">
        <v>25</v>
      </c>
      <c r="F110" s="304" t="s">
        <v>26</v>
      </c>
      <c r="G110" s="304" t="s">
        <v>365</v>
      </c>
      <c r="H110" s="304" t="s">
        <v>60</v>
      </c>
      <c r="I110" s="304" t="s">
        <v>29</v>
      </c>
      <c r="J110" s="304" t="s">
        <v>41</v>
      </c>
      <c r="K110" s="309">
        <v>45848.0</v>
      </c>
      <c r="L110" s="309"/>
      <c r="M110" s="309"/>
      <c r="N110" s="304" t="s">
        <v>42</v>
      </c>
      <c r="O110" s="304">
        <v>735.65</v>
      </c>
      <c r="P110" s="304"/>
      <c r="Q110" s="309">
        <v>46111.0</v>
      </c>
      <c r="R110" s="308">
        <v>46111.0</v>
      </c>
      <c r="S110" s="304" t="s">
        <v>119</v>
      </c>
      <c r="T110" s="304" t="s">
        <v>366</v>
      </c>
    </row>
    <row r="111">
      <c r="A111" s="306" t="s">
        <v>367</v>
      </c>
      <c r="B111" s="309">
        <v>45848.0</v>
      </c>
      <c r="C111" s="308">
        <v>45848.0</v>
      </c>
      <c r="D111" s="304" t="s">
        <v>368</v>
      </c>
      <c r="E111" s="304" t="s">
        <v>25</v>
      </c>
      <c r="F111" s="304" t="s">
        <v>26</v>
      </c>
      <c r="G111" s="304" t="s">
        <v>369</v>
      </c>
      <c r="H111" s="304" t="s">
        <v>35</v>
      </c>
      <c r="I111" s="304" t="s">
        <v>61</v>
      </c>
      <c r="J111" s="304" t="s">
        <v>128</v>
      </c>
      <c r="K111" s="309">
        <v>46064.0</v>
      </c>
      <c r="L111" s="309">
        <v>46099.0</v>
      </c>
      <c r="M111" s="309">
        <v>46099.0</v>
      </c>
      <c r="N111" s="304" t="s">
        <v>42</v>
      </c>
      <c r="O111" s="304"/>
      <c r="P111" s="309"/>
      <c r="Q111" s="309">
        <v>46100.0</v>
      </c>
      <c r="R111" s="308">
        <v>46100.0</v>
      </c>
      <c r="S111" s="304" t="s">
        <v>43</v>
      </c>
      <c r="T111" s="304" t="s">
        <v>370</v>
      </c>
    </row>
    <row r="112">
      <c r="A112" s="306" t="s">
        <v>371</v>
      </c>
      <c r="B112" s="309">
        <v>45838.0</v>
      </c>
      <c r="C112" s="308">
        <v>45838.0</v>
      </c>
      <c r="D112" s="304" t="s">
        <v>24</v>
      </c>
      <c r="E112" s="304" t="s">
        <v>25</v>
      </c>
      <c r="F112" s="304" t="s">
        <v>26</v>
      </c>
      <c r="G112" s="304" t="s">
        <v>372</v>
      </c>
      <c r="H112" s="304" t="s">
        <v>60</v>
      </c>
      <c r="I112" s="304" t="s">
        <v>36</v>
      </c>
      <c r="J112" s="304"/>
      <c r="K112" s="309"/>
      <c r="L112" s="309"/>
      <c r="M112" s="309"/>
      <c r="N112" s="304" t="s">
        <v>30</v>
      </c>
      <c r="O112" s="304"/>
      <c r="P112" s="309"/>
      <c r="Q112" s="309"/>
      <c r="R112" s="308"/>
      <c r="S112" s="304"/>
      <c r="T112" s="304" t="s">
        <v>373</v>
      </c>
    </row>
    <row r="113">
      <c r="A113" s="306" t="s">
        <v>374</v>
      </c>
      <c r="B113" s="309">
        <v>45818.0</v>
      </c>
      <c r="C113" s="308">
        <v>45818.0</v>
      </c>
      <c r="D113" s="304" t="s">
        <v>375</v>
      </c>
      <c r="E113" s="304" t="s">
        <v>25</v>
      </c>
      <c r="F113" s="304" t="s">
        <v>26</v>
      </c>
      <c r="G113" s="304" t="s">
        <v>376</v>
      </c>
      <c r="H113" s="304" t="s">
        <v>60</v>
      </c>
      <c r="I113" s="304" t="s">
        <v>36</v>
      </c>
      <c r="J113" s="304" t="s">
        <v>41</v>
      </c>
      <c r="K113" s="309">
        <v>45818.0</v>
      </c>
      <c r="L113" s="309"/>
      <c r="M113" s="309"/>
      <c r="N113" s="304" t="s">
        <v>55</v>
      </c>
      <c r="O113" s="304"/>
      <c r="P113" s="309"/>
      <c r="Q113" s="309"/>
      <c r="R113" s="308"/>
      <c r="S113" s="304"/>
      <c r="T113" s="304"/>
    </row>
    <row r="114">
      <c r="A114" s="306" t="s">
        <v>377</v>
      </c>
      <c r="B114" s="309">
        <v>45813.0</v>
      </c>
      <c r="C114" s="308">
        <v>45813.0</v>
      </c>
      <c r="D114" s="304" t="s">
        <v>190</v>
      </c>
      <c r="E114" s="304" t="s">
        <v>47</v>
      </c>
      <c r="F114" s="304" t="s">
        <v>47</v>
      </c>
      <c r="G114" s="304" t="s">
        <v>378</v>
      </c>
      <c r="H114" s="304" t="s">
        <v>87</v>
      </c>
      <c r="I114" s="304" t="s">
        <v>29</v>
      </c>
      <c r="J114" s="304" t="s">
        <v>41</v>
      </c>
      <c r="K114" s="309">
        <v>45813.0</v>
      </c>
      <c r="L114" s="309">
        <v>46063.0</v>
      </c>
      <c r="M114" s="309">
        <v>46063.0</v>
      </c>
      <c r="N114" s="304" t="s">
        <v>42</v>
      </c>
      <c r="O114" s="304"/>
      <c r="P114" s="309">
        <v>46066.0</v>
      </c>
      <c r="Q114" s="309">
        <v>46065.0</v>
      </c>
      <c r="R114" s="308">
        <v>46065.0</v>
      </c>
      <c r="S114" s="304" t="s">
        <v>43</v>
      </c>
      <c r="T114" s="304" t="s">
        <v>379</v>
      </c>
    </row>
    <row r="115">
      <c r="A115" s="306" t="s">
        <v>380</v>
      </c>
      <c r="B115" s="309">
        <v>45813.0</v>
      </c>
      <c r="C115" s="308">
        <v>45813.0</v>
      </c>
      <c r="D115" s="304" t="s">
        <v>133</v>
      </c>
      <c r="E115" s="304" t="s">
        <v>33</v>
      </c>
      <c r="F115" s="304" t="s">
        <v>26</v>
      </c>
      <c r="G115" s="304" t="s">
        <v>381</v>
      </c>
      <c r="H115" s="304" t="s">
        <v>28</v>
      </c>
      <c r="I115" s="304" t="s">
        <v>29</v>
      </c>
      <c r="J115" s="304" t="s">
        <v>128</v>
      </c>
      <c r="K115" s="309">
        <v>46169.0</v>
      </c>
      <c r="L115" s="309"/>
      <c r="M115" s="309">
        <v>46232.0</v>
      </c>
      <c r="N115" s="304" t="s">
        <v>55</v>
      </c>
      <c r="O115" s="304"/>
      <c r="P115" s="309"/>
      <c r="Q115" s="309"/>
      <c r="R115" s="308"/>
      <c r="S115" s="304"/>
      <c r="T115" s="304" t="s">
        <v>382</v>
      </c>
    </row>
    <row r="116">
      <c r="A116" s="306" t="s">
        <v>383</v>
      </c>
      <c r="B116" s="309">
        <v>45811.0</v>
      </c>
      <c r="C116" s="308">
        <v>45811.0</v>
      </c>
      <c r="D116" s="304" t="s">
        <v>246</v>
      </c>
      <c r="E116" s="304" t="s">
        <v>25</v>
      </c>
      <c r="F116" s="304" t="s">
        <v>26</v>
      </c>
      <c r="G116" s="304" t="s">
        <v>384</v>
      </c>
      <c r="H116" s="304" t="s">
        <v>49</v>
      </c>
      <c r="I116" s="304" t="s">
        <v>36</v>
      </c>
      <c r="J116" s="304" t="s">
        <v>255</v>
      </c>
      <c r="K116" s="309">
        <v>45813.0</v>
      </c>
      <c r="L116" s="309"/>
      <c r="M116" s="309"/>
      <c r="N116" s="304" t="s">
        <v>42</v>
      </c>
      <c r="O116" s="304"/>
      <c r="P116" s="309"/>
      <c r="Q116" s="309">
        <v>45832.0</v>
      </c>
      <c r="R116" s="308">
        <v>45832.0</v>
      </c>
      <c r="S116" s="304" t="s">
        <v>119</v>
      </c>
      <c r="T116" s="304"/>
    </row>
    <row r="117">
      <c r="A117" s="306" t="s">
        <v>385</v>
      </c>
      <c r="B117" s="309">
        <v>45810.0</v>
      </c>
      <c r="C117" s="308">
        <v>45810.0</v>
      </c>
      <c r="D117" s="304" t="s">
        <v>91</v>
      </c>
      <c r="E117" s="304" t="s">
        <v>25</v>
      </c>
      <c r="F117" s="304" t="s">
        <v>26</v>
      </c>
      <c r="G117" s="304" t="s">
        <v>386</v>
      </c>
      <c r="H117" s="304" t="s">
        <v>49</v>
      </c>
      <c r="I117" s="304" t="s">
        <v>36</v>
      </c>
      <c r="J117" s="304" t="s">
        <v>255</v>
      </c>
      <c r="K117" s="309">
        <v>45813.0</v>
      </c>
      <c r="L117" s="309"/>
      <c r="M117" s="309"/>
      <c r="N117" s="304" t="s">
        <v>42</v>
      </c>
      <c r="O117" s="304"/>
      <c r="P117" s="309"/>
      <c r="Q117" s="309">
        <v>45832.0</v>
      </c>
      <c r="R117" s="308">
        <v>45832.0</v>
      </c>
      <c r="S117" s="304" t="s">
        <v>119</v>
      </c>
      <c r="T117" s="304"/>
    </row>
    <row r="118">
      <c r="A118" s="306" t="s">
        <v>387</v>
      </c>
      <c r="B118" s="309">
        <v>45805.0</v>
      </c>
      <c r="C118" s="308">
        <v>45805.0</v>
      </c>
      <c r="D118" s="304" t="s">
        <v>158</v>
      </c>
      <c r="E118" s="304" t="s">
        <v>25</v>
      </c>
      <c r="F118" s="304" t="s">
        <v>26</v>
      </c>
      <c r="G118" s="304" t="s">
        <v>388</v>
      </c>
      <c r="H118" s="304" t="s">
        <v>49</v>
      </c>
      <c r="I118" s="304" t="s">
        <v>61</v>
      </c>
      <c r="J118" s="304" t="s">
        <v>41</v>
      </c>
      <c r="K118" s="309">
        <v>45805.0</v>
      </c>
      <c r="L118" s="309">
        <v>45807.0</v>
      </c>
      <c r="M118" s="309">
        <v>45807.0</v>
      </c>
      <c r="N118" s="304" t="s">
        <v>42</v>
      </c>
      <c r="O118" s="304"/>
      <c r="P118" s="309">
        <v>45807.0</v>
      </c>
      <c r="Q118" s="309">
        <v>45807.0</v>
      </c>
      <c r="R118" s="308">
        <v>45807.0</v>
      </c>
      <c r="S118" s="304" t="s">
        <v>119</v>
      </c>
      <c r="T118" s="304" t="s">
        <v>389</v>
      </c>
    </row>
    <row r="119">
      <c r="A119" s="306" t="s">
        <v>390</v>
      </c>
      <c r="B119" s="309">
        <v>45797.0</v>
      </c>
      <c r="C119" s="308">
        <v>45797.0</v>
      </c>
      <c r="D119" s="304" t="s">
        <v>116</v>
      </c>
      <c r="E119" s="304" t="s">
        <v>25</v>
      </c>
      <c r="F119" s="304" t="s">
        <v>26</v>
      </c>
      <c r="G119" s="304" t="s">
        <v>391</v>
      </c>
      <c r="H119" s="304" t="s">
        <v>49</v>
      </c>
      <c r="I119" s="304" t="s">
        <v>36</v>
      </c>
      <c r="J119" s="304" t="s">
        <v>255</v>
      </c>
      <c r="K119" s="309">
        <v>45797.0</v>
      </c>
      <c r="L119" s="309">
        <v>45798.0</v>
      </c>
      <c r="M119" s="309">
        <v>45798.0</v>
      </c>
      <c r="N119" s="304" t="s">
        <v>42</v>
      </c>
      <c r="O119" s="304">
        <v>5450.0</v>
      </c>
      <c r="P119" s="309">
        <v>45807.0</v>
      </c>
      <c r="Q119" s="309">
        <v>45807.0</v>
      </c>
      <c r="R119" s="308">
        <v>45807.0</v>
      </c>
      <c r="S119" s="304" t="s">
        <v>119</v>
      </c>
      <c r="T119" s="304" t="s">
        <v>392</v>
      </c>
    </row>
    <row r="120">
      <c r="A120" s="306" t="s">
        <v>393</v>
      </c>
      <c r="B120" s="309">
        <v>45783.0</v>
      </c>
      <c r="C120" s="308">
        <v>45783.0</v>
      </c>
      <c r="D120" s="304" t="s">
        <v>81</v>
      </c>
      <c r="E120" s="304" t="s">
        <v>25</v>
      </c>
      <c r="F120" s="304" t="s">
        <v>26</v>
      </c>
      <c r="G120" s="304" t="s">
        <v>394</v>
      </c>
      <c r="H120" s="304" t="s">
        <v>49</v>
      </c>
      <c r="I120" s="304" t="s">
        <v>29</v>
      </c>
      <c r="J120" s="304" t="s">
        <v>41</v>
      </c>
      <c r="K120" s="309"/>
      <c r="L120" s="309"/>
      <c r="M120" s="309"/>
      <c r="N120" s="304" t="s">
        <v>343</v>
      </c>
      <c r="O120" s="304"/>
      <c r="P120" s="309"/>
      <c r="Q120" s="309"/>
      <c r="R120" s="308"/>
      <c r="S120" s="304"/>
      <c r="T120" s="304"/>
    </row>
    <row r="121">
      <c r="A121" s="306" t="s">
        <v>395</v>
      </c>
      <c r="B121" s="309">
        <v>45764.0</v>
      </c>
      <c r="C121" s="308">
        <v>45764.0</v>
      </c>
      <c r="D121" s="304" t="s">
        <v>38</v>
      </c>
      <c r="E121" s="304" t="s">
        <v>33</v>
      </c>
      <c r="F121" s="304" t="s">
        <v>26</v>
      </c>
      <c r="G121" s="304" t="s">
        <v>396</v>
      </c>
      <c r="H121" s="304" t="s">
        <v>28</v>
      </c>
      <c r="I121" s="304" t="s">
        <v>29</v>
      </c>
      <c r="J121" s="304" t="s">
        <v>128</v>
      </c>
      <c r="K121" s="309">
        <v>45784.0</v>
      </c>
      <c r="L121" s="309">
        <v>45799.0</v>
      </c>
      <c r="M121" s="309">
        <v>45799.0</v>
      </c>
      <c r="N121" s="304" t="s">
        <v>42</v>
      </c>
      <c r="O121" s="304">
        <v>293.91</v>
      </c>
      <c r="P121" s="309">
        <v>45789.0</v>
      </c>
      <c r="Q121" s="309">
        <v>45819.0</v>
      </c>
      <c r="R121" s="308">
        <v>45819.0</v>
      </c>
      <c r="S121" s="304"/>
      <c r="T121" s="304" t="s">
        <v>397</v>
      </c>
    </row>
    <row r="122">
      <c r="A122" s="306" t="s">
        <v>398</v>
      </c>
      <c r="B122" s="309">
        <v>45741.0</v>
      </c>
      <c r="C122" s="308">
        <v>45741.0</v>
      </c>
      <c r="D122" s="304" t="s">
        <v>213</v>
      </c>
      <c r="E122" s="304" t="s">
        <v>25</v>
      </c>
      <c r="F122" s="304" t="s">
        <v>26</v>
      </c>
      <c r="G122" s="304" t="s">
        <v>399</v>
      </c>
      <c r="H122" s="304" t="s">
        <v>28</v>
      </c>
      <c r="I122" s="304" t="s">
        <v>61</v>
      </c>
      <c r="J122" s="304"/>
      <c r="K122" s="309"/>
      <c r="L122" s="309"/>
      <c r="M122" s="309"/>
      <c r="N122" s="304" t="s">
        <v>118</v>
      </c>
      <c r="O122" s="304"/>
      <c r="P122" s="309"/>
      <c r="Q122" s="309">
        <v>45686.0</v>
      </c>
      <c r="R122" s="308">
        <v>45686.0</v>
      </c>
      <c r="S122" s="304" t="s">
        <v>119</v>
      </c>
      <c r="T122" s="304" t="s">
        <v>400</v>
      </c>
    </row>
    <row r="123">
      <c r="A123" s="306" t="s">
        <v>401</v>
      </c>
      <c r="B123" s="309">
        <v>45735.0</v>
      </c>
      <c r="C123" s="308">
        <v>45735.0</v>
      </c>
      <c r="D123" s="304" t="s">
        <v>402</v>
      </c>
      <c r="E123" s="304" t="s">
        <v>25</v>
      </c>
      <c r="F123" s="304" t="s">
        <v>26</v>
      </c>
      <c r="G123" s="304" t="s">
        <v>403</v>
      </c>
      <c r="H123" s="304" t="s">
        <v>35</v>
      </c>
      <c r="I123" s="304" t="s">
        <v>29</v>
      </c>
      <c r="J123" s="304" t="s">
        <v>128</v>
      </c>
      <c r="K123" s="309">
        <v>45840.0</v>
      </c>
      <c r="L123" s="309">
        <v>45847.0</v>
      </c>
      <c r="M123" s="307">
        <v>45845.0</v>
      </c>
      <c r="N123" s="304" t="s">
        <v>42</v>
      </c>
      <c r="O123" s="304"/>
      <c r="P123" s="309">
        <v>45859.0</v>
      </c>
      <c r="Q123" s="309">
        <v>45864.0</v>
      </c>
      <c r="R123" s="308">
        <v>45864.0</v>
      </c>
      <c r="S123" s="304" t="s">
        <v>43</v>
      </c>
      <c r="T123" s="304" t="s">
        <v>404</v>
      </c>
    </row>
    <row r="124">
      <c r="A124" s="306" t="s">
        <v>405</v>
      </c>
      <c r="B124" s="309">
        <v>45735.0</v>
      </c>
      <c r="C124" s="308">
        <v>45735.0</v>
      </c>
      <c r="D124" s="304" t="s">
        <v>246</v>
      </c>
      <c r="E124" s="304" t="s">
        <v>25</v>
      </c>
      <c r="F124" s="304" t="s">
        <v>26</v>
      </c>
      <c r="G124" s="304" t="s">
        <v>406</v>
      </c>
      <c r="H124" s="304" t="s">
        <v>28</v>
      </c>
      <c r="I124" s="304" t="s">
        <v>36</v>
      </c>
      <c r="J124" s="304"/>
      <c r="K124" s="309"/>
      <c r="L124" s="309"/>
      <c r="M124" s="309"/>
      <c r="N124" s="304" t="s">
        <v>30</v>
      </c>
      <c r="O124" s="304"/>
      <c r="P124" s="309"/>
      <c r="Q124" s="309"/>
      <c r="R124" s="308"/>
      <c r="S124" s="304"/>
      <c r="T124" s="304" t="s">
        <v>407</v>
      </c>
    </row>
    <row r="125">
      <c r="A125" s="304" t="s">
        <v>76</v>
      </c>
      <c r="B125" s="309">
        <v>45730.0</v>
      </c>
      <c r="C125" s="308">
        <v>45730.0</v>
      </c>
      <c r="D125" s="304" t="s">
        <v>52</v>
      </c>
      <c r="E125" s="304" t="s">
        <v>58</v>
      </c>
      <c r="F125" s="304" t="s">
        <v>58</v>
      </c>
      <c r="G125" s="304" t="s">
        <v>408</v>
      </c>
      <c r="H125" s="304" t="s">
        <v>28</v>
      </c>
      <c r="I125" s="304" t="s">
        <v>29</v>
      </c>
      <c r="J125" s="304" t="s">
        <v>41</v>
      </c>
      <c r="K125" s="309">
        <v>45730.0</v>
      </c>
      <c r="L125" s="309">
        <v>45762.0</v>
      </c>
      <c r="M125" s="309">
        <v>45763.0</v>
      </c>
      <c r="N125" s="304" t="s">
        <v>42</v>
      </c>
      <c r="O125" s="304">
        <v>634.46</v>
      </c>
      <c r="P125" s="309">
        <v>45772.0</v>
      </c>
      <c r="Q125" s="309">
        <v>45777.0</v>
      </c>
      <c r="R125" s="308">
        <v>45777.0</v>
      </c>
      <c r="S125" s="304" t="s">
        <v>43</v>
      </c>
      <c r="T125" s="304" t="s">
        <v>409</v>
      </c>
    </row>
    <row r="126">
      <c r="A126" s="304" t="s">
        <v>76</v>
      </c>
      <c r="B126" s="309">
        <v>45730.0</v>
      </c>
      <c r="C126" s="308">
        <v>45730.0</v>
      </c>
      <c r="D126" s="304" t="s">
        <v>410</v>
      </c>
      <c r="E126" s="304" t="s">
        <v>33</v>
      </c>
      <c r="F126" s="304" t="s">
        <v>26</v>
      </c>
      <c r="G126" s="304" t="s">
        <v>411</v>
      </c>
      <c r="H126" s="304" t="s">
        <v>28</v>
      </c>
      <c r="I126" s="304" t="s">
        <v>29</v>
      </c>
      <c r="J126" s="304" t="s">
        <v>41</v>
      </c>
      <c r="K126" s="309">
        <v>45730.0</v>
      </c>
      <c r="L126" s="309">
        <v>45735.0</v>
      </c>
      <c r="M126" s="309">
        <v>45736.0</v>
      </c>
      <c r="N126" s="304" t="s">
        <v>42</v>
      </c>
      <c r="O126" s="304">
        <v>494.38</v>
      </c>
      <c r="P126" s="309">
        <v>45753.0</v>
      </c>
      <c r="Q126" s="309">
        <v>45753.0</v>
      </c>
      <c r="R126" s="308">
        <v>45753.0</v>
      </c>
      <c r="S126" s="304" t="s">
        <v>119</v>
      </c>
      <c r="T126" s="304" t="s">
        <v>412</v>
      </c>
    </row>
    <row r="127">
      <c r="A127" s="306" t="s">
        <v>413</v>
      </c>
      <c r="B127" s="309">
        <v>45723.0</v>
      </c>
      <c r="C127" s="308">
        <v>45723.0</v>
      </c>
      <c r="D127" s="304" t="s">
        <v>246</v>
      </c>
      <c r="E127" s="304" t="s">
        <v>25</v>
      </c>
      <c r="F127" s="304" t="s">
        <v>26</v>
      </c>
      <c r="G127" s="304" t="s">
        <v>414</v>
      </c>
      <c r="H127" s="304" t="s">
        <v>60</v>
      </c>
      <c r="I127" s="304" t="s">
        <v>61</v>
      </c>
      <c r="J127" s="304" t="s">
        <v>75</v>
      </c>
      <c r="K127" s="309">
        <v>45909.0</v>
      </c>
      <c r="L127" s="309">
        <v>45931.0</v>
      </c>
      <c r="M127" s="309"/>
      <c r="N127" s="304" t="s">
        <v>210</v>
      </c>
      <c r="O127" s="304"/>
      <c r="P127" s="309"/>
      <c r="Q127" s="309"/>
      <c r="R127" s="308"/>
      <c r="S127" s="304"/>
      <c r="T127" s="304" t="s">
        <v>347</v>
      </c>
    </row>
    <row r="128">
      <c r="A128" s="304" t="s">
        <v>76</v>
      </c>
      <c r="B128" s="309">
        <v>45715.0</v>
      </c>
      <c r="C128" s="308">
        <v>45715.0</v>
      </c>
      <c r="D128" s="304" t="s">
        <v>415</v>
      </c>
      <c r="E128" s="304" t="s">
        <v>47</v>
      </c>
      <c r="F128" s="304" t="s">
        <v>47</v>
      </c>
      <c r="G128" s="304" t="s">
        <v>416</v>
      </c>
      <c r="H128" s="304" t="s">
        <v>28</v>
      </c>
      <c r="I128" s="304" t="s">
        <v>36</v>
      </c>
      <c r="J128" s="304" t="s">
        <v>128</v>
      </c>
      <c r="K128" s="309">
        <v>45716.0</v>
      </c>
      <c r="L128" s="307">
        <v>45719.0</v>
      </c>
      <c r="M128" s="307">
        <v>45719.0</v>
      </c>
      <c r="N128" s="304" t="s">
        <v>42</v>
      </c>
      <c r="O128" s="304">
        <v>805.0</v>
      </c>
      <c r="P128" s="309">
        <v>45722.0</v>
      </c>
      <c r="Q128" s="309">
        <v>45747.0</v>
      </c>
      <c r="R128" s="308">
        <v>45747.0</v>
      </c>
      <c r="S128" s="304" t="s">
        <v>43</v>
      </c>
      <c r="T128" s="304" t="s">
        <v>417</v>
      </c>
    </row>
    <row r="129">
      <c r="A129" s="306" t="s">
        <v>418</v>
      </c>
      <c r="B129" s="309">
        <v>45694.0</v>
      </c>
      <c r="C129" s="308">
        <v>45694.0</v>
      </c>
      <c r="D129" s="304" t="s">
        <v>419</v>
      </c>
      <c r="E129" s="304" t="s">
        <v>33</v>
      </c>
      <c r="F129" s="304" t="s">
        <v>26</v>
      </c>
      <c r="G129" s="304" t="s">
        <v>420</v>
      </c>
      <c r="H129" s="304" t="s">
        <v>186</v>
      </c>
      <c r="I129" s="304" t="s">
        <v>29</v>
      </c>
      <c r="J129" s="304" t="s">
        <v>128</v>
      </c>
      <c r="K129" s="309">
        <v>45695.0</v>
      </c>
      <c r="L129" s="309">
        <v>45699.0</v>
      </c>
      <c r="M129" s="309">
        <v>45699.0</v>
      </c>
      <c r="N129" s="304" t="s">
        <v>42</v>
      </c>
      <c r="O129" s="304">
        <v>72.0</v>
      </c>
      <c r="P129" s="309">
        <v>45706.0</v>
      </c>
      <c r="Q129" s="309">
        <v>45701.0</v>
      </c>
      <c r="R129" s="308">
        <v>45701.0</v>
      </c>
      <c r="S129" s="304" t="s">
        <v>227</v>
      </c>
      <c r="T129" s="304" t="s">
        <v>421</v>
      </c>
    </row>
    <row r="130">
      <c r="A130" s="306" t="s">
        <v>281</v>
      </c>
      <c r="B130" s="309">
        <v>45709.0</v>
      </c>
      <c r="C130" s="308">
        <v>45709.0</v>
      </c>
      <c r="D130" s="304" t="s">
        <v>195</v>
      </c>
      <c r="E130" s="304" t="s">
        <v>33</v>
      </c>
      <c r="F130" s="304" t="s">
        <v>26</v>
      </c>
      <c r="G130" s="304" t="s">
        <v>422</v>
      </c>
      <c r="H130" s="304" t="s">
        <v>40</v>
      </c>
      <c r="I130" s="304" t="s">
        <v>29</v>
      </c>
      <c r="J130" s="304" t="s">
        <v>41</v>
      </c>
      <c r="K130" s="309">
        <v>45709.0</v>
      </c>
      <c r="L130" s="309"/>
      <c r="M130" s="309"/>
      <c r="N130" s="304" t="s">
        <v>42</v>
      </c>
      <c r="O130" s="304"/>
      <c r="P130" s="309"/>
      <c r="Q130" s="309">
        <v>45932.0</v>
      </c>
      <c r="R130" s="308">
        <v>45932.0</v>
      </c>
      <c r="S130" s="304" t="s">
        <v>119</v>
      </c>
      <c r="T130" s="304" t="s">
        <v>283</v>
      </c>
    </row>
    <row r="131">
      <c r="A131" s="306" t="s">
        <v>423</v>
      </c>
      <c r="B131" s="309">
        <v>45708.0</v>
      </c>
      <c r="C131" s="308">
        <v>45708.0</v>
      </c>
      <c r="D131" s="304" t="s">
        <v>424</v>
      </c>
      <c r="E131" s="304" t="s">
        <v>33</v>
      </c>
      <c r="F131" s="304" t="s">
        <v>26</v>
      </c>
      <c r="G131" s="304" t="s">
        <v>425</v>
      </c>
      <c r="H131" s="304" t="s">
        <v>40</v>
      </c>
      <c r="I131" s="304" t="s">
        <v>36</v>
      </c>
      <c r="J131" s="304"/>
      <c r="K131" s="309"/>
      <c r="L131" s="309"/>
      <c r="M131" s="309"/>
      <c r="N131" s="304" t="s">
        <v>30</v>
      </c>
      <c r="O131" s="304"/>
      <c r="P131" s="309"/>
      <c r="Q131" s="309"/>
      <c r="R131" s="308"/>
      <c r="S131" s="304"/>
      <c r="T131" s="304"/>
    </row>
    <row r="132">
      <c r="A132" s="306" t="s">
        <v>426</v>
      </c>
      <c r="B132" s="309">
        <v>45699.0</v>
      </c>
      <c r="C132" s="308">
        <v>45699.0</v>
      </c>
      <c r="D132" s="304" t="s">
        <v>427</v>
      </c>
      <c r="E132" s="304" t="s">
        <v>25</v>
      </c>
      <c r="F132" s="304" t="s">
        <v>26</v>
      </c>
      <c r="G132" s="304" t="s">
        <v>428</v>
      </c>
      <c r="H132" s="304" t="s">
        <v>60</v>
      </c>
      <c r="I132" s="304" t="s">
        <v>29</v>
      </c>
      <c r="J132" s="304"/>
      <c r="K132" s="304"/>
      <c r="L132" s="309"/>
      <c r="M132" s="309"/>
      <c r="N132" s="304" t="s">
        <v>30</v>
      </c>
      <c r="O132" s="304"/>
      <c r="P132" s="309"/>
      <c r="Q132" s="309"/>
      <c r="R132" s="308"/>
      <c r="S132" s="304"/>
      <c r="T132" s="304"/>
    </row>
    <row r="133">
      <c r="A133" s="306" t="s">
        <v>429</v>
      </c>
      <c r="B133" s="309">
        <v>45694.0</v>
      </c>
      <c r="C133" s="308">
        <v>45694.0</v>
      </c>
      <c r="D133" s="304" t="s">
        <v>91</v>
      </c>
      <c r="E133" s="304" t="s">
        <v>25</v>
      </c>
      <c r="F133" s="304" t="s">
        <v>26</v>
      </c>
      <c r="G133" s="304" t="s">
        <v>430</v>
      </c>
      <c r="H133" s="304" t="s">
        <v>28</v>
      </c>
      <c r="I133" s="304" t="s">
        <v>61</v>
      </c>
      <c r="J133" s="304" t="s">
        <v>110</v>
      </c>
      <c r="K133" s="309">
        <v>45694.0</v>
      </c>
      <c r="L133" s="309">
        <v>45695.0</v>
      </c>
      <c r="M133" s="309">
        <v>45695.0</v>
      </c>
      <c r="N133" s="304" t="s">
        <v>42</v>
      </c>
      <c r="O133" s="304">
        <v>81.5</v>
      </c>
      <c r="P133" s="307">
        <v>45824.0</v>
      </c>
      <c r="Q133" s="309">
        <v>45866.0</v>
      </c>
      <c r="R133" s="308">
        <v>45866.0</v>
      </c>
      <c r="S133" s="304" t="s">
        <v>119</v>
      </c>
      <c r="T133" s="304" t="s">
        <v>431</v>
      </c>
    </row>
    <row r="134">
      <c r="A134" s="306" t="s">
        <v>432</v>
      </c>
      <c r="B134" s="309">
        <v>45694.0</v>
      </c>
      <c r="C134" s="308">
        <v>45694.0</v>
      </c>
      <c r="D134" s="304" t="s">
        <v>427</v>
      </c>
      <c r="E134" s="304" t="s">
        <v>25</v>
      </c>
      <c r="F134" s="304" t="s">
        <v>26</v>
      </c>
      <c r="G134" s="304" t="s">
        <v>433</v>
      </c>
      <c r="H134" s="304" t="s">
        <v>87</v>
      </c>
      <c r="I134" s="304" t="s">
        <v>36</v>
      </c>
      <c r="J134" s="304" t="s">
        <v>128</v>
      </c>
      <c r="K134" s="309">
        <v>45695.0</v>
      </c>
      <c r="L134" s="309">
        <v>45747.0</v>
      </c>
      <c r="M134" s="309">
        <v>45747.0</v>
      </c>
      <c r="N134" s="304" t="s">
        <v>42</v>
      </c>
      <c r="O134" s="304"/>
      <c r="P134" s="309">
        <v>45751.0</v>
      </c>
      <c r="Q134" s="309">
        <v>45749.0</v>
      </c>
      <c r="R134" s="308">
        <v>45749.0</v>
      </c>
      <c r="S134" s="304" t="s">
        <v>124</v>
      </c>
      <c r="T134" s="304" t="s">
        <v>434</v>
      </c>
    </row>
    <row r="135">
      <c r="A135" s="306" t="s">
        <v>435</v>
      </c>
      <c r="B135" s="309">
        <v>45692.0</v>
      </c>
      <c r="C135" s="308">
        <v>45692.0</v>
      </c>
      <c r="D135" s="304" t="s">
        <v>165</v>
      </c>
      <c r="E135" s="304" t="s">
        <v>33</v>
      </c>
      <c r="F135" s="304" t="s">
        <v>26</v>
      </c>
      <c r="G135" s="304" t="s">
        <v>436</v>
      </c>
      <c r="H135" s="304" t="s">
        <v>28</v>
      </c>
      <c r="I135" s="304" t="s">
        <v>29</v>
      </c>
      <c r="J135" s="304" t="s">
        <v>128</v>
      </c>
      <c r="K135" s="309">
        <v>45709.0</v>
      </c>
      <c r="L135" s="309">
        <v>45714.0</v>
      </c>
      <c r="M135" s="309">
        <v>45714.0</v>
      </c>
      <c r="N135" s="304" t="s">
        <v>42</v>
      </c>
      <c r="O135" s="304">
        <v>250.0</v>
      </c>
      <c r="P135" s="309"/>
      <c r="Q135" s="309">
        <v>45769.0</v>
      </c>
      <c r="R135" s="308">
        <v>45769.0</v>
      </c>
      <c r="S135" s="304" t="s">
        <v>227</v>
      </c>
      <c r="T135" s="304" t="s">
        <v>437</v>
      </c>
    </row>
    <row r="136">
      <c r="A136" s="306" t="s">
        <v>438</v>
      </c>
      <c r="B136" s="309">
        <v>45679.0</v>
      </c>
      <c r="C136" s="308">
        <v>45679.0</v>
      </c>
      <c r="D136" s="304" t="s">
        <v>52</v>
      </c>
      <c r="E136" s="304"/>
      <c r="F136" s="304"/>
      <c r="G136" s="304" t="s">
        <v>439</v>
      </c>
      <c r="H136" s="304" t="s">
        <v>49</v>
      </c>
      <c r="I136" s="304" t="s">
        <v>29</v>
      </c>
      <c r="J136" s="304" t="s">
        <v>41</v>
      </c>
      <c r="K136" s="309">
        <v>45679.0</v>
      </c>
      <c r="L136" s="309"/>
      <c r="M136" s="309">
        <v>45680.0</v>
      </c>
      <c r="N136" s="304" t="s">
        <v>42</v>
      </c>
      <c r="O136" s="304"/>
      <c r="P136" s="309">
        <v>45695.0</v>
      </c>
      <c r="Q136" s="309">
        <v>45702.0</v>
      </c>
      <c r="R136" s="308">
        <v>45702.0</v>
      </c>
      <c r="S136" s="304" t="s">
        <v>119</v>
      </c>
      <c r="T136" s="304"/>
    </row>
    <row r="137">
      <c r="A137" s="306" t="s">
        <v>440</v>
      </c>
      <c r="B137" s="309">
        <v>45677.0</v>
      </c>
      <c r="C137" s="308">
        <v>45677.0</v>
      </c>
      <c r="D137" s="304" t="s">
        <v>161</v>
      </c>
      <c r="E137" s="304" t="s">
        <v>33</v>
      </c>
      <c r="F137" s="304" t="s">
        <v>26</v>
      </c>
      <c r="G137" s="304" t="s">
        <v>441</v>
      </c>
      <c r="H137" s="304" t="s">
        <v>40</v>
      </c>
      <c r="I137" s="304" t="s">
        <v>29</v>
      </c>
      <c r="J137" s="304" t="s">
        <v>128</v>
      </c>
      <c r="K137" s="309">
        <v>45819.0</v>
      </c>
      <c r="L137" s="309">
        <v>45825.0</v>
      </c>
      <c r="M137" s="309">
        <v>45831.0</v>
      </c>
      <c r="N137" s="304" t="s">
        <v>42</v>
      </c>
      <c r="O137" s="304">
        <v>234.74</v>
      </c>
      <c r="P137" s="309">
        <v>45840.0</v>
      </c>
      <c r="Q137" s="309">
        <v>46161.0</v>
      </c>
      <c r="R137" s="308">
        <v>46161.0</v>
      </c>
      <c r="S137" s="304" t="s">
        <v>119</v>
      </c>
      <c r="T137" s="304" t="s">
        <v>442</v>
      </c>
    </row>
    <row r="138">
      <c r="A138" s="306" t="s">
        <v>112</v>
      </c>
      <c r="B138" s="309">
        <v>45653.0</v>
      </c>
      <c r="C138" s="308">
        <v>45653.0</v>
      </c>
      <c r="D138" s="304" t="s">
        <v>52</v>
      </c>
      <c r="E138" s="304"/>
      <c r="F138" s="304"/>
      <c r="G138" s="304" t="s">
        <v>113</v>
      </c>
      <c r="H138" s="304" t="s">
        <v>54</v>
      </c>
      <c r="I138" s="304" t="s">
        <v>29</v>
      </c>
      <c r="J138" s="304" t="s">
        <v>41</v>
      </c>
      <c r="K138" s="309">
        <v>45653.0</v>
      </c>
      <c r="L138" s="309">
        <v>45687.0</v>
      </c>
      <c r="M138" s="309">
        <v>45687.0</v>
      </c>
      <c r="N138" s="304" t="s">
        <v>42</v>
      </c>
      <c r="O138" s="304"/>
      <c r="P138" s="309">
        <v>45688.0</v>
      </c>
      <c r="Q138" s="309">
        <v>45688.0</v>
      </c>
      <c r="R138" s="308">
        <v>45688.0</v>
      </c>
      <c r="S138" s="304" t="s">
        <v>119</v>
      </c>
      <c r="T138" s="304" t="s">
        <v>443</v>
      </c>
    </row>
    <row r="139">
      <c r="A139" s="306" t="s">
        <v>444</v>
      </c>
      <c r="B139" s="309">
        <v>45645.0</v>
      </c>
      <c r="C139" s="308">
        <v>45645.0</v>
      </c>
      <c r="D139" s="304" t="s">
        <v>116</v>
      </c>
      <c r="E139" s="304" t="s">
        <v>25</v>
      </c>
      <c r="F139" s="304" t="s">
        <v>26</v>
      </c>
      <c r="G139" s="304" t="s">
        <v>445</v>
      </c>
      <c r="H139" s="304" t="s">
        <v>40</v>
      </c>
      <c r="I139" s="304" t="s">
        <v>29</v>
      </c>
      <c r="J139" s="304" t="s">
        <v>255</v>
      </c>
      <c r="K139" s="309">
        <v>45723.0</v>
      </c>
      <c r="L139" s="309"/>
      <c r="M139" s="309"/>
      <c r="N139" s="304" t="s">
        <v>343</v>
      </c>
      <c r="O139" s="304"/>
      <c r="P139" s="309"/>
      <c r="Q139" s="309"/>
      <c r="R139" s="308"/>
      <c r="S139" s="309"/>
      <c r="T139" s="304" t="s">
        <v>446</v>
      </c>
    </row>
    <row r="140">
      <c r="A140" s="306" t="s">
        <v>447</v>
      </c>
      <c r="B140" s="309">
        <v>45638.0</v>
      </c>
      <c r="C140" s="308">
        <v>45638.0</v>
      </c>
      <c r="D140" s="304" t="s">
        <v>168</v>
      </c>
      <c r="E140" s="304" t="s">
        <v>33</v>
      </c>
      <c r="F140" s="304" t="s">
        <v>26</v>
      </c>
      <c r="G140" s="304" t="s">
        <v>448</v>
      </c>
      <c r="H140" s="304" t="s">
        <v>28</v>
      </c>
      <c r="I140" s="304" t="s">
        <v>29</v>
      </c>
      <c r="J140" s="304" t="s">
        <v>75</v>
      </c>
      <c r="K140" s="309">
        <v>45643.0</v>
      </c>
      <c r="L140" s="309">
        <v>45643.0</v>
      </c>
      <c r="M140" s="309">
        <v>45643.0</v>
      </c>
      <c r="N140" s="304" t="s">
        <v>42</v>
      </c>
      <c r="O140" s="304">
        <v>54.73</v>
      </c>
      <c r="P140" s="309"/>
      <c r="Q140" s="309">
        <v>45679.0</v>
      </c>
      <c r="R140" s="308">
        <v>45679.0</v>
      </c>
      <c r="S140" s="304" t="s">
        <v>227</v>
      </c>
      <c r="T140" s="304" t="s">
        <v>449</v>
      </c>
    </row>
    <row r="141">
      <c r="A141" s="306" t="s">
        <v>450</v>
      </c>
      <c r="B141" s="309">
        <v>45636.0</v>
      </c>
      <c r="C141" s="308">
        <v>45636.0</v>
      </c>
      <c r="D141" s="304" t="s">
        <v>133</v>
      </c>
      <c r="E141" s="304" t="s">
        <v>33</v>
      </c>
      <c r="F141" s="304" t="s">
        <v>26</v>
      </c>
      <c r="G141" s="304" t="s">
        <v>451</v>
      </c>
      <c r="H141" s="304" t="s">
        <v>40</v>
      </c>
      <c r="I141" s="304" t="s">
        <v>29</v>
      </c>
      <c r="J141" s="304" t="s">
        <v>75</v>
      </c>
      <c r="K141" s="309">
        <v>45642.0</v>
      </c>
      <c r="L141" s="309"/>
      <c r="M141" s="304"/>
      <c r="N141" s="304" t="s">
        <v>343</v>
      </c>
      <c r="O141" s="304"/>
      <c r="P141" s="309"/>
      <c r="Q141" s="309"/>
      <c r="R141" s="308"/>
      <c r="S141" s="309"/>
      <c r="T141" s="304"/>
    </row>
    <row r="142">
      <c r="A142" s="306" t="s">
        <v>452</v>
      </c>
      <c r="B142" s="309">
        <v>45630.0</v>
      </c>
      <c r="C142" s="308">
        <v>45630.0</v>
      </c>
      <c r="D142" s="304" t="s">
        <v>81</v>
      </c>
      <c r="E142" s="304" t="s">
        <v>25</v>
      </c>
      <c r="F142" s="304" t="s">
        <v>26</v>
      </c>
      <c r="G142" s="304" t="s">
        <v>453</v>
      </c>
      <c r="H142" s="304" t="s">
        <v>35</v>
      </c>
      <c r="I142" s="304" t="s">
        <v>29</v>
      </c>
      <c r="J142" s="304" t="s">
        <v>128</v>
      </c>
      <c r="K142" s="309">
        <v>45709.0</v>
      </c>
      <c r="L142" s="309">
        <v>45847.0</v>
      </c>
      <c r="M142" s="304"/>
      <c r="N142" s="304" t="s">
        <v>118</v>
      </c>
      <c r="O142" s="304"/>
      <c r="P142" s="309"/>
      <c r="Q142" s="309">
        <v>45866.0</v>
      </c>
      <c r="R142" s="308">
        <v>45866.0</v>
      </c>
      <c r="S142" s="304" t="s">
        <v>124</v>
      </c>
      <c r="T142" s="304" t="s">
        <v>454</v>
      </c>
    </row>
    <row r="143">
      <c r="A143" s="306" t="s">
        <v>455</v>
      </c>
      <c r="B143" s="309">
        <v>45629.0</v>
      </c>
      <c r="C143" s="308">
        <v>45629.0</v>
      </c>
      <c r="D143" s="304" t="s">
        <v>52</v>
      </c>
      <c r="E143" s="304"/>
      <c r="F143" s="304"/>
      <c r="G143" s="304" t="s">
        <v>456</v>
      </c>
      <c r="H143" s="304" t="s">
        <v>54</v>
      </c>
      <c r="I143" s="304" t="s">
        <v>36</v>
      </c>
      <c r="J143" s="304" t="s">
        <v>41</v>
      </c>
      <c r="K143" s="309">
        <v>45629.0</v>
      </c>
      <c r="L143" s="309">
        <v>45629.0</v>
      </c>
      <c r="M143" s="309">
        <v>45629.0</v>
      </c>
      <c r="N143" s="304" t="s">
        <v>42</v>
      </c>
      <c r="O143" s="304"/>
      <c r="P143" s="309"/>
      <c r="Q143" s="309">
        <v>46043.0</v>
      </c>
      <c r="R143" s="308">
        <v>46043.0</v>
      </c>
      <c r="S143" s="304" t="s">
        <v>124</v>
      </c>
      <c r="T143" s="304" t="s">
        <v>457</v>
      </c>
    </row>
    <row r="144">
      <c r="A144" s="306" t="s">
        <v>458</v>
      </c>
      <c r="B144" s="309">
        <v>45625.0</v>
      </c>
      <c r="C144" s="308">
        <v>45625.0</v>
      </c>
      <c r="D144" s="304" t="s">
        <v>459</v>
      </c>
      <c r="E144" s="304" t="s">
        <v>25</v>
      </c>
      <c r="F144" s="304" t="s">
        <v>26</v>
      </c>
      <c r="G144" s="304" t="s">
        <v>460</v>
      </c>
      <c r="H144" s="304" t="s">
        <v>49</v>
      </c>
      <c r="I144" s="304" t="s">
        <v>36</v>
      </c>
      <c r="J144" s="304" t="s">
        <v>128</v>
      </c>
      <c r="K144" s="309">
        <v>45679.0</v>
      </c>
      <c r="L144" s="309">
        <v>45679.0</v>
      </c>
      <c r="M144" s="307">
        <v>45679.0</v>
      </c>
      <c r="N144" s="304" t="s">
        <v>42</v>
      </c>
      <c r="O144" s="304"/>
      <c r="P144" s="309">
        <v>45817.0</v>
      </c>
      <c r="Q144" s="309">
        <v>45847.0</v>
      </c>
      <c r="R144" s="308">
        <v>45847.0</v>
      </c>
      <c r="S144" s="304" t="s">
        <v>119</v>
      </c>
      <c r="T144" s="304" t="s">
        <v>461</v>
      </c>
    </row>
    <row r="145">
      <c r="A145" s="306" t="s">
        <v>462</v>
      </c>
      <c r="B145" s="309">
        <v>45625.0</v>
      </c>
      <c r="C145" s="308">
        <v>45625.0</v>
      </c>
      <c r="D145" s="304" t="s">
        <v>81</v>
      </c>
      <c r="E145" s="304" t="s">
        <v>25</v>
      </c>
      <c r="F145" s="304" t="s">
        <v>26</v>
      </c>
      <c r="G145" s="304" t="s">
        <v>463</v>
      </c>
      <c r="H145" s="304" t="s">
        <v>49</v>
      </c>
      <c r="I145" s="304" t="s">
        <v>36</v>
      </c>
      <c r="J145" s="304"/>
      <c r="K145" s="309"/>
      <c r="L145" s="309"/>
      <c r="M145" s="304"/>
      <c r="N145" s="304" t="s">
        <v>30</v>
      </c>
      <c r="O145" s="304"/>
      <c r="P145" s="309"/>
      <c r="Q145" s="309"/>
      <c r="R145" s="308"/>
      <c r="S145" s="309"/>
      <c r="T145" s="304"/>
    </row>
    <row r="146">
      <c r="A146" s="304" t="s">
        <v>76</v>
      </c>
      <c r="B146" s="309">
        <v>45621.0</v>
      </c>
      <c r="C146" s="308">
        <v>45621.0</v>
      </c>
      <c r="D146" s="304" t="s">
        <v>81</v>
      </c>
      <c r="E146" s="304" t="s">
        <v>25</v>
      </c>
      <c r="F146" s="304" t="s">
        <v>26</v>
      </c>
      <c r="G146" s="304" t="s">
        <v>464</v>
      </c>
      <c r="H146" s="304" t="s">
        <v>28</v>
      </c>
      <c r="I146" s="304" t="s">
        <v>29</v>
      </c>
      <c r="J146" s="304" t="s">
        <v>41</v>
      </c>
      <c r="K146" s="309">
        <v>45621.0</v>
      </c>
      <c r="L146" s="309">
        <v>45624.0</v>
      </c>
      <c r="M146" s="309">
        <v>45624.0</v>
      </c>
      <c r="N146" s="304" t="s">
        <v>42</v>
      </c>
      <c r="O146" s="304">
        <v>133.15</v>
      </c>
      <c r="P146" s="309">
        <v>45632.0</v>
      </c>
      <c r="Q146" s="309">
        <v>45632.0</v>
      </c>
      <c r="R146" s="308">
        <v>45632.0</v>
      </c>
      <c r="S146" s="304" t="s">
        <v>119</v>
      </c>
      <c r="T146" s="304" t="s">
        <v>465</v>
      </c>
    </row>
    <row r="147">
      <c r="A147" s="306" t="s">
        <v>466</v>
      </c>
      <c r="B147" s="309">
        <v>45621.0</v>
      </c>
      <c r="C147" s="308">
        <v>45621.0</v>
      </c>
      <c r="D147" s="304" t="s">
        <v>38</v>
      </c>
      <c r="E147" s="304" t="s">
        <v>33</v>
      </c>
      <c r="F147" s="304" t="s">
        <v>26</v>
      </c>
      <c r="G147" s="304" t="s">
        <v>467</v>
      </c>
      <c r="H147" s="304" t="s">
        <v>28</v>
      </c>
      <c r="I147" s="304" t="s">
        <v>29</v>
      </c>
      <c r="J147" s="304" t="s">
        <v>75</v>
      </c>
      <c r="K147" s="309">
        <v>45621.0</v>
      </c>
      <c r="L147" s="309">
        <v>45621.0</v>
      </c>
      <c r="M147" s="309">
        <v>45621.0</v>
      </c>
      <c r="N147" s="304" t="s">
        <v>42</v>
      </c>
      <c r="O147" s="304">
        <v>198.31</v>
      </c>
      <c r="P147" s="309"/>
      <c r="Q147" s="309">
        <v>45679.0</v>
      </c>
      <c r="R147" s="308">
        <v>45679.0</v>
      </c>
      <c r="S147" s="304" t="s">
        <v>468</v>
      </c>
      <c r="T147" s="304" t="s">
        <v>469</v>
      </c>
    </row>
    <row r="148">
      <c r="A148" s="306" t="s">
        <v>470</v>
      </c>
      <c r="B148" s="309">
        <v>45617.0</v>
      </c>
      <c r="C148" s="308">
        <v>45617.0</v>
      </c>
      <c r="D148" s="304" t="s">
        <v>24</v>
      </c>
      <c r="E148" s="304"/>
      <c r="F148" s="304"/>
      <c r="G148" s="304" t="s">
        <v>471</v>
      </c>
      <c r="H148" s="304" t="s">
        <v>472</v>
      </c>
      <c r="I148" s="304" t="s">
        <v>61</v>
      </c>
      <c r="J148" s="304" t="s">
        <v>41</v>
      </c>
      <c r="K148" s="309">
        <v>45617.0</v>
      </c>
      <c r="L148" s="309">
        <v>45623.0</v>
      </c>
      <c r="M148" s="310">
        <v>45623.0</v>
      </c>
      <c r="N148" s="304" t="s">
        <v>42</v>
      </c>
      <c r="O148" s="304"/>
      <c r="P148" s="309">
        <v>45632.0</v>
      </c>
      <c r="Q148" s="309">
        <v>45642.0</v>
      </c>
      <c r="R148" s="308">
        <v>45642.0</v>
      </c>
      <c r="S148" s="304" t="s">
        <v>227</v>
      </c>
      <c r="T148" s="304"/>
    </row>
    <row r="149">
      <c r="A149" s="304" t="s">
        <v>76</v>
      </c>
      <c r="B149" s="309">
        <v>45615.0</v>
      </c>
      <c r="C149" s="308">
        <v>45615.0</v>
      </c>
      <c r="D149" s="304" t="s">
        <v>52</v>
      </c>
      <c r="E149" s="304" t="s">
        <v>33</v>
      </c>
      <c r="F149" s="304" t="s">
        <v>26</v>
      </c>
      <c r="G149" s="304" t="s">
        <v>473</v>
      </c>
      <c r="H149" s="304" t="s">
        <v>28</v>
      </c>
      <c r="I149" s="304" t="s">
        <v>29</v>
      </c>
      <c r="J149" s="304" t="s">
        <v>75</v>
      </c>
      <c r="K149" s="309">
        <v>45615.0</v>
      </c>
      <c r="L149" s="309">
        <v>45615.0</v>
      </c>
      <c r="M149" s="309">
        <v>45615.0</v>
      </c>
      <c r="N149" s="304" t="s">
        <v>42</v>
      </c>
      <c r="O149" s="304"/>
      <c r="P149" s="309"/>
      <c r="Q149" s="309">
        <v>45625.0</v>
      </c>
      <c r="R149" s="308">
        <v>45625.0</v>
      </c>
      <c r="S149" s="304" t="s">
        <v>43</v>
      </c>
      <c r="T149" s="304" t="s">
        <v>474</v>
      </c>
    </row>
    <row r="150">
      <c r="A150" s="306" t="s">
        <v>475</v>
      </c>
      <c r="B150" s="309">
        <v>45610.0</v>
      </c>
      <c r="C150" s="308">
        <v>45610.0</v>
      </c>
      <c r="D150" s="304" t="s">
        <v>213</v>
      </c>
      <c r="E150" s="304" t="s">
        <v>25</v>
      </c>
      <c r="F150" s="304" t="s">
        <v>26</v>
      </c>
      <c r="G150" s="304" t="s">
        <v>476</v>
      </c>
      <c r="H150" s="304" t="s">
        <v>186</v>
      </c>
      <c r="I150" s="304" t="s">
        <v>36</v>
      </c>
      <c r="J150" s="304" t="s">
        <v>41</v>
      </c>
      <c r="K150" s="309"/>
      <c r="L150" s="309"/>
      <c r="M150" s="309"/>
      <c r="N150" s="304" t="s">
        <v>42</v>
      </c>
      <c r="O150" s="304"/>
      <c r="P150" s="309"/>
      <c r="Q150" s="309">
        <v>46055.0</v>
      </c>
      <c r="R150" s="308">
        <v>46055.0</v>
      </c>
      <c r="S150" s="304" t="s">
        <v>119</v>
      </c>
      <c r="T150" s="304" t="s">
        <v>477</v>
      </c>
    </row>
    <row r="151">
      <c r="A151" s="306" t="s">
        <v>478</v>
      </c>
      <c r="B151" s="309">
        <v>45610.0</v>
      </c>
      <c r="C151" s="308">
        <v>45610.0</v>
      </c>
      <c r="D151" s="304" t="s">
        <v>165</v>
      </c>
      <c r="E151" s="304" t="s">
        <v>33</v>
      </c>
      <c r="F151" s="304" t="s">
        <v>26</v>
      </c>
      <c r="G151" s="304" t="s">
        <v>479</v>
      </c>
      <c r="H151" s="304" t="s">
        <v>186</v>
      </c>
      <c r="I151" s="304" t="s">
        <v>36</v>
      </c>
      <c r="J151" s="304" t="s">
        <v>110</v>
      </c>
      <c r="K151" s="309">
        <v>45642.0</v>
      </c>
      <c r="L151" s="309">
        <v>45643.0</v>
      </c>
      <c r="M151" s="309"/>
      <c r="N151" s="304" t="s">
        <v>42</v>
      </c>
      <c r="O151" s="304"/>
      <c r="P151" s="309"/>
      <c r="Q151" s="309">
        <v>45687.0</v>
      </c>
      <c r="R151" s="308">
        <v>45687.0</v>
      </c>
      <c r="S151" s="304" t="s">
        <v>480</v>
      </c>
      <c r="T151" s="304" t="s">
        <v>481</v>
      </c>
    </row>
    <row r="152">
      <c r="A152" s="306" t="s">
        <v>482</v>
      </c>
      <c r="B152" s="309">
        <v>45610.0</v>
      </c>
      <c r="C152" s="308">
        <v>45610.0</v>
      </c>
      <c r="D152" s="304" t="s">
        <v>66</v>
      </c>
      <c r="E152" s="304" t="s">
        <v>25</v>
      </c>
      <c r="F152" s="304" t="s">
        <v>26</v>
      </c>
      <c r="G152" s="304" t="s">
        <v>483</v>
      </c>
      <c r="H152" s="304" t="s">
        <v>28</v>
      </c>
      <c r="I152" s="304" t="s">
        <v>29</v>
      </c>
      <c r="J152" s="304" t="s">
        <v>152</v>
      </c>
      <c r="K152" s="309">
        <v>46063.0</v>
      </c>
      <c r="L152" s="309"/>
      <c r="M152" s="309"/>
      <c r="N152" s="304" t="s">
        <v>64</v>
      </c>
      <c r="O152" s="304"/>
      <c r="P152" s="309"/>
      <c r="Q152" s="309"/>
      <c r="R152" s="308"/>
      <c r="S152" s="309"/>
      <c r="T152" s="304" t="s">
        <v>484</v>
      </c>
    </row>
    <row r="153">
      <c r="A153" s="304" t="s">
        <v>76</v>
      </c>
      <c r="B153" s="309">
        <v>45608.0</v>
      </c>
      <c r="C153" s="308">
        <v>45608.0</v>
      </c>
      <c r="D153" s="304" t="s">
        <v>52</v>
      </c>
      <c r="E153" s="304" t="s">
        <v>25</v>
      </c>
      <c r="F153" s="304" t="s">
        <v>26</v>
      </c>
      <c r="G153" s="304" t="s">
        <v>485</v>
      </c>
      <c r="H153" s="304" t="s">
        <v>472</v>
      </c>
      <c r="I153" s="304" t="s">
        <v>29</v>
      </c>
      <c r="J153" s="304" t="s">
        <v>41</v>
      </c>
      <c r="K153" s="309">
        <v>45608.0</v>
      </c>
      <c r="L153" s="309">
        <v>45608.0</v>
      </c>
      <c r="M153" s="304">
        <v>2024.0</v>
      </c>
      <c r="N153" s="304" t="s">
        <v>42</v>
      </c>
      <c r="O153" s="304"/>
      <c r="P153" s="309">
        <v>45617.0</v>
      </c>
      <c r="Q153" s="309">
        <v>45622.0</v>
      </c>
      <c r="R153" s="308">
        <v>45622.0</v>
      </c>
      <c r="S153" s="304" t="s">
        <v>43</v>
      </c>
      <c r="T153" s="304" t="s">
        <v>486</v>
      </c>
    </row>
    <row r="154">
      <c r="A154" s="306" t="s">
        <v>487</v>
      </c>
      <c r="B154" s="309">
        <v>45608.0</v>
      </c>
      <c r="C154" s="308">
        <v>45608.0</v>
      </c>
      <c r="D154" s="304" t="s">
        <v>52</v>
      </c>
      <c r="E154" s="304" t="s">
        <v>33</v>
      </c>
      <c r="F154" s="304" t="s">
        <v>26</v>
      </c>
      <c r="G154" s="304" t="s">
        <v>488</v>
      </c>
      <c r="H154" s="304" t="s">
        <v>87</v>
      </c>
      <c r="I154" s="304" t="s">
        <v>36</v>
      </c>
      <c r="J154" s="304"/>
      <c r="K154" s="309"/>
      <c r="L154" s="309"/>
      <c r="M154" s="304"/>
      <c r="N154" s="304" t="s">
        <v>30</v>
      </c>
      <c r="O154" s="304"/>
      <c r="P154" s="309"/>
      <c r="Q154" s="309"/>
      <c r="R154" s="308"/>
      <c r="S154" s="309"/>
      <c r="T154" s="304"/>
    </row>
    <row r="155">
      <c r="A155" s="306" t="s">
        <v>489</v>
      </c>
      <c r="B155" s="309">
        <v>45603.0</v>
      </c>
      <c r="C155" s="308">
        <v>45603.0</v>
      </c>
      <c r="D155" s="304" t="s">
        <v>415</v>
      </c>
      <c r="E155" s="304" t="s">
        <v>25</v>
      </c>
      <c r="F155" s="304" t="s">
        <v>26</v>
      </c>
      <c r="G155" s="304" t="s">
        <v>490</v>
      </c>
      <c r="H155" s="304" t="s">
        <v>186</v>
      </c>
      <c r="I155" s="304" t="s">
        <v>36</v>
      </c>
      <c r="J155" s="304" t="s">
        <v>128</v>
      </c>
      <c r="K155" s="309">
        <v>1141511.0</v>
      </c>
      <c r="L155" s="309">
        <v>45789.0</v>
      </c>
      <c r="M155" s="307">
        <v>45790.0</v>
      </c>
      <c r="N155" s="304" t="s">
        <v>42</v>
      </c>
      <c r="O155" s="304"/>
      <c r="P155" s="309">
        <v>45793.0</v>
      </c>
      <c r="Q155" s="309">
        <v>45793.0</v>
      </c>
      <c r="R155" s="308">
        <v>45793.0</v>
      </c>
      <c r="S155" s="304" t="s">
        <v>119</v>
      </c>
      <c r="T155" s="304" t="s">
        <v>491</v>
      </c>
    </row>
    <row r="156">
      <c r="A156" s="306" t="s">
        <v>492</v>
      </c>
      <c r="B156" s="309">
        <v>45600.0</v>
      </c>
      <c r="C156" s="308">
        <v>45600.0</v>
      </c>
      <c r="D156" s="304" t="s">
        <v>213</v>
      </c>
      <c r="E156" s="304" t="s">
        <v>33</v>
      </c>
      <c r="F156" s="304" t="s">
        <v>26</v>
      </c>
      <c r="G156" s="304" t="s">
        <v>493</v>
      </c>
      <c r="H156" s="304" t="s">
        <v>28</v>
      </c>
      <c r="I156" s="304" t="s">
        <v>29</v>
      </c>
      <c r="J156" s="304" t="s">
        <v>110</v>
      </c>
      <c r="K156" s="309">
        <v>45709.0</v>
      </c>
      <c r="L156" s="309">
        <v>45781.0</v>
      </c>
      <c r="M156" s="309" t="s">
        <v>494</v>
      </c>
      <c r="N156" s="304" t="s">
        <v>42</v>
      </c>
      <c r="O156" s="304">
        <v>309.7</v>
      </c>
      <c r="P156" s="309">
        <v>45800.0</v>
      </c>
      <c r="Q156" s="309">
        <v>45805.0</v>
      </c>
      <c r="R156" s="308">
        <v>45805.0</v>
      </c>
      <c r="S156" s="304" t="s">
        <v>227</v>
      </c>
      <c r="T156" s="304" t="s">
        <v>1208</v>
      </c>
    </row>
    <row r="157">
      <c r="A157" s="304" t="s">
        <v>76</v>
      </c>
      <c r="B157" s="309">
        <v>45594.0</v>
      </c>
      <c r="C157" s="308">
        <v>45594.0</v>
      </c>
      <c r="D157" s="304" t="s">
        <v>46</v>
      </c>
      <c r="E157" s="304" t="s">
        <v>25</v>
      </c>
      <c r="F157" s="304" t="s">
        <v>26</v>
      </c>
      <c r="G157" s="304" t="s">
        <v>496</v>
      </c>
      <c r="H157" s="304" t="s">
        <v>28</v>
      </c>
      <c r="I157" s="304" t="s">
        <v>36</v>
      </c>
      <c r="J157" s="304" t="s">
        <v>497</v>
      </c>
      <c r="K157" s="309">
        <v>45594.0</v>
      </c>
      <c r="L157" s="309">
        <v>45595.0</v>
      </c>
      <c r="M157" s="309">
        <v>45595.0</v>
      </c>
      <c r="N157" s="304" t="s">
        <v>42</v>
      </c>
      <c r="O157" s="304">
        <v>55.52</v>
      </c>
      <c r="P157" s="309">
        <v>45681.0</v>
      </c>
      <c r="Q157" s="309">
        <v>45700.0</v>
      </c>
      <c r="R157" s="308">
        <v>45700.0</v>
      </c>
      <c r="S157" s="304" t="s">
        <v>468</v>
      </c>
      <c r="T157" s="304" t="s">
        <v>498</v>
      </c>
    </row>
    <row r="158">
      <c r="A158" s="306" t="s">
        <v>499</v>
      </c>
      <c r="B158" s="309">
        <v>45588.0</v>
      </c>
      <c r="C158" s="308">
        <v>45588.0</v>
      </c>
      <c r="D158" s="304" t="s">
        <v>81</v>
      </c>
      <c r="E158" s="304" t="s">
        <v>25</v>
      </c>
      <c r="F158" s="304" t="s">
        <v>26</v>
      </c>
      <c r="G158" s="304" t="s">
        <v>500</v>
      </c>
      <c r="H158" s="304" t="s">
        <v>49</v>
      </c>
      <c r="I158" s="304" t="s">
        <v>36</v>
      </c>
      <c r="J158" s="304" t="s">
        <v>41</v>
      </c>
      <c r="K158" s="309">
        <v>45590.0</v>
      </c>
      <c r="L158" s="309">
        <v>45590.0</v>
      </c>
      <c r="M158" s="309">
        <v>45590.0</v>
      </c>
      <c r="N158" s="304" t="s">
        <v>343</v>
      </c>
      <c r="O158" s="304"/>
      <c r="P158" s="309">
        <v>45593.0</v>
      </c>
      <c r="Q158" s="309"/>
      <c r="R158" s="308"/>
      <c r="S158" s="309"/>
      <c r="T158" s="304"/>
    </row>
    <row r="159">
      <c r="A159" s="306" t="s">
        <v>501</v>
      </c>
      <c r="B159" s="309">
        <v>45588.0</v>
      </c>
      <c r="C159" s="308">
        <v>45588.0</v>
      </c>
      <c r="D159" s="304" t="s">
        <v>24</v>
      </c>
      <c r="E159" s="304" t="s">
        <v>25</v>
      </c>
      <c r="F159" s="304" t="s">
        <v>26</v>
      </c>
      <c r="G159" s="304" t="s">
        <v>502</v>
      </c>
      <c r="H159" s="304" t="s">
        <v>28</v>
      </c>
      <c r="I159" s="304" t="s">
        <v>36</v>
      </c>
      <c r="J159" s="304"/>
      <c r="K159" s="309"/>
      <c r="L159" s="309"/>
      <c r="M159" s="309"/>
      <c r="N159" s="304" t="s">
        <v>30</v>
      </c>
      <c r="O159" s="304"/>
      <c r="P159" s="309"/>
      <c r="Q159" s="309"/>
      <c r="R159" s="308"/>
      <c r="S159" s="309"/>
      <c r="T159" s="304" t="s">
        <v>503</v>
      </c>
    </row>
    <row r="160">
      <c r="A160" s="306" t="s">
        <v>504</v>
      </c>
      <c r="B160" s="309">
        <v>45586.0</v>
      </c>
      <c r="C160" s="308">
        <v>45586.0</v>
      </c>
      <c r="D160" s="304" t="s">
        <v>505</v>
      </c>
      <c r="E160" s="304" t="s">
        <v>33</v>
      </c>
      <c r="F160" s="304" t="s">
        <v>26</v>
      </c>
      <c r="G160" s="304" t="s">
        <v>506</v>
      </c>
      <c r="H160" s="304" t="s">
        <v>35</v>
      </c>
      <c r="I160" s="304" t="s">
        <v>29</v>
      </c>
      <c r="J160" s="304" t="s">
        <v>41</v>
      </c>
      <c r="K160" s="309">
        <v>45586.0</v>
      </c>
      <c r="L160" s="309">
        <v>45586.0</v>
      </c>
      <c r="M160" s="309">
        <v>45586.0</v>
      </c>
      <c r="N160" s="304" t="s">
        <v>42</v>
      </c>
      <c r="O160" s="304">
        <v>121.9</v>
      </c>
      <c r="P160" s="309">
        <v>45593.0</v>
      </c>
      <c r="Q160" s="309">
        <v>45600.0</v>
      </c>
      <c r="R160" s="308">
        <v>45600.0</v>
      </c>
      <c r="S160" s="304" t="s">
        <v>43</v>
      </c>
      <c r="T160" s="304" t="s">
        <v>507</v>
      </c>
    </row>
    <row r="161">
      <c r="A161" s="306" t="s">
        <v>508</v>
      </c>
      <c r="B161" s="309">
        <v>45580.0</v>
      </c>
      <c r="C161" s="308">
        <v>45580.0</v>
      </c>
      <c r="D161" s="304" t="s">
        <v>213</v>
      </c>
      <c r="E161" s="304" t="s">
        <v>25</v>
      </c>
      <c r="F161" s="304" t="s">
        <v>26</v>
      </c>
      <c r="G161" s="304" t="s">
        <v>509</v>
      </c>
      <c r="H161" s="304" t="s">
        <v>49</v>
      </c>
      <c r="I161" s="304" t="s">
        <v>36</v>
      </c>
      <c r="J161" s="304"/>
      <c r="K161" s="309"/>
      <c r="L161" s="309"/>
      <c r="M161" s="309"/>
      <c r="N161" s="304" t="s">
        <v>30</v>
      </c>
      <c r="O161" s="304"/>
      <c r="P161" s="309"/>
      <c r="Q161" s="309"/>
      <c r="R161" s="308"/>
      <c r="S161" s="309"/>
      <c r="T161" s="304" t="s">
        <v>1209</v>
      </c>
    </row>
    <row r="162">
      <c r="A162" s="306" t="s">
        <v>511</v>
      </c>
      <c r="B162" s="309">
        <v>45580.0</v>
      </c>
      <c r="C162" s="308">
        <v>45580.0</v>
      </c>
      <c r="D162" s="304" t="s">
        <v>24</v>
      </c>
      <c r="E162" s="304" t="s">
        <v>25</v>
      </c>
      <c r="F162" s="304" t="s">
        <v>26</v>
      </c>
      <c r="G162" s="304" t="s">
        <v>512</v>
      </c>
      <c r="H162" s="304" t="s">
        <v>472</v>
      </c>
      <c r="I162" s="304" t="s">
        <v>36</v>
      </c>
      <c r="J162" s="304" t="s">
        <v>41</v>
      </c>
      <c r="K162" s="309">
        <v>45580.0</v>
      </c>
      <c r="L162" s="309">
        <v>45604.0</v>
      </c>
      <c r="M162" s="309">
        <v>45604.0</v>
      </c>
      <c r="N162" s="304" t="s">
        <v>42</v>
      </c>
      <c r="O162" s="304"/>
      <c r="P162" s="309">
        <v>38299.0</v>
      </c>
      <c r="Q162" s="309">
        <v>45608.0</v>
      </c>
      <c r="R162" s="308">
        <v>45608.0</v>
      </c>
      <c r="S162" s="304" t="s">
        <v>43</v>
      </c>
      <c r="T162" s="304" t="s">
        <v>513</v>
      </c>
    </row>
    <row r="163">
      <c r="A163" s="306" t="s">
        <v>514</v>
      </c>
      <c r="B163" s="309">
        <v>45575.0</v>
      </c>
      <c r="C163" s="308">
        <v>45575.0</v>
      </c>
      <c r="D163" s="309" t="s">
        <v>38</v>
      </c>
      <c r="E163" s="304" t="s">
        <v>33</v>
      </c>
      <c r="F163" s="304" t="s">
        <v>26</v>
      </c>
      <c r="G163" s="304" t="s">
        <v>515</v>
      </c>
      <c r="H163" s="304" t="s">
        <v>28</v>
      </c>
      <c r="I163" s="304" t="s">
        <v>61</v>
      </c>
      <c r="J163" s="304" t="s">
        <v>41</v>
      </c>
      <c r="K163" s="309">
        <v>45733.0</v>
      </c>
      <c r="L163" s="309">
        <v>45734.0</v>
      </c>
      <c r="M163" s="309">
        <v>45734.0</v>
      </c>
      <c r="N163" s="304" t="s">
        <v>343</v>
      </c>
      <c r="O163" s="304"/>
      <c r="P163" s="309">
        <v>45744.0</v>
      </c>
      <c r="Q163" s="309"/>
      <c r="R163" s="308"/>
      <c r="S163" s="309"/>
      <c r="T163" s="304" t="s">
        <v>516</v>
      </c>
    </row>
    <row r="164">
      <c r="A164" s="306" t="s">
        <v>517</v>
      </c>
      <c r="B164" s="309">
        <v>45575.0</v>
      </c>
      <c r="C164" s="308">
        <v>45575.0</v>
      </c>
      <c r="D164" s="304" t="s">
        <v>116</v>
      </c>
      <c r="E164" s="304" t="s">
        <v>25</v>
      </c>
      <c r="F164" s="304" t="s">
        <v>26</v>
      </c>
      <c r="G164" s="304" t="s">
        <v>518</v>
      </c>
      <c r="H164" s="304" t="s">
        <v>28</v>
      </c>
      <c r="I164" s="304" t="s">
        <v>36</v>
      </c>
      <c r="J164" s="304"/>
      <c r="K164" s="309"/>
      <c r="L164" s="309"/>
      <c r="M164" s="309"/>
      <c r="N164" s="304" t="s">
        <v>30</v>
      </c>
      <c r="O164" s="304"/>
      <c r="P164" s="309"/>
      <c r="Q164" s="309"/>
      <c r="R164" s="308"/>
      <c r="S164" s="309"/>
      <c r="T164" s="304" t="s">
        <v>519</v>
      </c>
    </row>
    <row r="165">
      <c r="A165" s="306" t="s">
        <v>520</v>
      </c>
      <c r="B165" s="309">
        <v>45573.0</v>
      </c>
      <c r="C165" s="308">
        <v>45573.0</v>
      </c>
      <c r="D165" s="304" t="s">
        <v>237</v>
      </c>
      <c r="E165" s="304" t="s">
        <v>33</v>
      </c>
      <c r="F165" s="304" t="s">
        <v>26</v>
      </c>
      <c r="G165" s="304" t="s">
        <v>521</v>
      </c>
      <c r="H165" s="304" t="s">
        <v>28</v>
      </c>
      <c r="I165" s="304" t="s">
        <v>29</v>
      </c>
      <c r="J165" s="304" t="s">
        <v>75</v>
      </c>
      <c r="K165" s="309">
        <v>45691.0</v>
      </c>
      <c r="L165" s="309">
        <v>45705.0</v>
      </c>
      <c r="M165" s="309">
        <v>45705.0</v>
      </c>
      <c r="N165" s="304" t="s">
        <v>42</v>
      </c>
      <c r="O165" s="304">
        <v>56.7</v>
      </c>
      <c r="P165" s="309">
        <v>45800.0</v>
      </c>
      <c r="Q165" s="309">
        <v>45812.0</v>
      </c>
      <c r="R165" s="308">
        <v>45812.0</v>
      </c>
      <c r="S165" s="304" t="s">
        <v>227</v>
      </c>
      <c r="T165" s="304" t="s">
        <v>522</v>
      </c>
    </row>
    <row r="166">
      <c r="A166" s="306" t="s">
        <v>523</v>
      </c>
      <c r="B166" s="309">
        <v>45573.0</v>
      </c>
      <c r="C166" s="308">
        <v>45573.0</v>
      </c>
      <c r="D166" s="304" t="s">
        <v>237</v>
      </c>
      <c r="E166" s="304" t="s">
        <v>33</v>
      </c>
      <c r="F166" s="304" t="s">
        <v>26</v>
      </c>
      <c r="G166" s="304" t="s">
        <v>524</v>
      </c>
      <c r="H166" s="304" t="s">
        <v>35</v>
      </c>
      <c r="I166" s="304" t="s">
        <v>61</v>
      </c>
      <c r="J166" s="304" t="s">
        <v>152</v>
      </c>
      <c r="K166" s="309">
        <v>46063.0</v>
      </c>
      <c r="L166" s="309"/>
      <c r="M166" s="309"/>
      <c r="N166" s="304" t="s">
        <v>64</v>
      </c>
      <c r="O166" s="304"/>
      <c r="P166" s="309"/>
      <c r="Q166" s="309"/>
      <c r="R166" s="308"/>
      <c r="S166" s="309"/>
      <c r="T166" s="304" t="s">
        <v>525</v>
      </c>
    </row>
    <row r="167">
      <c r="A167" s="306" t="s">
        <v>526</v>
      </c>
      <c r="B167" s="309">
        <v>45573.0</v>
      </c>
      <c r="C167" s="308">
        <v>45573.0</v>
      </c>
      <c r="D167" s="304" t="s">
        <v>38</v>
      </c>
      <c r="E167" s="304" t="s">
        <v>33</v>
      </c>
      <c r="F167" s="304" t="s">
        <v>26</v>
      </c>
      <c r="G167" s="304" t="s">
        <v>527</v>
      </c>
      <c r="H167" s="304" t="s">
        <v>87</v>
      </c>
      <c r="I167" s="304" t="s">
        <v>61</v>
      </c>
      <c r="J167" s="304" t="s">
        <v>152</v>
      </c>
      <c r="K167" s="309">
        <v>46063.0</v>
      </c>
      <c r="L167" s="309"/>
      <c r="M167" s="309"/>
      <c r="N167" s="304" t="s">
        <v>64</v>
      </c>
      <c r="O167" s="304"/>
      <c r="P167" s="309"/>
      <c r="Q167" s="309"/>
      <c r="R167" s="308"/>
      <c r="S167" s="309"/>
      <c r="T167" s="304" t="s">
        <v>525</v>
      </c>
    </row>
    <row r="168">
      <c r="A168" s="306" t="s">
        <v>528</v>
      </c>
      <c r="B168" s="309">
        <v>45398.0</v>
      </c>
      <c r="C168" s="308">
        <v>45398.0</v>
      </c>
      <c r="D168" s="304" t="s">
        <v>38</v>
      </c>
      <c r="E168" s="304" t="s">
        <v>33</v>
      </c>
      <c r="F168" s="304" t="s">
        <v>26</v>
      </c>
      <c r="G168" s="304" t="s">
        <v>529</v>
      </c>
      <c r="H168" s="304" t="s">
        <v>35</v>
      </c>
      <c r="I168" s="304" t="s">
        <v>29</v>
      </c>
      <c r="J168" s="304" t="s">
        <v>41</v>
      </c>
      <c r="K168" s="309">
        <v>45398.0</v>
      </c>
      <c r="L168" s="309"/>
      <c r="M168" s="309">
        <v>45964.0</v>
      </c>
      <c r="N168" s="304" t="s">
        <v>42</v>
      </c>
      <c r="O168" s="304">
        <v>1334.61</v>
      </c>
      <c r="P168" s="309"/>
      <c r="Q168" s="309">
        <v>46063.0</v>
      </c>
      <c r="R168" s="308">
        <v>46063.0</v>
      </c>
      <c r="S168" s="304" t="s">
        <v>530</v>
      </c>
      <c r="T168" s="304" t="s">
        <v>531</v>
      </c>
    </row>
    <row r="169">
      <c r="A169" s="306" t="s">
        <v>532</v>
      </c>
      <c r="B169" s="309">
        <v>45573.0</v>
      </c>
      <c r="C169" s="308">
        <v>45573.0</v>
      </c>
      <c r="D169" s="304" t="s">
        <v>309</v>
      </c>
      <c r="E169" s="304" t="s">
        <v>310</v>
      </c>
      <c r="F169" s="304" t="s">
        <v>26</v>
      </c>
      <c r="G169" s="304" t="s">
        <v>533</v>
      </c>
      <c r="H169" s="304" t="s">
        <v>186</v>
      </c>
      <c r="I169" s="304" t="s">
        <v>36</v>
      </c>
      <c r="J169" s="304" t="s">
        <v>255</v>
      </c>
      <c r="K169" s="309">
        <v>45723.0</v>
      </c>
      <c r="L169" s="309"/>
      <c r="M169" s="309"/>
      <c r="N169" s="304" t="s">
        <v>210</v>
      </c>
      <c r="O169" s="304"/>
      <c r="P169" s="309"/>
      <c r="Q169" s="309"/>
      <c r="R169" s="308"/>
      <c r="S169" s="309"/>
      <c r="T169" s="304"/>
    </row>
    <row r="170">
      <c r="A170" s="306" t="s">
        <v>534</v>
      </c>
      <c r="B170" s="309">
        <v>45572.0</v>
      </c>
      <c r="C170" s="308">
        <v>45572.0</v>
      </c>
      <c r="D170" s="304" t="s">
        <v>237</v>
      </c>
      <c r="E170" s="304" t="s">
        <v>33</v>
      </c>
      <c r="F170" s="304" t="s">
        <v>26</v>
      </c>
      <c r="G170" s="304" t="s">
        <v>535</v>
      </c>
      <c r="H170" s="304" t="s">
        <v>186</v>
      </c>
      <c r="I170" s="304" t="s">
        <v>36</v>
      </c>
      <c r="J170" s="304"/>
      <c r="K170" s="309"/>
      <c r="L170" s="309"/>
      <c r="M170" s="309"/>
      <c r="N170" s="304" t="s">
        <v>30</v>
      </c>
      <c r="O170" s="304"/>
      <c r="P170" s="309"/>
      <c r="Q170" s="309"/>
      <c r="R170" s="308"/>
      <c r="S170" s="309"/>
      <c r="T170" s="304"/>
    </row>
    <row r="171">
      <c r="A171" s="306" t="s">
        <v>536</v>
      </c>
      <c r="B171" s="309">
        <v>45572.0</v>
      </c>
      <c r="C171" s="308">
        <v>45572.0</v>
      </c>
      <c r="D171" s="304" t="s">
        <v>108</v>
      </c>
      <c r="E171" s="304" t="s">
        <v>25</v>
      </c>
      <c r="F171" s="304" t="s">
        <v>26</v>
      </c>
      <c r="G171" s="304" t="s">
        <v>537</v>
      </c>
      <c r="H171" s="304" t="s">
        <v>186</v>
      </c>
      <c r="I171" s="304" t="s">
        <v>29</v>
      </c>
      <c r="J171" s="304" t="s">
        <v>128</v>
      </c>
      <c r="K171" s="309">
        <v>45572.0</v>
      </c>
      <c r="L171" s="309"/>
      <c r="M171" s="309">
        <v>45572.0</v>
      </c>
      <c r="N171" s="304" t="s">
        <v>42</v>
      </c>
      <c r="O171" s="304"/>
      <c r="P171" s="309"/>
      <c r="Q171" s="309">
        <v>45576.0</v>
      </c>
      <c r="R171" s="308">
        <v>45576.0</v>
      </c>
      <c r="S171" s="304" t="s">
        <v>227</v>
      </c>
      <c r="T171" s="304" t="s">
        <v>538</v>
      </c>
    </row>
    <row r="172">
      <c r="A172" s="306" t="s">
        <v>539</v>
      </c>
      <c r="B172" s="309">
        <v>45565.0</v>
      </c>
      <c r="C172" s="308">
        <v>45565.0</v>
      </c>
      <c r="D172" s="304" t="s">
        <v>81</v>
      </c>
      <c r="E172" s="304" t="s">
        <v>25</v>
      </c>
      <c r="F172" s="304" t="s">
        <v>26</v>
      </c>
      <c r="G172" s="304" t="s">
        <v>540</v>
      </c>
      <c r="H172" s="304" t="s">
        <v>28</v>
      </c>
      <c r="I172" s="304" t="s">
        <v>29</v>
      </c>
      <c r="J172" s="304" t="s">
        <v>110</v>
      </c>
      <c r="K172" s="309">
        <v>45910.0</v>
      </c>
      <c r="L172" s="309">
        <v>45919.0</v>
      </c>
      <c r="M172" s="309">
        <v>45919.0</v>
      </c>
      <c r="N172" s="304" t="s">
        <v>42</v>
      </c>
      <c r="O172" s="304"/>
      <c r="P172" s="309">
        <v>45951.0</v>
      </c>
      <c r="Q172" s="309">
        <v>46050.0</v>
      </c>
      <c r="R172" s="308">
        <v>46050.0</v>
      </c>
      <c r="S172" s="304" t="s">
        <v>43</v>
      </c>
      <c r="T172" s="304" t="s">
        <v>541</v>
      </c>
    </row>
    <row r="173">
      <c r="A173" s="306" t="s">
        <v>542</v>
      </c>
      <c r="B173" s="309">
        <v>45561.0</v>
      </c>
      <c r="C173" s="308">
        <v>45561.0</v>
      </c>
      <c r="D173" s="304" t="s">
        <v>427</v>
      </c>
      <c r="E173" s="304" t="s">
        <v>25</v>
      </c>
      <c r="F173" s="304" t="s">
        <v>26</v>
      </c>
      <c r="G173" s="304" t="s">
        <v>543</v>
      </c>
      <c r="H173" s="304" t="s">
        <v>49</v>
      </c>
      <c r="I173" s="304" t="s">
        <v>36</v>
      </c>
      <c r="J173" s="304" t="s">
        <v>41</v>
      </c>
      <c r="K173" s="309">
        <v>45561.0</v>
      </c>
      <c r="L173" s="309"/>
      <c r="M173" s="309">
        <v>45565.0</v>
      </c>
      <c r="N173" s="304" t="s">
        <v>42</v>
      </c>
      <c r="O173" s="304"/>
      <c r="P173" s="309"/>
      <c r="Q173" s="309">
        <v>45565.0</v>
      </c>
      <c r="R173" s="308">
        <v>45565.0</v>
      </c>
      <c r="S173" s="304" t="s">
        <v>119</v>
      </c>
      <c r="T173" s="304" t="s">
        <v>544</v>
      </c>
    </row>
    <row r="174">
      <c r="A174" s="306" t="s">
        <v>545</v>
      </c>
      <c r="B174" s="309">
        <v>45561.0</v>
      </c>
      <c r="C174" s="308">
        <v>45561.0</v>
      </c>
      <c r="D174" s="304" t="s">
        <v>546</v>
      </c>
      <c r="E174" s="304"/>
      <c r="F174" s="304"/>
      <c r="G174" s="304" t="s">
        <v>547</v>
      </c>
      <c r="H174" s="304" t="s">
        <v>54</v>
      </c>
      <c r="I174" s="304" t="s">
        <v>36</v>
      </c>
      <c r="J174" s="304" t="s">
        <v>41</v>
      </c>
      <c r="K174" s="309">
        <v>45561.0</v>
      </c>
      <c r="L174" s="309"/>
      <c r="M174" s="309">
        <v>45561.0</v>
      </c>
      <c r="N174" s="304" t="s">
        <v>42</v>
      </c>
      <c r="O174" s="304"/>
      <c r="P174" s="309"/>
      <c r="Q174" s="309">
        <v>45569.0</v>
      </c>
      <c r="R174" s="308">
        <v>45569.0</v>
      </c>
      <c r="S174" s="304" t="s">
        <v>124</v>
      </c>
      <c r="T174" s="304" t="s">
        <v>548</v>
      </c>
    </row>
    <row r="175">
      <c r="A175" s="304" t="s">
        <v>76</v>
      </c>
      <c r="B175" s="309">
        <v>45560.0</v>
      </c>
      <c r="C175" s="308">
        <v>45560.0</v>
      </c>
      <c r="D175" s="304" t="s">
        <v>549</v>
      </c>
      <c r="E175" s="304" t="s">
        <v>33</v>
      </c>
      <c r="F175" s="304" t="s">
        <v>26</v>
      </c>
      <c r="G175" s="304" t="s">
        <v>550</v>
      </c>
      <c r="H175" s="304" t="s">
        <v>35</v>
      </c>
      <c r="I175" s="304" t="s">
        <v>36</v>
      </c>
      <c r="J175" s="304" t="s">
        <v>128</v>
      </c>
      <c r="K175" s="309">
        <v>45560.0</v>
      </c>
      <c r="L175" s="309">
        <v>45565.0</v>
      </c>
      <c r="M175" s="309">
        <v>45565.0</v>
      </c>
      <c r="N175" s="304" t="s">
        <v>42</v>
      </c>
      <c r="O175" s="304"/>
      <c r="P175" s="309">
        <v>45939.0</v>
      </c>
      <c r="Q175" s="309">
        <v>45579.0</v>
      </c>
      <c r="R175" s="308">
        <v>45579.0</v>
      </c>
      <c r="S175" s="304" t="s">
        <v>119</v>
      </c>
      <c r="T175" s="304" t="s">
        <v>551</v>
      </c>
    </row>
    <row r="176">
      <c r="A176" s="306" t="s">
        <v>552</v>
      </c>
      <c r="B176" s="309">
        <v>45560.0</v>
      </c>
      <c r="C176" s="308">
        <v>45560.0</v>
      </c>
      <c r="D176" s="304" t="s">
        <v>410</v>
      </c>
      <c r="E176" s="304" t="s">
        <v>33</v>
      </c>
      <c r="F176" s="304" t="s">
        <v>26</v>
      </c>
      <c r="G176" s="304" t="s">
        <v>553</v>
      </c>
      <c r="H176" s="304" t="s">
        <v>28</v>
      </c>
      <c r="I176" s="304" t="s">
        <v>29</v>
      </c>
      <c r="J176" s="304" t="s">
        <v>128</v>
      </c>
      <c r="K176" s="309">
        <v>45572.0</v>
      </c>
      <c r="L176" s="309">
        <v>45608.0</v>
      </c>
      <c r="M176" s="309">
        <v>45608.0</v>
      </c>
      <c r="N176" s="304" t="s">
        <v>42</v>
      </c>
      <c r="O176" s="304">
        <v>414.0</v>
      </c>
      <c r="P176" s="309"/>
      <c r="Q176" s="309">
        <v>45670.0</v>
      </c>
      <c r="R176" s="308">
        <v>45670.0</v>
      </c>
      <c r="S176" s="304" t="s">
        <v>43</v>
      </c>
      <c r="T176" s="304" t="s">
        <v>554</v>
      </c>
    </row>
    <row r="177">
      <c r="A177" s="306" t="s">
        <v>555</v>
      </c>
      <c r="B177" s="309">
        <v>45560.0</v>
      </c>
      <c r="C177" s="308">
        <v>45560.0</v>
      </c>
      <c r="D177" s="304" t="s">
        <v>24</v>
      </c>
      <c r="E177" s="304" t="s">
        <v>25</v>
      </c>
      <c r="F177" s="304" t="s">
        <v>26</v>
      </c>
      <c r="G177" s="304" t="s">
        <v>556</v>
      </c>
      <c r="H177" s="304" t="s">
        <v>186</v>
      </c>
      <c r="I177" s="304" t="s">
        <v>36</v>
      </c>
      <c r="J177" s="304" t="s">
        <v>255</v>
      </c>
      <c r="K177" s="309">
        <v>45560.0</v>
      </c>
      <c r="L177" s="309"/>
      <c r="M177" s="309"/>
      <c r="N177" s="304" t="s">
        <v>42</v>
      </c>
      <c r="O177" s="304"/>
      <c r="P177" s="309"/>
      <c r="Q177" s="309">
        <v>45343.0</v>
      </c>
      <c r="R177" s="308">
        <v>45343.0</v>
      </c>
      <c r="S177" s="304" t="s">
        <v>227</v>
      </c>
      <c r="T177" s="304" t="s">
        <v>557</v>
      </c>
    </row>
    <row r="178">
      <c r="A178" s="304" t="s">
        <v>76</v>
      </c>
      <c r="B178" s="309">
        <v>45554.0</v>
      </c>
      <c r="C178" s="308">
        <v>45554.0</v>
      </c>
      <c r="D178" s="304" t="s">
        <v>91</v>
      </c>
      <c r="E178" s="304" t="s">
        <v>25</v>
      </c>
      <c r="F178" s="304" t="s">
        <v>26</v>
      </c>
      <c r="G178" s="304" t="s">
        <v>558</v>
      </c>
      <c r="H178" s="304" t="s">
        <v>49</v>
      </c>
      <c r="I178" s="304" t="s">
        <v>36</v>
      </c>
      <c r="J178" s="304" t="s">
        <v>255</v>
      </c>
      <c r="K178" s="309">
        <v>45523.0</v>
      </c>
      <c r="L178" s="309"/>
      <c r="M178" s="309"/>
      <c r="N178" s="304" t="s">
        <v>42</v>
      </c>
      <c r="O178" s="304"/>
      <c r="P178" s="309"/>
      <c r="Q178" s="309">
        <v>45524.0</v>
      </c>
      <c r="R178" s="308">
        <v>45524.0</v>
      </c>
      <c r="S178" s="304" t="s">
        <v>43</v>
      </c>
      <c r="T178" s="304" t="s">
        <v>559</v>
      </c>
    </row>
    <row r="179">
      <c r="A179" s="306" t="s">
        <v>560</v>
      </c>
      <c r="B179" s="309">
        <v>45551.0</v>
      </c>
      <c r="C179" s="308">
        <v>45551.0</v>
      </c>
      <c r="D179" s="304" t="s">
        <v>561</v>
      </c>
      <c r="E179" s="304" t="s">
        <v>25</v>
      </c>
      <c r="F179" s="304" t="s">
        <v>26</v>
      </c>
      <c r="G179" s="304" t="s">
        <v>562</v>
      </c>
      <c r="H179" s="304" t="s">
        <v>28</v>
      </c>
      <c r="I179" s="304" t="s">
        <v>36</v>
      </c>
      <c r="J179" s="304" t="s">
        <v>75</v>
      </c>
      <c r="K179" s="309">
        <v>45565.0</v>
      </c>
      <c r="L179" s="309"/>
      <c r="M179" s="309"/>
      <c r="N179" s="304" t="s">
        <v>42</v>
      </c>
      <c r="O179" s="304">
        <v>308.0</v>
      </c>
      <c r="P179" s="309"/>
      <c r="Q179" s="309">
        <v>45688.0</v>
      </c>
      <c r="R179" s="308">
        <v>45688.0</v>
      </c>
      <c r="S179" s="304" t="s">
        <v>227</v>
      </c>
      <c r="T179" s="304" t="s">
        <v>563</v>
      </c>
    </row>
    <row r="180">
      <c r="A180" s="306" t="s">
        <v>564</v>
      </c>
      <c r="B180" s="309">
        <v>45551.0</v>
      </c>
      <c r="C180" s="308">
        <v>45551.0</v>
      </c>
      <c r="D180" s="304" t="s">
        <v>561</v>
      </c>
      <c r="E180" s="304" t="s">
        <v>25</v>
      </c>
      <c r="F180" s="304" t="s">
        <v>26</v>
      </c>
      <c r="G180" s="304" t="s">
        <v>565</v>
      </c>
      <c r="H180" s="304" t="s">
        <v>28</v>
      </c>
      <c r="I180" s="304" t="s">
        <v>36</v>
      </c>
      <c r="J180" s="304" t="s">
        <v>75</v>
      </c>
      <c r="K180" s="309">
        <v>45555.0</v>
      </c>
      <c r="L180" s="309"/>
      <c r="M180" s="309"/>
      <c r="N180" s="304" t="s">
        <v>42</v>
      </c>
      <c r="O180" s="304"/>
      <c r="P180" s="309"/>
      <c r="Q180" s="309">
        <v>45555.0</v>
      </c>
      <c r="R180" s="308">
        <v>45555.0</v>
      </c>
      <c r="S180" s="304" t="s">
        <v>43</v>
      </c>
      <c r="T180" s="304" t="s">
        <v>566</v>
      </c>
    </row>
    <row r="181">
      <c r="A181" s="304" t="s">
        <v>76</v>
      </c>
      <c r="B181" s="309">
        <v>45547.0</v>
      </c>
      <c r="C181" s="308">
        <v>45547.0</v>
      </c>
      <c r="D181" s="304" t="s">
        <v>52</v>
      </c>
      <c r="E181" s="304" t="s">
        <v>25</v>
      </c>
      <c r="F181" s="304" t="s">
        <v>26</v>
      </c>
      <c r="G181" s="304" t="s">
        <v>567</v>
      </c>
      <c r="H181" s="304" t="s">
        <v>35</v>
      </c>
      <c r="I181" s="304" t="s">
        <v>61</v>
      </c>
      <c r="J181" s="304" t="s">
        <v>110</v>
      </c>
      <c r="K181" s="309">
        <v>45548.0</v>
      </c>
      <c r="L181" s="309"/>
      <c r="M181" s="309">
        <v>45548.0</v>
      </c>
      <c r="N181" s="304" t="s">
        <v>343</v>
      </c>
      <c r="O181" s="304"/>
      <c r="P181" s="309"/>
      <c r="Q181" s="309"/>
      <c r="R181" s="308"/>
      <c r="S181" s="304"/>
      <c r="T181" s="304"/>
    </row>
    <row r="182">
      <c r="A182" s="304" t="s">
        <v>76</v>
      </c>
      <c r="B182" s="309">
        <v>45547.0</v>
      </c>
      <c r="C182" s="308">
        <v>45547.0</v>
      </c>
      <c r="D182" s="304" t="s">
        <v>52</v>
      </c>
      <c r="E182" s="304" t="s">
        <v>25</v>
      </c>
      <c r="F182" s="304" t="s">
        <v>26</v>
      </c>
      <c r="G182" s="304" t="s">
        <v>568</v>
      </c>
      <c r="H182" s="304" t="s">
        <v>35</v>
      </c>
      <c r="I182" s="304" t="s">
        <v>29</v>
      </c>
      <c r="J182" s="304" t="s">
        <v>110</v>
      </c>
      <c r="K182" s="309">
        <v>45548.0</v>
      </c>
      <c r="L182" s="309"/>
      <c r="M182" s="309">
        <v>45548.0</v>
      </c>
      <c r="N182" s="304" t="s">
        <v>42</v>
      </c>
      <c r="O182" s="304"/>
      <c r="P182" s="309"/>
      <c r="Q182" s="309">
        <v>45561.0</v>
      </c>
      <c r="R182" s="308">
        <v>45561.0</v>
      </c>
      <c r="S182" s="304" t="s">
        <v>43</v>
      </c>
      <c r="T182" s="304" t="s">
        <v>569</v>
      </c>
    </row>
    <row r="183">
      <c r="A183" s="306" t="s">
        <v>570</v>
      </c>
      <c r="B183" s="309">
        <v>45545.0</v>
      </c>
      <c r="C183" s="308">
        <v>45545.0</v>
      </c>
      <c r="D183" s="304" t="s">
        <v>52</v>
      </c>
      <c r="E183" s="304" t="s">
        <v>25</v>
      </c>
      <c r="F183" s="304" t="s">
        <v>26</v>
      </c>
      <c r="G183" s="304" t="s">
        <v>571</v>
      </c>
      <c r="H183" s="304" t="s">
        <v>186</v>
      </c>
      <c r="I183" s="304" t="s">
        <v>36</v>
      </c>
      <c r="J183" s="304" t="s">
        <v>41</v>
      </c>
      <c r="K183" s="309">
        <v>45545.0</v>
      </c>
      <c r="L183" s="309"/>
      <c r="M183" s="309">
        <v>45545.0</v>
      </c>
      <c r="N183" s="304" t="s">
        <v>42</v>
      </c>
      <c r="O183" s="304"/>
      <c r="P183" s="309"/>
      <c r="Q183" s="309">
        <v>45545.0</v>
      </c>
      <c r="R183" s="308">
        <v>45545.0</v>
      </c>
      <c r="S183" s="304" t="s">
        <v>119</v>
      </c>
      <c r="T183" s="304" t="s">
        <v>572</v>
      </c>
    </row>
    <row r="184">
      <c r="A184" s="306" t="s">
        <v>573</v>
      </c>
      <c r="B184" s="309">
        <v>45540.0</v>
      </c>
      <c r="C184" s="308">
        <v>45540.0</v>
      </c>
      <c r="D184" s="304" t="s">
        <v>427</v>
      </c>
      <c r="E184" s="304" t="s">
        <v>25</v>
      </c>
      <c r="F184" s="304" t="s">
        <v>26</v>
      </c>
      <c r="G184" s="304" t="s">
        <v>574</v>
      </c>
      <c r="H184" s="304" t="s">
        <v>28</v>
      </c>
      <c r="I184" s="304" t="s">
        <v>36</v>
      </c>
      <c r="J184" s="304" t="s">
        <v>128</v>
      </c>
      <c r="K184" s="309">
        <v>45544.0</v>
      </c>
      <c r="L184" s="309"/>
      <c r="M184" s="309"/>
      <c r="N184" s="304" t="s">
        <v>42</v>
      </c>
      <c r="O184" s="304"/>
      <c r="P184" s="309"/>
      <c r="Q184" s="309">
        <v>45558.0</v>
      </c>
      <c r="R184" s="308">
        <v>45558.0</v>
      </c>
      <c r="S184" s="304" t="s">
        <v>227</v>
      </c>
      <c r="T184" s="304" t="s">
        <v>575</v>
      </c>
    </row>
    <row r="185">
      <c r="A185" s="306" t="s">
        <v>576</v>
      </c>
      <c r="B185" s="309">
        <v>45537.0</v>
      </c>
      <c r="C185" s="308">
        <v>45537.0</v>
      </c>
      <c r="D185" s="304" t="s">
        <v>101</v>
      </c>
      <c r="E185" s="304" t="s">
        <v>25</v>
      </c>
      <c r="F185" s="304" t="s">
        <v>26</v>
      </c>
      <c r="G185" s="304" t="s">
        <v>577</v>
      </c>
      <c r="H185" s="304" t="s">
        <v>60</v>
      </c>
      <c r="I185" s="304" t="s">
        <v>61</v>
      </c>
      <c r="J185" s="304" t="s">
        <v>41</v>
      </c>
      <c r="K185" s="309">
        <v>45537.0</v>
      </c>
      <c r="L185" s="309"/>
      <c r="M185" s="309"/>
      <c r="N185" s="304" t="s">
        <v>343</v>
      </c>
      <c r="O185" s="304"/>
      <c r="P185" s="309"/>
      <c r="Q185" s="309"/>
      <c r="R185" s="308"/>
      <c r="S185" s="309"/>
      <c r="T185" s="304" t="s">
        <v>578</v>
      </c>
    </row>
    <row r="186">
      <c r="A186" s="306" t="s">
        <v>579</v>
      </c>
      <c r="B186" s="309">
        <v>45541.0</v>
      </c>
      <c r="C186" s="308">
        <v>45541.0</v>
      </c>
      <c r="D186" s="304" t="s">
        <v>161</v>
      </c>
      <c r="E186" s="304" t="s">
        <v>25</v>
      </c>
      <c r="F186" s="304" t="s">
        <v>26</v>
      </c>
      <c r="G186" s="304" t="s">
        <v>580</v>
      </c>
      <c r="H186" s="304" t="s">
        <v>35</v>
      </c>
      <c r="I186" s="304" t="s">
        <v>29</v>
      </c>
      <c r="J186" s="304" t="s">
        <v>75</v>
      </c>
      <c r="K186" s="309">
        <v>45541.0</v>
      </c>
      <c r="L186" s="309"/>
      <c r="M186" s="309"/>
      <c r="N186" s="304" t="s">
        <v>42</v>
      </c>
      <c r="O186" s="304"/>
      <c r="P186" s="309">
        <v>45849.0</v>
      </c>
      <c r="Q186" s="309">
        <v>45870.0</v>
      </c>
      <c r="R186" s="308">
        <v>45870.0</v>
      </c>
      <c r="S186" s="304" t="s">
        <v>43</v>
      </c>
      <c r="T186" s="304" t="s">
        <v>581</v>
      </c>
    </row>
    <row r="187">
      <c r="A187" s="304" t="s">
        <v>582</v>
      </c>
      <c r="B187" s="309">
        <v>45540.0</v>
      </c>
      <c r="C187" s="308">
        <v>45540.0</v>
      </c>
      <c r="D187" s="304" t="s">
        <v>52</v>
      </c>
      <c r="E187" s="304" t="s">
        <v>25</v>
      </c>
      <c r="F187" s="304" t="s">
        <v>26</v>
      </c>
      <c r="G187" s="304" t="s">
        <v>583</v>
      </c>
      <c r="H187" s="304" t="s">
        <v>186</v>
      </c>
      <c r="I187" s="304" t="s">
        <v>29</v>
      </c>
      <c r="J187" s="304" t="s">
        <v>255</v>
      </c>
      <c r="K187" s="309">
        <v>45541.0</v>
      </c>
      <c r="L187" s="309">
        <v>45552.0</v>
      </c>
      <c r="M187" s="309">
        <v>45552.0</v>
      </c>
      <c r="N187" s="304" t="s">
        <v>42</v>
      </c>
      <c r="O187" s="304"/>
      <c r="P187" s="309">
        <v>45600.0</v>
      </c>
      <c r="Q187" s="309">
        <v>45600.0</v>
      </c>
      <c r="R187" s="308">
        <v>45600.0</v>
      </c>
      <c r="S187" s="309"/>
      <c r="T187" s="304" t="s">
        <v>584</v>
      </c>
    </row>
    <row r="188">
      <c r="A188" s="306" t="s">
        <v>585</v>
      </c>
      <c r="B188" s="309">
        <v>45537.0</v>
      </c>
      <c r="C188" s="308">
        <v>45537.0</v>
      </c>
      <c r="D188" s="304" t="s">
        <v>101</v>
      </c>
      <c r="E188" s="304" t="s">
        <v>25</v>
      </c>
      <c r="F188" s="304" t="s">
        <v>26</v>
      </c>
      <c r="G188" s="304" t="s">
        <v>586</v>
      </c>
      <c r="H188" s="304" t="s">
        <v>28</v>
      </c>
      <c r="I188" s="304" t="s">
        <v>29</v>
      </c>
      <c r="J188" s="304"/>
      <c r="K188" s="309"/>
      <c r="L188" s="309"/>
      <c r="M188" s="309"/>
      <c r="N188" s="304" t="s">
        <v>30</v>
      </c>
      <c r="O188" s="304"/>
      <c r="P188" s="309"/>
      <c r="Q188" s="309"/>
      <c r="R188" s="308"/>
      <c r="S188" s="309"/>
      <c r="T188" s="304" t="s">
        <v>587</v>
      </c>
    </row>
    <row r="189">
      <c r="A189" s="306" t="s">
        <v>588</v>
      </c>
      <c r="B189" s="309">
        <v>45534.0</v>
      </c>
      <c r="C189" s="308">
        <v>45534.0</v>
      </c>
      <c r="D189" s="304" t="s">
        <v>415</v>
      </c>
      <c r="E189" s="304" t="s">
        <v>47</v>
      </c>
      <c r="F189" s="304" t="s">
        <v>47</v>
      </c>
      <c r="G189" s="304" t="s">
        <v>589</v>
      </c>
      <c r="H189" s="304" t="s">
        <v>186</v>
      </c>
      <c r="I189" s="304" t="s">
        <v>36</v>
      </c>
      <c r="J189" s="304"/>
      <c r="K189" s="309"/>
      <c r="L189" s="309"/>
      <c r="M189" s="309"/>
      <c r="N189" s="304" t="s">
        <v>30</v>
      </c>
      <c r="O189" s="304"/>
      <c r="P189" s="309"/>
      <c r="Q189" s="309"/>
      <c r="R189" s="308"/>
      <c r="S189" s="309"/>
      <c r="T189" s="304"/>
    </row>
    <row r="190">
      <c r="A190" s="306" t="s">
        <v>590</v>
      </c>
      <c r="B190" s="309">
        <v>45534.0</v>
      </c>
      <c r="C190" s="308">
        <v>45534.0</v>
      </c>
      <c r="D190" s="304" t="s">
        <v>246</v>
      </c>
      <c r="E190" s="304" t="s">
        <v>25</v>
      </c>
      <c r="F190" s="304" t="s">
        <v>26</v>
      </c>
      <c r="G190" s="304" t="s">
        <v>591</v>
      </c>
      <c r="H190" s="304" t="s">
        <v>186</v>
      </c>
      <c r="I190" s="304" t="s">
        <v>61</v>
      </c>
      <c r="J190" s="304"/>
      <c r="K190" s="309"/>
      <c r="L190" s="309"/>
      <c r="M190" s="309"/>
      <c r="N190" s="304" t="s">
        <v>30</v>
      </c>
      <c r="O190" s="304"/>
      <c r="P190" s="309"/>
      <c r="Q190" s="309"/>
      <c r="R190" s="308"/>
      <c r="S190" s="309"/>
      <c r="T190" s="304" t="s">
        <v>592</v>
      </c>
    </row>
    <row r="191">
      <c r="A191" s="306" t="s">
        <v>593</v>
      </c>
      <c r="B191" s="309">
        <v>45534.0</v>
      </c>
      <c r="C191" s="308">
        <v>45534.0</v>
      </c>
      <c r="D191" s="304" t="s">
        <v>24</v>
      </c>
      <c r="E191" s="304" t="s">
        <v>25</v>
      </c>
      <c r="F191" s="304" t="s">
        <v>26</v>
      </c>
      <c r="G191" s="304" t="s">
        <v>594</v>
      </c>
      <c r="H191" s="304" t="s">
        <v>35</v>
      </c>
      <c r="I191" s="304" t="s">
        <v>61</v>
      </c>
      <c r="J191" s="304"/>
      <c r="K191" s="309"/>
      <c r="L191" s="309"/>
      <c r="M191" s="309"/>
      <c r="N191" s="304" t="s">
        <v>30</v>
      </c>
      <c r="O191" s="304"/>
      <c r="P191" s="309"/>
      <c r="Q191" s="309"/>
      <c r="R191" s="308"/>
      <c r="S191" s="309"/>
      <c r="T191" s="304" t="s">
        <v>595</v>
      </c>
    </row>
    <row r="192">
      <c r="A192" s="306" t="s">
        <v>596</v>
      </c>
      <c r="B192" s="309">
        <v>45534.0</v>
      </c>
      <c r="C192" s="308">
        <v>45534.0</v>
      </c>
      <c r="D192" s="304" t="s">
        <v>597</v>
      </c>
      <c r="E192" s="304" t="s">
        <v>25</v>
      </c>
      <c r="F192" s="304" t="s">
        <v>26</v>
      </c>
      <c r="G192" s="304" t="s">
        <v>598</v>
      </c>
      <c r="H192" s="304" t="s">
        <v>60</v>
      </c>
      <c r="I192" s="304" t="s">
        <v>36</v>
      </c>
      <c r="J192" s="304"/>
      <c r="K192" s="309"/>
      <c r="L192" s="309"/>
      <c r="M192" s="309"/>
      <c r="N192" s="304" t="s">
        <v>30</v>
      </c>
      <c r="O192" s="304"/>
      <c r="P192" s="309"/>
      <c r="Q192" s="309"/>
      <c r="R192" s="308"/>
      <c r="S192" s="309"/>
      <c r="T192" s="304" t="s">
        <v>599</v>
      </c>
    </row>
    <row r="193">
      <c r="A193" s="304" t="s">
        <v>600</v>
      </c>
      <c r="B193" s="309">
        <v>45532.0</v>
      </c>
      <c r="C193" s="308">
        <v>45532.0</v>
      </c>
      <c r="D193" s="304" t="s">
        <v>309</v>
      </c>
      <c r="E193" s="304" t="s">
        <v>310</v>
      </c>
      <c r="F193" s="304" t="s">
        <v>26</v>
      </c>
      <c r="G193" s="304" t="s">
        <v>601</v>
      </c>
      <c r="H193" s="304" t="s">
        <v>186</v>
      </c>
      <c r="I193" s="304" t="s">
        <v>36</v>
      </c>
      <c r="J193" s="304" t="s">
        <v>41</v>
      </c>
      <c r="K193" s="309">
        <v>45538.0</v>
      </c>
      <c r="L193" s="309"/>
      <c r="M193" s="309"/>
      <c r="N193" s="304" t="s">
        <v>64</v>
      </c>
      <c r="O193" s="304"/>
      <c r="P193" s="309"/>
      <c r="Q193" s="309"/>
      <c r="R193" s="308"/>
      <c r="S193" s="309"/>
      <c r="T193" s="304"/>
    </row>
    <row r="194">
      <c r="A194" s="304" t="s">
        <v>602</v>
      </c>
      <c r="B194" s="309">
        <v>45531.0</v>
      </c>
      <c r="C194" s="308">
        <v>45531.0</v>
      </c>
      <c r="D194" s="304" t="s">
        <v>309</v>
      </c>
      <c r="E194" s="304" t="s">
        <v>310</v>
      </c>
      <c r="F194" s="304" t="s">
        <v>26</v>
      </c>
      <c r="G194" s="304" t="s">
        <v>603</v>
      </c>
      <c r="H194" s="304" t="s">
        <v>186</v>
      </c>
      <c r="I194" s="304" t="s">
        <v>36</v>
      </c>
      <c r="J194" s="304" t="s">
        <v>110</v>
      </c>
      <c r="K194" s="309">
        <v>45538.0</v>
      </c>
      <c r="L194" s="309"/>
      <c r="M194" s="309"/>
      <c r="N194" s="304" t="s">
        <v>42</v>
      </c>
      <c r="O194" s="304"/>
      <c r="P194" s="309"/>
      <c r="Q194" s="309">
        <v>45544.0</v>
      </c>
      <c r="R194" s="308">
        <v>45544.0</v>
      </c>
      <c r="S194" s="304" t="s">
        <v>119</v>
      </c>
      <c r="T194" s="304" t="s">
        <v>604</v>
      </c>
    </row>
    <row r="195">
      <c r="A195" s="306" t="s">
        <v>605</v>
      </c>
      <c r="B195" s="309">
        <v>45526.0</v>
      </c>
      <c r="C195" s="308">
        <v>45526.0</v>
      </c>
      <c r="D195" s="304" t="s">
        <v>165</v>
      </c>
      <c r="E195" s="304" t="s">
        <v>33</v>
      </c>
      <c r="F195" s="304" t="s">
        <v>26</v>
      </c>
      <c r="G195" s="304" t="s">
        <v>606</v>
      </c>
      <c r="H195" s="304" t="s">
        <v>54</v>
      </c>
      <c r="I195" s="304" t="s">
        <v>29</v>
      </c>
      <c r="J195" s="304" t="s">
        <v>110</v>
      </c>
      <c r="K195" s="309">
        <v>45526.0</v>
      </c>
      <c r="L195" s="309"/>
      <c r="M195" s="309"/>
      <c r="N195" s="304" t="s">
        <v>42</v>
      </c>
      <c r="O195" s="304"/>
      <c r="P195" s="309"/>
      <c r="Q195" s="309">
        <v>45604.0</v>
      </c>
      <c r="R195" s="308">
        <v>45604.0</v>
      </c>
      <c r="S195" s="304" t="s">
        <v>96</v>
      </c>
      <c r="T195" s="304" t="s">
        <v>607</v>
      </c>
    </row>
    <row r="196">
      <c r="A196" s="306" t="s">
        <v>608</v>
      </c>
      <c r="B196" s="309">
        <v>45525.0</v>
      </c>
      <c r="C196" s="308">
        <v>45525.0</v>
      </c>
      <c r="D196" s="304" t="s">
        <v>52</v>
      </c>
      <c r="E196" s="304" t="s">
        <v>25</v>
      </c>
      <c r="F196" s="304" t="s">
        <v>26</v>
      </c>
      <c r="G196" s="304" t="s">
        <v>609</v>
      </c>
      <c r="H196" s="304" t="s">
        <v>186</v>
      </c>
      <c r="I196" s="304" t="s">
        <v>61</v>
      </c>
      <c r="J196" s="304" t="s">
        <v>41</v>
      </c>
      <c r="K196" s="309">
        <v>45526.0</v>
      </c>
      <c r="L196" s="309"/>
      <c r="M196" s="309">
        <v>45527.0</v>
      </c>
      <c r="N196" s="304" t="s">
        <v>42</v>
      </c>
      <c r="O196" s="304"/>
      <c r="P196" s="309"/>
      <c r="Q196" s="309">
        <v>45527.0</v>
      </c>
      <c r="R196" s="308">
        <v>45527.0</v>
      </c>
      <c r="S196" s="304" t="s">
        <v>119</v>
      </c>
      <c r="T196" s="304" t="s">
        <v>610</v>
      </c>
    </row>
    <row r="197">
      <c r="A197" s="306" t="s">
        <v>611</v>
      </c>
      <c r="B197" s="309">
        <v>45524.0</v>
      </c>
      <c r="C197" s="308">
        <v>45524.0</v>
      </c>
      <c r="D197" s="304" t="s">
        <v>116</v>
      </c>
      <c r="E197" s="304" t="s">
        <v>25</v>
      </c>
      <c r="F197" s="304" t="s">
        <v>26</v>
      </c>
      <c r="G197" s="304" t="s">
        <v>612</v>
      </c>
      <c r="H197" s="304" t="s">
        <v>28</v>
      </c>
      <c r="I197" s="304" t="s">
        <v>61</v>
      </c>
      <c r="J197" s="304" t="s">
        <v>255</v>
      </c>
      <c r="K197" s="309">
        <v>45538.0</v>
      </c>
      <c r="L197" s="309"/>
      <c r="M197" s="309"/>
      <c r="N197" s="304" t="s">
        <v>343</v>
      </c>
      <c r="O197" s="304"/>
      <c r="P197" s="309"/>
      <c r="Q197" s="309"/>
      <c r="R197" s="308"/>
      <c r="S197" s="309"/>
      <c r="T197" s="304" t="s">
        <v>613</v>
      </c>
    </row>
    <row r="198">
      <c r="A198" s="306" t="s">
        <v>614</v>
      </c>
      <c r="B198" s="309">
        <v>45518.0</v>
      </c>
      <c r="C198" s="308">
        <v>45518.0</v>
      </c>
      <c r="D198" s="304" t="s">
        <v>154</v>
      </c>
      <c r="E198" s="304" t="s">
        <v>615</v>
      </c>
      <c r="F198" s="304" t="s">
        <v>615</v>
      </c>
      <c r="G198" s="304" t="s">
        <v>616</v>
      </c>
      <c r="H198" s="304" t="s">
        <v>60</v>
      </c>
      <c r="I198" s="304" t="s">
        <v>36</v>
      </c>
      <c r="J198" s="304" t="s">
        <v>41</v>
      </c>
      <c r="K198" s="309">
        <v>45518.0</v>
      </c>
      <c r="L198" s="309"/>
      <c r="M198" s="309"/>
      <c r="N198" s="304" t="s">
        <v>118</v>
      </c>
      <c r="O198" s="304"/>
      <c r="P198" s="309"/>
      <c r="Q198" s="309">
        <v>45992.0</v>
      </c>
      <c r="R198" s="308">
        <v>45992.0</v>
      </c>
      <c r="S198" s="304" t="s">
        <v>124</v>
      </c>
      <c r="T198" s="304" t="s">
        <v>617</v>
      </c>
    </row>
    <row r="199">
      <c r="A199" s="304" t="s">
        <v>76</v>
      </c>
      <c r="B199" s="309">
        <v>45518.0</v>
      </c>
      <c r="C199" s="308">
        <v>45518.0</v>
      </c>
      <c r="D199" s="304" t="s">
        <v>161</v>
      </c>
      <c r="E199" s="304" t="s">
        <v>33</v>
      </c>
      <c r="F199" s="304" t="s">
        <v>26</v>
      </c>
      <c r="G199" s="304" t="s">
        <v>618</v>
      </c>
      <c r="H199" s="304" t="s">
        <v>87</v>
      </c>
      <c r="I199" s="304" t="s">
        <v>61</v>
      </c>
      <c r="J199" s="304" t="s">
        <v>255</v>
      </c>
      <c r="K199" s="309">
        <v>45518.0</v>
      </c>
      <c r="L199" s="309"/>
      <c r="M199" s="309">
        <v>45519.0</v>
      </c>
      <c r="N199" s="304" t="s">
        <v>42</v>
      </c>
      <c r="O199" s="304"/>
      <c r="P199" s="309"/>
      <c r="Q199" s="309">
        <v>45527.0</v>
      </c>
      <c r="R199" s="308">
        <v>45527.0</v>
      </c>
      <c r="S199" s="304" t="s">
        <v>43</v>
      </c>
      <c r="T199" s="304" t="s">
        <v>619</v>
      </c>
    </row>
    <row r="200">
      <c r="A200" s="304" t="s">
        <v>76</v>
      </c>
      <c r="B200" s="309">
        <v>45512.0</v>
      </c>
      <c r="C200" s="308">
        <v>45512.0</v>
      </c>
      <c r="D200" s="304" t="s">
        <v>620</v>
      </c>
      <c r="E200" s="304" t="s">
        <v>25</v>
      </c>
      <c r="F200" s="304" t="s">
        <v>26</v>
      </c>
      <c r="G200" s="304" t="s">
        <v>621</v>
      </c>
      <c r="H200" s="304" t="s">
        <v>28</v>
      </c>
      <c r="I200" s="304" t="s">
        <v>29</v>
      </c>
      <c r="J200" s="304" t="s">
        <v>75</v>
      </c>
      <c r="K200" s="309">
        <v>45512.0</v>
      </c>
      <c r="L200" s="309"/>
      <c r="M200" s="309">
        <v>45512.0</v>
      </c>
      <c r="N200" s="304" t="s">
        <v>42</v>
      </c>
      <c r="O200" s="304"/>
      <c r="P200" s="309"/>
      <c r="Q200" s="309">
        <v>45524.0</v>
      </c>
      <c r="R200" s="308">
        <v>45524.0</v>
      </c>
      <c r="S200" s="304" t="s">
        <v>119</v>
      </c>
      <c r="T200" s="304" t="s">
        <v>622</v>
      </c>
    </row>
    <row r="201">
      <c r="A201" s="306" t="s">
        <v>623</v>
      </c>
      <c r="B201" s="309">
        <v>45495.0</v>
      </c>
      <c r="C201" s="308">
        <v>45495.0</v>
      </c>
      <c r="D201" s="304" t="s">
        <v>624</v>
      </c>
      <c r="E201" s="304" t="s">
        <v>33</v>
      </c>
      <c r="F201" s="304" t="s">
        <v>26</v>
      </c>
      <c r="G201" s="304" t="s">
        <v>625</v>
      </c>
      <c r="H201" s="304" t="s">
        <v>28</v>
      </c>
      <c r="I201" s="304" t="s">
        <v>29</v>
      </c>
      <c r="J201" s="304" t="s">
        <v>128</v>
      </c>
      <c r="K201" s="309">
        <v>45495.0</v>
      </c>
      <c r="L201" s="309"/>
      <c r="M201" s="309">
        <v>45495.0</v>
      </c>
      <c r="N201" s="304" t="s">
        <v>42</v>
      </c>
      <c r="O201" s="304"/>
      <c r="P201" s="309"/>
      <c r="Q201" s="309">
        <v>45552.0</v>
      </c>
      <c r="R201" s="308">
        <v>45552.0</v>
      </c>
      <c r="S201" s="304" t="s">
        <v>227</v>
      </c>
      <c r="T201" s="304" t="s">
        <v>626</v>
      </c>
    </row>
    <row r="202">
      <c r="A202" s="304" t="s">
        <v>76</v>
      </c>
      <c r="B202" s="309"/>
      <c r="C202" s="304">
        <v>2024.0</v>
      </c>
      <c r="D202" s="304" t="s">
        <v>52</v>
      </c>
      <c r="E202" s="304"/>
      <c r="F202" s="304" t="s">
        <v>26</v>
      </c>
      <c r="G202" s="304" t="s">
        <v>627</v>
      </c>
      <c r="H202" s="304" t="s">
        <v>186</v>
      </c>
      <c r="I202" s="304" t="s">
        <v>36</v>
      </c>
      <c r="J202" s="304" t="s">
        <v>255</v>
      </c>
      <c r="K202" s="309">
        <v>45476.0</v>
      </c>
      <c r="L202" s="309"/>
      <c r="M202" s="304"/>
      <c r="N202" s="304" t="s">
        <v>343</v>
      </c>
      <c r="O202" s="304"/>
      <c r="P202" s="309"/>
      <c r="Q202" s="309"/>
      <c r="R202" s="308"/>
      <c r="S202" s="309"/>
      <c r="T202" s="304"/>
    </row>
    <row r="203">
      <c r="A203" s="306" t="s">
        <v>628</v>
      </c>
      <c r="B203" s="309">
        <v>45497.0</v>
      </c>
      <c r="C203" s="308">
        <v>45497.0</v>
      </c>
      <c r="D203" s="304" t="s">
        <v>246</v>
      </c>
      <c r="E203" s="304" t="s">
        <v>25</v>
      </c>
      <c r="F203" s="304" t="s">
        <v>26</v>
      </c>
      <c r="G203" s="304" t="s">
        <v>629</v>
      </c>
      <c r="H203" s="304" t="s">
        <v>186</v>
      </c>
      <c r="I203" s="304" t="s">
        <v>36</v>
      </c>
      <c r="J203" s="304"/>
      <c r="K203" s="309"/>
      <c r="L203" s="309"/>
      <c r="M203" s="309"/>
      <c r="N203" s="304" t="s">
        <v>30</v>
      </c>
      <c r="O203" s="304"/>
      <c r="P203" s="309"/>
      <c r="Q203" s="309"/>
      <c r="R203" s="308"/>
      <c r="S203" s="309"/>
      <c r="T203" s="304"/>
    </row>
    <row r="204">
      <c r="A204" s="306" t="s">
        <v>630</v>
      </c>
      <c r="B204" s="309">
        <v>45492.0</v>
      </c>
      <c r="C204" s="308">
        <v>45492.0</v>
      </c>
      <c r="D204" s="304" t="s">
        <v>133</v>
      </c>
      <c r="E204" s="304" t="s">
        <v>33</v>
      </c>
      <c r="F204" s="304" t="s">
        <v>26</v>
      </c>
      <c r="G204" s="306" t="s">
        <v>630</v>
      </c>
      <c r="H204" s="304" t="s">
        <v>28</v>
      </c>
      <c r="I204" s="304" t="s">
        <v>36</v>
      </c>
      <c r="J204" s="304"/>
      <c r="K204" s="309"/>
      <c r="L204" s="309"/>
      <c r="M204" s="309"/>
      <c r="N204" s="304" t="s">
        <v>118</v>
      </c>
      <c r="O204" s="304"/>
      <c r="P204" s="309"/>
      <c r="Q204" s="309"/>
      <c r="R204" s="308"/>
      <c r="S204" s="304" t="s">
        <v>124</v>
      </c>
      <c r="T204" s="304" t="s">
        <v>631</v>
      </c>
    </row>
    <row r="205">
      <c r="A205" s="306" t="s">
        <v>632</v>
      </c>
      <c r="B205" s="309">
        <v>45485.0</v>
      </c>
      <c r="C205" s="308">
        <v>45485.0</v>
      </c>
      <c r="D205" s="304" t="s">
        <v>633</v>
      </c>
      <c r="E205" s="304" t="s">
        <v>25</v>
      </c>
      <c r="F205" s="304" t="s">
        <v>26</v>
      </c>
      <c r="G205" s="304" t="s">
        <v>634</v>
      </c>
      <c r="H205" s="304" t="s">
        <v>28</v>
      </c>
      <c r="I205" s="304" t="s">
        <v>61</v>
      </c>
      <c r="J205" s="304"/>
      <c r="K205" s="309"/>
      <c r="L205" s="309"/>
      <c r="M205" s="309"/>
      <c r="N205" s="304" t="s">
        <v>30</v>
      </c>
      <c r="O205" s="304"/>
      <c r="P205" s="309"/>
      <c r="Q205" s="309"/>
      <c r="R205" s="308"/>
      <c r="S205" s="309"/>
      <c r="T205" s="304" t="s">
        <v>635</v>
      </c>
    </row>
    <row r="206">
      <c r="A206" s="306" t="s">
        <v>636</v>
      </c>
      <c r="B206" s="309">
        <v>45485.0</v>
      </c>
      <c r="C206" s="308">
        <v>45485.0</v>
      </c>
      <c r="D206" s="304" t="s">
        <v>116</v>
      </c>
      <c r="E206" s="304" t="s">
        <v>25</v>
      </c>
      <c r="F206" s="304" t="s">
        <v>26</v>
      </c>
      <c r="G206" s="304" t="s">
        <v>637</v>
      </c>
      <c r="H206" s="304" t="s">
        <v>186</v>
      </c>
      <c r="I206" s="304" t="s">
        <v>36</v>
      </c>
      <c r="J206" s="304" t="s">
        <v>41</v>
      </c>
      <c r="K206" s="309">
        <v>45485.0</v>
      </c>
      <c r="L206" s="309"/>
      <c r="M206" s="309">
        <v>45485.0</v>
      </c>
      <c r="N206" s="304" t="s">
        <v>42</v>
      </c>
      <c r="O206" s="304"/>
      <c r="P206" s="309"/>
      <c r="Q206" s="309">
        <v>45488.0</v>
      </c>
      <c r="R206" s="308">
        <v>45488.0</v>
      </c>
      <c r="S206" s="304" t="s">
        <v>119</v>
      </c>
      <c r="T206" s="304" t="s">
        <v>638</v>
      </c>
    </row>
    <row r="207">
      <c r="A207" s="306" t="s">
        <v>639</v>
      </c>
      <c r="B207" s="309">
        <v>45475.0</v>
      </c>
      <c r="C207" s="308">
        <v>45475.0</v>
      </c>
      <c r="D207" s="304" t="s">
        <v>158</v>
      </c>
      <c r="E207" s="304" t="s">
        <v>25</v>
      </c>
      <c r="F207" s="304" t="s">
        <v>26</v>
      </c>
      <c r="G207" s="304" t="s">
        <v>640</v>
      </c>
      <c r="H207" s="304" t="s">
        <v>60</v>
      </c>
      <c r="I207" s="304" t="s">
        <v>36</v>
      </c>
      <c r="J207" s="304"/>
      <c r="K207" s="309"/>
      <c r="L207" s="309"/>
      <c r="M207" s="309"/>
      <c r="N207" s="304" t="s">
        <v>30</v>
      </c>
      <c r="O207" s="304"/>
      <c r="P207" s="309"/>
      <c r="Q207" s="309"/>
      <c r="R207" s="308"/>
      <c r="S207" s="309"/>
      <c r="T207" s="304" t="s">
        <v>641</v>
      </c>
    </row>
    <row r="208">
      <c r="A208" s="306" t="s">
        <v>642</v>
      </c>
      <c r="B208" s="309">
        <v>45474.0</v>
      </c>
      <c r="C208" s="308">
        <v>45474.0</v>
      </c>
      <c r="D208" s="304" t="s">
        <v>38</v>
      </c>
      <c r="E208" s="304" t="s">
        <v>33</v>
      </c>
      <c r="F208" s="304" t="s">
        <v>26</v>
      </c>
      <c r="G208" s="304" t="s">
        <v>643</v>
      </c>
      <c r="H208" s="304" t="s">
        <v>87</v>
      </c>
      <c r="I208" s="304" t="s">
        <v>61</v>
      </c>
      <c r="J208" s="304" t="s">
        <v>128</v>
      </c>
      <c r="K208" s="309">
        <v>45498.0</v>
      </c>
      <c r="L208" s="309"/>
      <c r="M208" s="309">
        <v>45498.0</v>
      </c>
      <c r="N208" s="304" t="s">
        <v>42</v>
      </c>
      <c r="O208" s="304"/>
      <c r="P208" s="309"/>
      <c r="Q208" s="309">
        <v>45499.0</v>
      </c>
      <c r="R208" s="308">
        <v>45499.0</v>
      </c>
      <c r="S208" s="304" t="s">
        <v>43</v>
      </c>
      <c r="T208" s="304" t="s">
        <v>644</v>
      </c>
    </row>
    <row r="209">
      <c r="A209" s="306" t="s">
        <v>645</v>
      </c>
      <c r="B209" s="309">
        <v>45470.0</v>
      </c>
      <c r="C209" s="308">
        <v>45470.0</v>
      </c>
      <c r="D209" s="304" t="s">
        <v>309</v>
      </c>
      <c r="E209" s="304" t="s">
        <v>310</v>
      </c>
      <c r="F209" s="304" t="s">
        <v>26</v>
      </c>
      <c r="G209" s="304" t="s">
        <v>646</v>
      </c>
      <c r="H209" s="304" t="s">
        <v>60</v>
      </c>
      <c r="I209" s="304" t="s">
        <v>29</v>
      </c>
      <c r="J209" s="304" t="s">
        <v>152</v>
      </c>
      <c r="K209" s="309">
        <v>45910.0</v>
      </c>
      <c r="L209" s="309"/>
      <c r="M209" s="309"/>
      <c r="N209" s="304" t="s">
        <v>343</v>
      </c>
      <c r="O209" s="304"/>
      <c r="P209" s="309"/>
      <c r="Q209" s="309"/>
      <c r="R209" s="308"/>
      <c r="S209" s="309"/>
      <c r="T209" s="304"/>
    </row>
    <row r="210">
      <c r="A210" s="306" t="s">
        <v>647</v>
      </c>
      <c r="B210" s="309">
        <v>45471.0</v>
      </c>
      <c r="C210" s="308">
        <v>45471.0</v>
      </c>
      <c r="D210" s="304" t="s">
        <v>32</v>
      </c>
      <c r="E210" s="304" t="s">
        <v>33</v>
      </c>
      <c r="F210" s="304" t="s">
        <v>26</v>
      </c>
      <c r="G210" s="304" t="s">
        <v>648</v>
      </c>
      <c r="H210" s="304" t="s">
        <v>186</v>
      </c>
      <c r="I210" s="304" t="s">
        <v>36</v>
      </c>
      <c r="J210" s="304" t="s">
        <v>41</v>
      </c>
      <c r="K210" s="309">
        <v>45471.0</v>
      </c>
      <c r="L210" s="309"/>
      <c r="M210" s="309">
        <v>45488.0</v>
      </c>
      <c r="N210" s="304" t="s">
        <v>42</v>
      </c>
      <c r="O210" s="304"/>
      <c r="P210" s="309"/>
      <c r="Q210" s="309">
        <v>45488.0</v>
      </c>
      <c r="R210" s="308">
        <v>45488.0</v>
      </c>
      <c r="S210" s="304" t="s">
        <v>119</v>
      </c>
      <c r="T210" s="304" t="s">
        <v>649</v>
      </c>
    </row>
    <row r="211">
      <c r="A211" s="306" t="s">
        <v>650</v>
      </c>
      <c r="B211" s="309">
        <v>45408.0</v>
      </c>
      <c r="C211" s="308">
        <v>45408.0</v>
      </c>
      <c r="D211" s="304" t="s">
        <v>38</v>
      </c>
      <c r="E211" s="304" t="s">
        <v>33</v>
      </c>
      <c r="F211" s="304" t="s">
        <v>26</v>
      </c>
      <c r="G211" s="304" t="s">
        <v>651</v>
      </c>
      <c r="H211" s="304" t="s">
        <v>28</v>
      </c>
      <c r="I211" s="304" t="s">
        <v>61</v>
      </c>
      <c r="J211" s="304"/>
      <c r="K211" s="309"/>
      <c r="L211" s="309"/>
      <c r="M211" s="309"/>
      <c r="N211" s="304" t="s">
        <v>30</v>
      </c>
      <c r="O211" s="304"/>
      <c r="P211" s="309"/>
      <c r="Q211" s="309"/>
      <c r="R211" s="308"/>
      <c r="S211" s="309"/>
      <c r="T211" s="304" t="s">
        <v>652</v>
      </c>
    </row>
    <row r="212">
      <c r="A212" s="306" t="s">
        <v>330</v>
      </c>
      <c r="B212" s="309">
        <v>45387.0</v>
      </c>
      <c r="C212" s="308">
        <v>45387.0</v>
      </c>
      <c r="D212" s="304" t="s">
        <v>246</v>
      </c>
      <c r="E212" s="304" t="s">
        <v>25</v>
      </c>
      <c r="F212" s="304" t="s">
        <v>26</v>
      </c>
      <c r="G212" s="304" t="s">
        <v>653</v>
      </c>
      <c r="H212" s="304" t="s">
        <v>186</v>
      </c>
      <c r="I212" s="304" t="s">
        <v>36</v>
      </c>
      <c r="J212" s="304" t="s">
        <v>41</v>
      </c>
      <c r="K212" s="309">
        <v>45387.0</v>
      </c>
      <c r="L212" s="309"/>
      <c r="M212" s="309">
        <v>45392.0</v>
      </c>
      <c r="N212" s="304" t="s">
        <v>42</v>
      </c>
      <c r="O212" s="304"/>
      <c r="P212" s="309"/>
      <c r="Q212" s="309">
        <v>45392.0</v>
      </c>
      <c r="R212" s="308">
        <v>45392.0</v>
      </c>
      <c r="S212" s="304" t="s">
        <v>119</v>
      </c>
      <c r="T212" s="304" t="s">
        <v>654</v>
      </c>
    </row>
    <row r="213">
      <c r="A213" s="306" t="s">
        <v>655</v>
      </c>
      <c r="B213" s="309">
        <v>45387.0</v>
      </c>
      <c r="C213" s="308">
        <v>45387.0</v>
      </c>
      <c r="D213" s="304" t="s">
        <v>32</v>
      </c>
      <c r="E213" s="304" t="s">
        <v>33</v>
      </c>
      <c r="F213" s="304" t="s">
        <v>26</v>
      </c>
      <c r="G213" s="304" t="s">
        <v>656</v>
      </c>
      <c r="H213" s="304" t="s">
        <v>49</v>
      </c>
      <c r="I213" s="304" t="s">
        <v>36</v>
      </c>
      <c r="J213" s="304" t="s">
        <v>128</v>
      </c>
      <c r="K213" s="309">
        <v>45391.0</v>
      </c>
      <c r="L213" s="309"/>
      <c r="M213" s="309">
        <v>45426.0</v>
      </c>
      <c r="N213" s="304" t="s">
        <v>42</v>
      </c>
      <c r="O213" s="304"/>
      <c r="P213" s="309"/>
      <c r="Q213" s="309">
        <v>45510.0</v>
      </c>
      <c r="R213" s="308">
        <v>45510.0</v>
      </c>
      <c r="S213" s="304" t="s">
        <v>119</v>
      </c>
      <c r="T213" s="304" t="s">
        <v>657</v>
      </c>
    </row>
    <row r="214">
      <c r="A214" s="306" t="s">
        <v>658</v>
      </c>
      <c r="B214" s="309">
        <v>45406.0</v>
      </c>
      <c r="C214" s="308">
        <v>45406.0</v>
      </c>
      <c r="D214" s="304" t="s">
        <v>52</v>
      </c>
      <c r="E214" s="304"/>
      <c r="F214" s="304" t="s">
        <v>26</v>
      </c>
      <c r="G214" s="304" t="s">
        <v>659</v>
      </c>
      <c r="H214" s="304" t="s">
        <v>54</v>
      </c>
      <c r="I214" s="304" t="s">
        <v>36</v>
      </c>
      <c r="J214" s="304" t="s">
        <v>41</v>
      </c>
      <c r="K214" s="309">
        <v>45406.0</v>
      </c>
      <c r="L214" s="309">
        <v>45406.0</v>
      </c>
      <c r="M214" s="309">
        <v>45406.0</v>
      </c>
      <c r="N214" s="304" t="s">
        <v>42</v>
      </c>
      <c r="O214" s="304"/>
      <c r="P214" s="309"/>
      <c r="Q214" s="309">
        <v>45679.0</v>
      </c>
      <c r="R214" s="308">
        <v>45679.0</v>
      </c>
      <c r="S214" s="304" t="s">
        <v>124</v>
      </c>
      <c r="T214" s="304" t="s">
        <v>660</v>
      </c>
    </row>
    <row r="215">
      <c r="A215" s="306" t="s">
        <v>661</v>
      </c>
      <c r="B215" s="309">
        <v>45398.0</v>
      </c>
      <c r="C215" s="308">
        <v>45398.0</v>
      </c>
      <c r="D215" s="304" t="s">
        <v>52</v>
      </c>
      <c r="E215" s="304"/>
      <c r="F215" s="304" t="s">
        <v>26</v>
      </c>
      <c r="G215" s="304" t="s">
        <v>662</v>
      </c>
      <c r="H215" s="304" t="s">
        <v>54</v>
      </c>
      <c r="I215" s="304" t="s">
        <v>29</v>
      </c>
      <c r="J215" s="304" t="s">
        <v>41</v>
      </c>
      <c r="K215" s="309">
        <v>45569.0</v>
      </c>
      <c r="L215" s="309"/>
      <c r="M215" s="309">
        <v>45569.0</v>
      </c>
      <c r="N215" s="304" t="s">
        <v>42</v>
      </c>
      <c r="O215" s="304"/>
      <c r="P215" s="309"/>
      <c r="Q215" s="309">
        <v>45569.0</v>
      </c>
      <c r="R215" s="308">
        <v>45569.0</v>
      </c>
      <c r="S215" s="304" t="s">
        <v>124</v>
      </c>
      <c r="T215" s="304" t="s">
        <v>1210</v>
      </c>
    </row>
    <row r="216">
      <c r="A216" s="306" t="s">
        <v>664</v>
      </c>
      <c r="B216" s="309">
        <v>45387.0</v>
      </c>
      <c r="C216" s="308">
        <v>45387.0</v>
      </c>
      <c r="D216" s="304" t="s">
        <v>52</v>
      </c>
      <c r="E216" s="304" t="s">
        <v>47</v>
      </c>
      <c r="F216" s="304" t="s">
        <v>26</v>
      </c>
      <c r="G216" s="304" t="s">
        <v>665</v>
      </c>
      <c r="H216" s="304" t="s">
        <v>54</v>
      </c>
      <c r="I216" s="304" t="s">
        <v>29</v>
      </c>
      <c r="J216" s="304" t="s">
        <v>41</v>
      </c>
      <c r="K216" s="309">
        <v>45387.0</v>
      </c>
      <c r="L216" s="309"/>
      <c r="M216" s="309">
        <v>45387.0</v>
      </c>
      <c r="N216" s="304" t="s">
        <v>42</v>
      </c>
      <c r="O216" s="304"/>
      <c r="P216" s="309"/>
      <c r="Q216" s="309">
        <v>45530.0</v>
      </c>
      <c r="R216" s="308">
        <v>45530.0</v>
      </c>
      <c r="S216" s="304" t="s">
        <v>124</v>
      </c>
      <c r="T216" s="304" t="s">
        <v>666</v>
      </c>
    </row>
    <row r="217">
      <c r="A217" s="306" t="s">
        <v>667</v>
      </c>
      <c r="B217" s="309">
        <v>45383.0</v>
      </c>
      <c r="C217" s="308">
        <v>45383.0</v>
      </c>
      <c r="D217" s="304" t="s">
        <v>81</v>
      </c>
      <c r="E217" s="304" t="s">
        <v>25</v>
      </c>
      <c r="F217" s="304" t="s">
        <v>26</v>
      </c>
      <c r="G217" s="304" t="s">
        <v>668</v>
      </c>
      <c r="H217" s="304" t="s">
        <v>35</v>
      </c>
      <c r="I217" s="304" t="s">
        <v>36</v>
      </c>
      <c r="J217" s="304" t="s">
        <v>255</v>
      </c>
      <c r="K217" s="309">
        <v>45573.0</v>
      </c>
      <c r="L217" s="309"/>
      <c r="M217" s="309">
        <v>45603.0</v>
      </c>
      <c r="N217" s="304" t="s">
        <v>42</v>
      </c>
      <c r="O217" s="304"/>
      <c r="P217" s="309"/>
      <c r="Q217" s="309">
        <v>45694.0</v>
      </c>
      <c r="R217" s="308">
        <v>45694.0</v>
      </c>
      <c r="S217" s="304" t="s">
        <v>43</v>
      </c>
      <c r="T217" s="304" t="s">
        <v>669</v>
      </c>
    </row>
    <row r="218">
      <c r="A218" s="306" t="s">
        <v>670</v>
      </c>
      <c r="B218" s="309">
        <v>45366.0</v>
      </c>
      <c r="C218" s="308">
        <v>45366.0</v>
      </c>
      <c r="D218" s="304" t="s">
        <v>419</v>
      </c>
      <c r="E218" s="304" t="s">
        <v>33</v>
      </c>
      <c r="F218" s="304" t="s">
        <v>26</v>
      </c>
      <c r="G218" s="304" t="s">
        <v>671</v>
      </c>
      <c r="H218" s="304" t="s">
        <v>28</v>
      </c>
      <c r="I218" s="304" t="s">
        <v>36</v>
      </c>
      <c r="J218" s="304" t="s">
        <v>152</v>
      </c>
      <c r="K218" s="309">
        <v>46063.0</v>
      </c>
      <c r="L218" s="309"/>
      <c r="M218" s="309"/>
      <c r="N218" s="304" t="s">
        <v>64</v>
      </c>
      <c r="O218" s="304"/>
      <c r="P218" s="309"/>
      <c r="Q218" s="309"/>
      <c r="R218" s="308"/>
      <c r="S218" s="309"/>
      <c r="T218" s="304" t="s">
        <v>525</v>
      </c>
    </row>
    <row r="219">
      <c r="A219" s="306" t="s">
        <v>672</v>
      </c>
      <c r="B219" s="309">
        <v>45353.0</v>
      </c>
      <c r="C219" s="308">
        <v>45353.0</v>
      </c>
      <c r="D219" s="304" t="s">
        <v>147</v>
      </c>
      <c r="E219" s="304" t="s">
        <v>25</v>
      </c>
      <c r="F219" s="304" t="s">
        <v>26</v>
      </c>
      <c r="G219" s="304" t="s">
        <v>673</v>
      </c>
      <c r="H219" s="304" t="s">
        <v>28</v>
      </c>
      <c r="I219" s="304" t="s">
        <v>36</v>
      </c>
      <c r="J219" s="304" t="s">
        <v>75</v>
      </c>
      <c r="K219" s="309">
        <v>45353.0</v>
      </c>
      <c r="L219" s="309"/>
      <c r="M219" s="309"/>
      <c r="N219" s="304" t="s">
        <v>42</v>
      </c>
      <c r="O219" s="304"/>
      <c r="P219" s="309"/>
      <c r="Q219" s="307">
        <v>45362.0</v>
      </c>
      <c r="R219" s="308">
        <v>45362.0</v>
      </c>
      <c r="S219" s="304" t="s">
        <v>43</v>
      </c>
      <c r="T219" s="304" t="s">
        <v>674</v>
      </c>
    </row>
    <row r="220">
      <c r="A220" s="306" t="s">
        <v>675</v>
      </c>
      <c r="B220" s="309">
        <v>45352.0</v>
      </c>
      <c r="C220" s="308">
        <v>45352.0</v>
      </c>
      <c r="D220" s="304" t="s">
        <v>116</v>
      </c>
      <c r="E220" s="304" t="s">
        <v>25</v>
      </c>
      <c r="F220" s="304" t="s">
        <v>26</v>
      </c>
      <c r="G220" s="304" t="s">
        <v>676</v>
      </c>
      <c r="H220" s="304" t="s">
        <v>28</v>
      </c>
      <c r="I220" s="304" t="s">
        <v>61</v>
      </c>
      <c r="J220" s="304" t="s">
        <v>255</v>
      </c>
      <c r="K220" s="309">
        <v>45512.0</v>
      </c>
      <c r="L220" s="309"/>
      <c r="M220" s="309"/>
      <c r="N220" s="304" t="s">
        <v>343</v>
      </c>
      <c r="O220" s="304"/>
      <c r="P220" s="309"/>
      <c r="Q220" s="309"/>
      <c r="R220" s="308"/>
      <c r="S220" s="309"/>
      <c r="T220" s="304" t="s">
        <v>613</v>
      </c>
    </row>
    <row r="221">
      <c r="A221" s="304" t="s">
        <v>677</v>
      </c>
      <c r="B221" s="309">
        <v>45352.0</v>
      </c>
      <c r="C221" s="308">
        <v>45352.0</v>
      </c>
      <c r="D221" s="304" t="s">
        <v>415</v>
      </c>
      <c r="E221" s="304" t="s">
        <v>47</v>
      </c>
      <c r="F221" s="304" t="s">
        <v>47</v>
      </c>
      <c r="G221" s="304" t="s">
        <v>678</v>
      </c>
      <c r="H221" s="304" t="s">
        <v>60</v>
      </c>
      <c r="I221" s="304" t="s">
        <v>29</v>
      </c>
      <c r="J221" s="304" t="s">
        <v>128</v>
      </c>
      <c r="K221" s="309">
        <v>45352.0</v>
      </c>
      <c r="L221" s="309"/>
      <c r="M221" s="309">
        <v>45352.0</v>
      </c>
      <c r="N221" s="304" t="s">
        <v>42</v>
      </c>
      <c r="O221" s="304"/>
      <c r="P221" s="309"/>
      <c r="Q221" s="309">
        <v>45468.0</v>
      </c>
      <c r="R221" s="308">
        <v>45468.0</v>
      </c>
      <c r="S221" s="304" t="s">
        <v>679</v>
      </c>
      <c r="T221" s="304" t="s">
        <v>1211</v>
      </c>
    </row>
    <row r="222">
      <c r="A222" s="306" t="s">
        <v>681</v>
      </c>
      <c r="B222" s="309">
        <v>45338.0</v>
      </c>
      <c r="C222" s="308">
        <v>45338.0</v>
      </c>
      <c r="D222" s="304" t="s">
        <v>682</v>
      </c>
      <c r="E222" s="304" t="s">
        <v>25</v>
      </c>
      <c r="F222" s="304" t="s">
        <v>26</v>
      </c>
      <c r="G222" s="304" t="s">
        <v>683</v>
      </c>
      <c r="H222" s="304" t="s">
        <v>186</v>
      </c>
      <c r="I222" s="304" t="s">
        <v>36</v>
      </c>
      <c r="J222" s="304" t="s">
        <v>41</v>
      </c>
      <c r="K222" s="309">
        <v>45338.0</v>
      </c>
      <c r="L222" s="309"/>
      <c r="M222" s="309"/>
      <c r="N222" s="304" t="s">
        <v>64</v>
      </c>
      <c r="O222" s="304"/>
      <c r="P222" s="309"/>
      <c r="Q222" s="309"/>
      <c r="R222" s="308"/>
      <c r="S222" s="309"/>
      <c r="T222" s="304"/>
    </row>
    <row r="223">
      <c r="A223" s="306" t="s">
        <v>684</v>
      </c>
      <c r="B223" s="309">
        <v>45338.0</v>
      </c>
      <c r="C223" s="308">
        <v>45338.0</v>
      </c>
      <c r="D223" s="304" t="s">
        <v>685</v>
      </c>
      <c r="E223" s="304" t="s">
        <v>33</v>
      </c>
      <c r="F223" s="304" t="s">
        <v>26</v>
      </c>
      <c r="G223" s="304" t="s">
        <v>686</v>
      </c>
      <c r="H223" s="304" t="s">
        <v>28</v>
      </c>
      <c r="I223" s="304" t="s">
        <v>36</v>
      </c>
      <c r="J223" s="304"/>
      <c r="K223" s="309"/>
      <c r="L223" s="309"/>
      <c r="M223" s="309"/>
      <c r="N223" s="304" t="s">
        <v>30</v>
      </c>
      <c r="O223" s="304"/>
      <c r="P223" s="309"/>
      <c r="Q223" s="309"/>
      <c r="R223" s="308"/>
      <c r="S223" s="309"/>
      <c r="T223" s="304" t="s">
        <v>687</v>
      </c>
    </row>
    <row r="224">
      <c r="A224" s="306" t="s">
        <v>688</v>
      </c>
      <c r="B224" s="309">
        <v>45338.0</v>
      </c>
      <c r="C224" s="308">
        <v>45338.0</v>
      </c>
      <c r="D224" s="304" t="s">
        <v>689</v>
      </c>
      <c r="E224" s="304" t="s">
        <v>25</v>
      </c>
      <c r="F224" s="304" t="s">
        <v>26</v>
      </c>
      <c r="G224" s="304" t="s">
        <v>690</v>
      </c>
      <c r="H224" s="304" t="s">
        <v>28</v>
      </c>
      <c r="I224" s="304" t="s">
        <v>61</v>
      </c>
      <c r="J224" s="304" t="s">
        <v>41</v>
      </c>
      <c r="K224" s="309"/>
      <c r="L224" s="309"/>
      <c r="M224" s="309"/>
      <c r="N224" s="304" t="s">
        <v>118</v>
      </c>
      <c r="O224" s="304"/>
      <c r="P224" s="309"/>
      <c r="Q224" s="309">
        <v>45992.0</v>
      </c>
      <c r="R224" s="308">
        <v>45992.0</v>
      </c>
      <c r="S224" s="304" t="s">
        <v>119</v>
      </c>
      <c r="T224" s="304" t="s">
        <v>691</v>
      </c>
    </row>
    <row r="225">
      <c r="A225" s="306" t="s">
        <v>692</v>
      </c>
      <c r="B225" s="309">
        <v>45338.0</v>
      </c>
      <c r="C225" s="308">
        <v>45338.0</v>
      </c>
      <c r="D225" s="304" t="s">
        <v>213</v>
      </c>
      <c r="E225" s="304" t="s">
        <v>25</v>
      </c>
      <c r="F225" s="304" t="s">
        <v>26</v>
      </c>
      <c r="G225" s="304" t="s">
        <v>693</v>
      </c>
      <c r="H225" s="304" t="s">
        <v>186</v>
      </c>
      <c r="I225" s="304" t="s">
        <v>61</v>
      </c>
      <c r="J225" s="304" t="s">
        <v>41</v>
      </c>
      <c r="K225" s="309">
        <v>45338.0</v>
      </c>
      <c r="L225" s="309"/>
      <c r="M225" s="309"/>
      <c r="N225" s="304" t="s">
        <v>42</v>
      </c>
      <c r="O225" s="304"/>
      <c r="P225" s="309"/>
      <c r="Q225" s="309">
        <v>46055.0</v>
      </c>
      <c r="R225" s="308">
        <v>46055.0</v>
      </c>
      <c r="S225" s="304" t="s">
        <v>119</v>
      </c>
      <c r="T225" s="304" t="s">
        <v>477</v>
      </c>
    </row>
    <row r="226">
      <c r="A226" s="306" t="s">
        <v>694</v>
      </c>
      <c r="B226" s="309">
        <v>45338.0</v>
      </c>
      <c r="C226" s="308">
        <v>45338.0</v>
      </c>
      <c r="D226" s="304" t="s">
        <v>161</v>
      </c>
      <c r="E226" s="304" t="s">
        <v>25</v>
      </c>
      <c r="F226" s="304" t="s">
        <v>26</v>
      </c>
      <c r="G226" s="304" t="s">
        <v>695</v>
      </c>
      <c r="H226" s="304" t="s">
        <v>28</v>
      </c>
      <c r="I226" s="304" t="s">
        <v>36</v>
      </c>
      <c r="J226" s="304" t="s">
        <v>128</v>
      </c>
      <c r="K226" s="309">
        <v>45341.0</v>
      </c>
      <c r="L226" s="309"/>
      <c r="M226" s="309">
        <v>45341.0</v>
      </c>
      <c r="N226" s="304" t="s">
        <v>42</v>
      </c>
      <c r="O226" s="304"/>
      <c r="P226" s="309"/>
      <c r="Q226" s="309">
        <v>45565.0</v>
      </c>
      <c r="R226" s="308">
        <v>45565.0</v>
      </c>
      <c r="S226" s="304" t="s">
        <v>43</v>
      </c>
      <c r="T226" s="304" t="s">
        <v>696</v>
      </c>
    </row>
    <row r="227">
      <c r="A227" s="306" t="s">
        <v>697</v>
      </c>
      <c r="B227" s="309">
        <v>45337.0</v>
      </c>
      <c r="C227" s="308">
        <v>45337.0</v>
      </c>
      <c r="D227" s="304" t="s">
        <v>147</v>
      </c>
      <c r="E227" s="304" t="s">
        <v>25</v>
      </c>
      <c r="F227" s="304" t="s">
        <v>26</v>
      </c>
      <c r="G227" s="304" t="s">
        <v>698</v>
      </c>
      <c r="H227" s="304" t="s">
        <v>472</v>
      </c>
      <c r="I227" s="304" t="s">
        <v>61</v>
      </c>
      <c r="J227" s="304" t="s">
        <v>255</v>
      </c>
      <c r="K227" s="309">
        <v>45573.0</v>
      </c>
      <c r="L227" s="309"/>
      <c r="M227" s="309"/>
      <c r="N227" s="304" t="s">
        <v>42</v>
      </c>
      <c r="O227" s="304"/>
      <c r="P227" s="309"/>
      <c r="Q227" s="309">
        <v>45623.0</v>
      </c>
      <c r="R227" s="308">
        <v>45623.0</v>
      </c>
      <c r="S227" s="304" t="s">
        <v>119</v>
      </c>
      <c r="T227" s="304" t="s">
        <v>699</v>
      </c>
    </row>
    <row r="228">
      <c r="A228" s="306" t="s">
        <v>700</v>
      </c>
      <c r="B228" s="309">
        <v>45337.0</v>
      </c>
      <c r="C228" s="308">
        <v>45337.0</v>
      </c>
      <c r="D228" s="304" t="s">
        <v>24</v>
      </c>
      <c r="E228" s="304" t="s">
        <v>25</v>
      </c>
      <c r="F228" s="304" t="s">
        <v>26</v>
      </c>
      <c r="G228" s="304" t="s">
        <v>701</v>
      </c>
      <c r="H228" s="304" t="s">
        <v>60</v>
      </c>
      <c r="I228" s="304" t="s">
        <v>61</v>
      </c>
      <c r="J228" s="304" t="s">
        <v>128</v>
      </c>
      <c r="K228" s="309">
        <v>45338.0</v>
      </c>
      <c r="L228" s="309"/>
      <c r="M228" s="309">
        <v>45338.0</v>
      </c>
      <c r="N228" s="304" t="s">
        <v>42</v>
      </c>
      <c r="O228" s="304"/>
      <c r="P228" s="309"/>
      <c r="Q228" s="309">
        <v>45545.0</v>
      </c>
      <c r="R228" s="308">
        <v>45545.0</v>
      </c>
      <c r="S228" s="304" t="s">
        <v>43</v>
      </c>
      <c r="T228" s="304" t="s">
        <v>702</v>
      </c>
    </row>
    <row r="229">
      <c r="A229" s="306" t="s">
        <v>703</v>
      </c>
      <c r="B229" s="309">
        <v>45328.0</v>
      </c>
      <c r="C229" s="308">
        <v>45328.0</v>
      </c>
      <c r="D229" s="304" t="s">
        <v>154</v>
      </c>
      <c r="E229" s="304" t="s">
        <v>25</v>
      </c>
      <c r="F229" s="304" t="s">
        <v>26</v>
      </c>
      <c r="G229" s="304" t="s">
        <v>704</v>
      </c>
      <c r="H229" s="304" t="s">
        <v>186</v>
      </c>
      <c r="I229" s="304" t="s">
        <v>29</v>
      </c>
      <c r="J229" s="304" t="s">
        <v>41</v>
      </c>
      <c r="K229" s="309">
        <v>45328.0</v>
      </c>
      <c r="L229" s="309"/>
      <c r="M229" s="309">
        <v>45328.0</v>
      </c>
      <c r="N229" s="304" t="s">
        <v>42</v>
      </c>
      <c r="O229" s="304"/>
      <c r="P229" s="309"/>
      <c r="Q229" s="309">
        <v>45391.0</v>
      </c>
      <c r="R229" s="308">
        <v>45391.0</v>
      </c>
      <c r="S229" s="304" t="s">
        <v>124</v>
      </c>
      <c r="T229" s="304" t="s">
        <v>705</v>
      </c>
    </row>
    <row r="230">
      <c r="A230" s="306" t="s">
        <v>706</v>
      </c>
      <c r="B230" s="309">
        <v>45322.0</v>
      </c>
      <c r="C230" s="308">
        <v>45322.0</v>
      </c>
      <c r="D230" s="304" t="s">
        <v>147</v>
      </c>
      <c r="E230" s="304" t="s">
        <v>25</v>
      </c>
      <c r="F230" s="304" t="s">
        <v>26</v>
      </c>
      <c r="G230" s="304" t="s">
        <v>707</v>
      </c>
      <c r="H230" s="304" t="s">
        <v>28</v>
      </c>
      <c r="I230" s="304" t="s">
        <v>36</v>
      </c>
      <c r="J230" s="304" t="s">
        <v>75</v>
      </c>
      <c r="K230" s="309">
        <v>44959.0</v>
      </c>
      <c r="L230" s="309"/>
      <c r="M230" s="309"/>
      <c r="N230" s="304" t="s">
        <v>42</v>
      </c>
      <c r="O230" s="304">
        <v>54.73</v>
      </c>
      <c r="P230" s="309"/>
      <c r="Q230" s="309">
        <v>45825.0</v>
      </c>
      <c r="R230" s="308">
        <v>45825.0</v>
      </c>
      <c r="S230" s="309"/>
      <c r="T230" s="304" t="s">
        <v>708</v>
      </c>
    </row>
    <row r="231">
      <c r="A231" s="306" t="s">
        <v>709</v>
      </c>
      <c r="B231" s="309">
        <v>45313.0</v>
      </c>
      <c r="C231" s="308">
        <v>45313.0</v>
      </c>
      <c r="D231" s="304" t="s">
        <v>154</v>
      </c>
      <c r="E231" s="304" t="s">
        <v>25</v>
      </c>
      <c r="F231" s="304" t="s">
        <v>26</v>
      </c>
      <c r="G231" s="304" t="s">
        <v>710</v>
      </c>
      <c r="H231" s="304" t="s">
        <v>186</v>
      </c>
      <c r="I231" s="304" t="s">
        <v>36</v>
      </c>
      <c r="J231" s="304" t="s">
        <v>41</v>
      </c>
      <c r="K231" s="309">
        <v>45313.0</v>
      </c>
      <c r="L231" s="309"/>
      <c r="M231" s="309">
        <v>45399.0</v>
      </c>
      <c r="N231" s="304" t="s">
        <v>42</v>
      </c>
      <c r="O231" s="304"/>
      <c r="P231" s="309"/>
      <c r="Q231" s="309">
        <v>45504.0</v>
      </c>
      <c r="R231" s="308">
        <v>45504.0</v>
      </c>
      <c r="S231" s="304" t="s">
        <v>119</v>
      </c>
      <c r="T231" s="304" t="s">
        <v>711</v>
      </c>
    </row>
    <row r="232">
      <c r="A232" s="306" t="s">
        <v>712</v>
      </c>
      <c r="B232" s="309">
        <v>45294.0</v>
      </c>
      <c r="C232" s="308">
        <v>45294.0</v>
      </c>
      <c r="D232" s="304" t="s">
        <v>213</v>
      </c>
      <c r="E232" s="304" t="s">
        <v>25</v>
      </c>
      <c r="F232" s="304" t="s">
        <v>26</v>
      </c>
      <c r="G232" s="304" t="s">
        <v>713</v>
      </c>
      <c r="H232" s="304" t="s">
        <v>60</v>
      </c>
      <c r="I232" s="304" t="s">
        <v>61</v>
      </c>
      <c r="J232" s="304" t="s">
        <v>128</v>
      </c>
      <c r="K232" s="309">
        <v>45679.0</v>
      </c>
      <c r="L232" s="309">
        <v>45679.0</v>
      </c>
      <c r="M232" s="309">
        <v>45679.0</v>
      </c>
      <c r="N232" s="304" t="s">
        <v>42</v>
      </c>
      <c r="O232" s="311">
        <v>1770.6</v>
      </c>
      <c r="P232" s="309"/>
      <c r="Q232" s="309">
        <v>45699.0</v>
      </c>
      <c r="R232" s="308">
        <v>45699.0</v>
      </c>
      <c r="S232" s="304" t="s">
        <v>119</v>
      </c>
      <c r="T232" s="304" t="s">
        <v>714</v>
      </c>
    </row>
    <row r="233">
      <c r="A233" s="306" t="s">
        <v>715</v>
      </c>
      <c r="B233" s="309">
        <v>45282.0</v>
      </c>
      <c r="C233" s="308">
        <v>45282.0</v>
      </c>
      <c r="D233" s="304" t="s">
        <v>716</v>
      </c>
      <c r="E233" s="304" t="s">
        <v>33</v>
      </c>
      <c r="F233" s="304" t="s">
        <v>26</v>
      </c>
      <c r="G233" s="304" t="s">
        <v>717</v>
      </c>
      <c r="H233" s="304" t="s">
        <v>54</v>
      </c>
      <c r="I233" s="304" t="s">
        <v>29</v>
      </c>
      <c r="J233" s="304" t="s">
        <v>110</v>
      </c>
      <c r="K233" s="309"/>
      <c r="L233" s="309"/>
      <c r="M233" s="309"/>
      <c r="N233" s="304" t="s">
        <v>42</v>
      </c>
      <c r="O233" s="304"/>
      <c r="P233" s="309"/>
      <c r="Q233" s="309">
        <v>45523.0</v>
      </c>
      <c r="R233" s="308">
        <v>45523.0</v>
      </c>
      <c r="S233" s="304" t="s">
        <v>119</v>
      </c>
      <c r="T233" s="304" t="s">
        <v>718</v>
      </c>
    </row>
    <row r="234">
      <c r="A234" s="306" t="s">
        <v>719</v>
      </c>
      <c r="B234" s="309">
        <v>45265.0</v>
      </c>
      <c r="C234" s="308">
        <v>45265.0</v>
      </c>
      <c r="D234" s="304" t="s">
        <v>133</v>
      </c>
      <c r="E234" s="304" t="s">
        <v>33</v>
      </c>
      <c r="F234" s="304" t="s">
        <v>26</v>
      </c>
      <c r="G234" s="304" t="s">
        <v>720</v>
      </c>
      <c r="H234" s="304" t="s">
        <v>40</v>
      </c>
      <c r="I234" s="304" t="s">
        <v>36</v>
      </c>
      <c r="J234" s="304" t="s">
        <v>255</v>
      </c>
      <c r="K234" s="309"/>
      <c r="L234" s="309"/>
      <c r="M234" s="309"/>
      <c r="N234" s="304" t="s">
        <v>210</v>
      </c>
      <c r="O234" s="304"/>
      <c r="P234" s="309"/>
      <c r="Q234" s="309"/>
      <c r="R234" s="308"/>
      <c r="S234" s="304" t="s">
        <v>43</v>
      </c>
      <c r="T234" s="304" t="s">
        <v>721</v>
      </c>
    </row>
    <row r="235">
      <c r="A235" s="306" t="s">
        <v>722</v>
      </c>
      <c r="B235" s="309">
        <v>45265.0</v>
      </c>
      <c r="C235" s="308">
        <v>45265.0</v>
      </c>
      <c r="D235" s="304" t="s">
        <v>723</v>
      </c>
      <c r="E235" s="304" t="s">
        <v>25</v>
      </c>
      <c r="F235" s="304" t="s">
        <v>26</v>
      </c>
      <c r="G235" s="304" t="s">
        <v>724</v>
      </c>
      <c r="H235" s="304" t="s">
        <v>28</v>
      </c>
      <c r="I235" s="304" t="s">
        <v>61</v>
      </c>
      <c r="J235" s="304" t="s">
        <v>152</v>
      </c>
      <c r="K235" s="309">
        <v>46063.0</v>
      </c>
      <c r="L235" s="309"/>
      <c r="M235" s="309"/>
      <c r="N235" s="304" t="s">
        <v>64</v>
      </c>
      <c r="O235" s="304"/>
      <c r="P235" s="309"/>
      <c r="Q235" s="309"/>
      <c r="R235" s="308"/>
      <c r="S235" s="309"/>
      <c r="T235" s="304" t="s">
        <v>525</v>
      </c>
    </row>
    <row r="236">
      <c r="A236" s="306" t="s">
        <v>725</v>
      </c>
      <c r="B236" s="309">
        <v>45254.0</v>
      </c>
      <c r="C236" s="308">
        <v>45254.0</v>
      </c>
      <c r="D236" s="304" t="s">
        <v>726</v>
      </c>
      <c r="E236" s="304" t="s">
        <v>33</v>
      </c>
      <c r="F236" s="304" t="s">
        <v>26</v>
      </c>
      <c r="G236" s="304" t="s">
        <v>727</v>
      </c>
      <c r="H236" s="304" t="s">
        <v>60</v>
      </c>
      <c r="I236" s="304" t="s">
        <v>61</v>
      </c>
      <c r="J236" s="304"/>
      <c r="K236" s="309"/>
      <c r="L236" s="309"/>
      <c r="M236" s="309"/>
      <c r="N236" s="304" t="s">
        <v>30</v>
      </c>
      <c r="O236" s="304"/>
      <c r="P236" s="309"/>
      <c r="Q236" s="309"/>
      <c r="R236" s="308"/>
      <c r="S236" s="309"/>
      <c r="T236" s="304" t="s">
        <v>599</v>
      </c>
    </row>
    <row r="237">
      <c r="A237" s="306" t="s">
        <v>728</v>
      </c>
      <c r="B237" s="309">
        <v>45254.0</v>
      </c>
      <c r="C237" s="308">
        <v>45254.0</v>
      </c>
      <c r="D237" s="304" t="s">
        <v>32</v>
      </c>
      <c r="E237" s="304" t="s">
        <v>33</v>
      </c>
      <c r="F237" s="304" t="s">
        <v>26</v>
      </c>
      <c r="G237" s="304" t="s">
        <v>729</v>
      </c>
      <c r="H237" s="304" t="s">
        <v>28</v>
      </c>
      <c r="I237" s="304" t="s">
        <v>61</v>
      </c>
      <c r="J237" s="304"/>
      <c r="K237" s="309"/>
      <c r="L237" s="309"/>
      <c r="M237" s="309"/>
      <c r="N237" s="304" t="s">
        <v>30</v>
      </c>
      <c r="O237" s="304"/>
      <c r="P237" s="309"/>
      <c r="Q237" s="309"/>
      <c r="R237" s="308"/>
      <c r="S237" s="309"/>
      <c r="T237" s="304"/>
    </row>
    <row r="238">
      <c r="A238" s="306" t="s">
        <v>730</v>
      </c>
      <c r="B238" s="309">
        <v>45253.0</v>
      </c>
      <c r="C238" s="308">
        <v>45253.0</v>
      </c>
      <c r="D238" s="304" t="s">
        <v>327</v>
      </c>
      <c r="E238" s="304" t="s">
        <v>25</v>
      </c>
      <c r="F238" s="304" t="s">
        <v>26</v>
      </c>
      <c r="G238" s="304" t="s">
        <v>731</v>
      </c>
      <c r="H238" s="304" t="s">
        <v>28</v>
      </c>
      <c r="I238" s="304" t="s">
        <v>61</v>
      </c>
      <c r="J238" s="304" t="s">
        <v>110</v>
      </c>
      <c r="K238" s="309">
        <v>45253.0</v>
      </c>
      <c r="L238" s="309"/>
      <c r="M238" s="309"/>
      <c r="N238" s="304" t="s">
        <v>42</v>
      </c>
      <c r="O238" s="304"/>
      <c r="P238" s="309"/>
      <c r="Q238" s="309">
        <v>45254.0</v>
      </c>
      <c r="R238" s="308">
        <v>45254.0</v>
      </c>
      <c r="S238" s="304" t="s">
        <v>43</v>
      </c>
      <c r="T238" s="304" t="s">
        <v>732</v>
      </c>
    </row>
    <row r="239">
      <c r="A239" s="306" t="s">
        <v>733</v>
      </c>
      <c r="B239" s="309">
        <v>45250.0</v>
      </c>
      <c r="C239" s="308">
        <v>45250.0</v>
      </c>
      <c r="D239" s="304" t="s">
        <v>246</v>
      </c>
      <c r="E239" s="304" t="s">
        <v>33</v>
      </c>
      <c r="F239" s="304" t="s">
        <v>26</v>
      </c>
      <c r="G239" s="304" t="s">
        <v>734</v>
      </c>
      <c r="H239" s="304" t="s">
        <v>28</v>
      </c>
      <c r="I239" s="304" t="s">
        <v>29</v>
      </c>
      <c r="J239" s="304" t="s">
        <v>128</v>
      </c>
      <c r="K239" s="309">
        <v>45250.0</v>
      </c>
      <c r="L239" s="309"/>
      <c r="M239" s="309"/>
      <c r="N239" s="304" t="s">
        <v>42</v>
      </c>
      <c r="O239" s="304"/>
      <c r="P239" s="309"/>
      <c r="Q239" s="309">
        <v>45293.0</v>
      </c>
      <c r="R239" s="308">
        <v>45293.0</v>
      </c>
      <c r="S239" s="304" t="s">
        <v>227</v>
      </c>
      <c r="T239" s="304" t="s">
        <v>735</v>
      </c>
    </row>
    <row r="240">
      <c r="A240" s="306" t="s">
        <v>736</v>
      </c>
      <c r="B240" s="309">
        <v>45250.0</v>
      </c>
      <c r="C240" s="308">
        <v>45250.0</v>
      </c>
      <c r="D240" s="304" t="s">
        <v>246</v>
      </c>
      <c r="E240" s="304" t="s">
        <v>33</v>
      </c>
      <c r="F240" s="304" t="s">
        <v>26</v>
      </c>
      <c r="G240" s="304" t="s">
        <v>737</v>
      </c>
      <c r="H240" s="304" t="s">
        <v>28</v>
      </c>
      <c r="I240" s="304" t="s">
        <v>29</v>
      </c>
      <c r="J240" s="304" t="s">
        <v>128</v>
      </c>
      <c r="K240" s="309">
        <v>45250.0</v>
      </c>
      <c r="L240" s="309"/>
      <c r="M240" s="309">
        <v>45250.0</v>
      </c>
      <c r="N240" s="304" t="s">
        <v>42</v>
      </c>
      <c r="O240" s="304"/>
      <c r="P240" s="309"/>
      <c r="Q240" s="309">
        <v>45509.0</v>
      </c>
      <c r="R240" s="308">
        <v>45509.0</v>
      </c>
      <c r="S240" s="304" t="s">
        <v>119</v>
      </c>
      <c r="T240" s="304" t="s">
        <v>738</v>
      </c>
    </row>
    <row r="241">
      <c r="A241" s="306" t="s">
        <v>739</v>
      </c>
      <c r="B241" s="309">
        <v>45244.0</v>
      </c>
      <c r="C241" s="308">
        <v>45244.0</v>
      </c>
      <c r="D241" s="304" t="s">
        <v>213</v>
      </c>
      <c r="E241" s="304" t="s">
        <v>25</v>
      </c>
      <c r="F241" s="304" t="s">
        <v>26</v>
      </c>
      <c r="G241" s="304" t="s">
        <v>740</v>
      </c>
      <c r="H241" s="304" t="s">
        <v>186</v>
      </c>
      <c r="I241" s="304" t="s">
        <v>36</v>
      </c>
      <c r="J241" s="304" t="s">
        <v>110</v>
      </c>
      <c r="K241" s="309">
        <v>45246.0</v>
      </c>
      <c r="L241" s="309"/>
      <c r="M241" s="309"/>
      <c r="N241" s="304" t="s">
        <v>42</v>
      </c>
      <c r="O241" s="304"/>
      <c r="P241" s="309"/>
      <c r="Q241" s="309">
        <v>45253.0</v>
      </c>
      <c r="R241" s="308">
        <v>45253.0</v>
      </c>
      <c r="S241" s="304" t="s">
        <v>227</v>
      </c>
      <c r="T241" s="304" t="s">
        <v>741</v>
      </c>
    </row>
    <row r="242">
      <c r="A242" s="306" t="s">
        <v>742</v>
      </c>
      <c r="B242" s="309">
        <v>45241.0</v>
      </c>
      <c r="C242" s="308">
        <v>45241.0</v>
      </c>
      <c r="D242" s="304" t="s">
        <v>161</v>
      </c>
      <c r="E242" s="304" t="s">
        <v>310</v>
      </c>
      <c r="F242" s="304" t="s">
        <v>26</v>
      </c>
      <c r="G242" s="304" t="s">
        <v>743</v>
      </c>
      <c r="H242" s="304" t="s">
        <v>60</v>
      </c>
      <c r="I242" s="304" t="s">
        <v>29</v>
      </c>
      <c r="J242" s="304" t="s">
        <v>152</v>
      </c>
      <c r="K242" s="309">
        <v>45391.0</v>
      </c>
      <c r="L242" s="309"/>
      <c r="M242" s="309">
        <v>45391.0</v>
      </c>
      <c r="N242" s="304" t="s">
        <v>42</v>
      </c>
      <c r="O242" s="304"/>
      <c r="P242" s="309"/>
      <c r="Q242" s="309">
        <v>45506.0</v>
      </c>
      <c r="R242" s="308">
        <v>45506.0</v>
      </c>
      <c r="S242" s="304" t="s">
        <v>679</v>
      </c>
      <c r="T242" s="304" t="s">
        <v>744</v>
      </c>
    </row>
    <row r="243">
      <c r="A243" s="304" t="s">
        <v>76</v>
      </c>
      <c r="B243" s="309">
        <v>45240.0</v>
      </c>
      <c r="C243" s="308">
        <v>45240.0</v>
      </c>
      <c r="D243" s="304" t="s">
        <v>745</v>
      </c>
      <c r="E243" s="304" t="s">
        <v>25</v>
      </c>
      <c r="F243" s="304" t="s">
        <v>26</v>
      </c>
      <c r="G243" s="304" t="s">
        <v>746</v>
      </c>
      <c r="H243" s="304" t="s">
        <v>186</v>
      </c>
      <c r="I243" s="304" t="s">
        <v>36</v>
      </c>
      <c r="J243" s="304" t="s">
        <v>110</v>
      </c>
      <c r="K243" s="309">
        <v>45240.0</v>
      </c>
      <c r="L243" s="309"/>
      <c r="M243" s="309"/>
      <c r="N243" s="304" t="s">
        <v>42</v>
      </c>
      <c r="O243" s="304"/>
      <c r="P243" s="309"/>
      <c r="Q243" s="309">
        <v>45240.0</v>
      </c>
      <c r="R243" s="308">
        <v>45240.0</v>
      </c>
      <c r="S243" s="304" t="s">
        <v>119</v>
      </c>
      <c r="T243" s="304" t="s">
        <v>747</v>
      </c>
    </row>
    <row r="244">
      <c r="A244" s="306" t="s">
        <v>748</v>
      </c>
      <c r="B244" s="309">
        <v>45239.0</v>
      </c>
      <c r="C244" s="308">
        <v>45239.0</v>
      </c>
      <c r="D244" s="304" t="s">
        <v>327</v>
      </c>
      <c r="E244" s="304" t="s">
        <v>25</v>
      </c>
      <c r="F244" s="304" t="s">
        <v>26</v>
      </c>
      <c r="G244" s="304" t="s">
        <v>749</v>
      </c>
      <c r="H244" s="304" t="s">
        <v>49</v>
      </c>
      <c r="I244" s="304" t="s">
        <v>36</v>
      </c>
      <c r="J244" s="304" t="s">
        <v>110</v>
      </c>
      <c r="K244" s="309">
        <v>44942.0</v>
      </c>
      <c r="L244" s="309"/>
      <c r="M244" s="309"/>
      <c r="N244" s="304" t="s">
        <v>42</v>
      </c>
      <c r="O244" s="304"/>
      <c r="P244" s="309"/>
      <c r="Q244" s="309">
        <v>45253.0</v>
      </c>
      <c r="R244" s="308">
        <v>45253.0</v>
      </c>
      <c r="S244" s="304" t="s">
        <v>43</v>
      </c>
      <c r="T244" s="304" t="s">
        <v>750</v>
      </c>
    </row>
    <row r="245">
      <c r="A245" s="306" t="s">
        <v>751</v>
      </c>
      <c r="B245" s="309">
        <v>45230.0</v>
      </c>
      <c r="C245" s="308">
        <v>45230.0</v>
      </c>
      <c r="D245" s="304" t="s">
        <v>91</v>
      </c>
      <c r="E245" s="304" t="s">
        <v>25</v>
      </c>
      <c r="F245" s="304" t="s">
        <v>26</v>
      </c>
      <c r="G245" s="304" t="s">
        <v>752</v>
      </c>
      <c r="H245" s="304" t="s">
        <v>60</v>
      </c>
      <c r="I245" s="304" t="s">
        <v>29</v>
      </c>
      <c r="J245" s="304" t="s">
        <v>110</v>
      </c>
      <c r="K245" s="309">
        <v>45265.0</v>
      </c>
      <c r="L245" s="309">
        <v>45323.0</v>
      </c>
      <c r="M245" s="309">
        <v>45323.0</v>
      </c>
      <c r="N245" s="304" t="s">
        <v>42</v>
      </c>
      <c r="O245" s="304">
        <v>700.25</v>
      </c>
      <c r="P245" s="309">
        <v>45915.0</v>
      </c>
      <c r="Q245" s="309">
        <v>46139.0</v>
      </c>
      <c r="R245" s="308">
        <v>46139.0</v>
      </c>
      <c r="S245" s="304" t="s">
        <v>753</v>
      </c>
      <c r="T245" s="304" t="s">
        <v>754</v>
      </c>
    </row>
    <row r="246">
      <c r="A246" s="306" t="s">
        <v>755</v>
      </c>
      <c r="B246" s="309">
        <v>45217.0</v>
      </c>
      <c r="C246" s="308">
        <v>45217.0</v>
      </c>
      <c r="D246" s="304" t="s">
        <v>179</v>
      </c>
      <c r="E246" s="304"/>
      <c r="F246" s="304" t="s">
        <v>26</v>
      </c>
      <c r="G246" s="304" t="s">
        <v>756</v>
      </c>
      <c r="H246" s="304" t="s">
        <v>49</v>
      </c>
      <c r="I246" s="304" t="s">
        <v>61</v>
      </c>
      <c r="J246" s="304" t="s">
        <v>41</v>
      </c>
      <c r="K246" s="309">
        <v>45217.0</v>
      </c>
      <c r="L246" s="309"/>
      <c r="M246" s="309"/>
      <c r="N246" s="304" t="s">
        <v>118</v>
      </c>
      <c r="O246" s="304"/>
      <c r="P246" s="309"/>
      <c r="Q246" s="309">
        <v>46112.0</v>
      </c>
      <c r="R246" s="308">
        <v>46112.0</v>
      </c>
      <c r="S246" s="304" t="s">
        <v>124</v>
      </c>
      <c r="T246" s="304"/>
    </row>
    <row r="247">
      <c r="A247" s="306" t="s">
        <v>757</v>
      </c>
      <c r="B247" s="309">
        <v>45205.0</v>
      </c>
      <c r="C247" s="308">
        <v>45205.0</v>
      </c>
      <c r="D247" s="304" t="s">
        <v>723</v>
      </c>
      <c r="E247" s="304" t="s">
        <v>25</v>
      </c>
      <c r="F247" s="304" t="s">
        <v>26</v>
      </c>
      <c r="G247" s="304" t="s">
        <v>758</v>
      </c>
      <c r="H247" s="304" t="s">
        <v>28</v>
      </c>
      <c r="I247" s="304" t="s">
        <v>61</v>
      </c>
      <c r="J247" s="304" t="s">
        <v>152</v>
      </c>
      <c r="K247" s="309">
        <v>46063.0</v>
      </c>
      <c r="L247" s="309"/>
      <c r="M247" s="309"/>
      <c r="N247" s="304" t="s">
        <v>64</v>
      </c>
      <c r="O247" s="304"/>
      <c r="P247" s="309"/>
      <c r="Q247" s="309"/>
      <c r="R247" s="308"/>
      <c r="S247" s="309"/>
      <c r="T247" s="304" t="s">
        <v>525</v>
      </c>
    </row>
    <row r="248">
      <c r="A248" s="306" t="s">
        <v>759</v>
      </c>
      <c r="B248" s="309">
        <v>45188.0</v>
      </c>
      <c r="C248" s="308">
        <v>45188.0</v>
      </c>
      <c r="D248" s="304" t="s">
        <v>133</v>
      </c>
      <c r="E248" s="304" t="s">
        <v>33</v>
      </c>
      <c r="F248" s="304" t="s">
        <v>26</v>
      </c>
      <c r="G248" s="304" t="s">
        <v>760</v>
      </c>
      <c r="H248" s="304" t="s">
        <v>28</v>
      </c>
      <c r="I248" s="304" t="s">
        <v>61</v>
      </c>
      <c r="J248" s="304"/>
      <c r="K248" s="309"/>
      <c r="L248" s="309"/>
      <c r="M248" s="309"/>
      <c r="N248" s="304" t="s">
        <v>30</v>
      </c>
      <c r="O248" s="304"/>
      <c r="P248" s="309"/>
      <c r="Q248" s="309"/>
      <c r="R248" s="308"/>
      <c r="S248" s="309"/>
      <c r="T248" s="304"/>
    </row>
    <row r="249">
      <c r="A249" s="306" t="s">
        <v>761</v>
      </c>
      <c r="B249" s="309">
        <v>45004.0</v>
      </c>
      <c r="C249" s="308">
        <v>45004.0</v>
      </c>
      <c r="D249" s="304" t="s">
        <v>133</v>
      </c>
      <c r="E249" s="304" t="s">
        <v>33</v>
      </c>
      <c r="F249" s="304" t="s">
        <v>26</v>
      </c>
      <c r="G249" s="304" t="s">
        <v>762</v>
      </c>
      <c r="H249" s="304" t="s">
        <v>186</v>
      </c>
      <c r="I249" s="304" t="s">
        <v>36</v>
      </c>
      <c r="J249" s="304" t="s">
        <v>497</v>
      </c>
      <c r="K249" s="309">
        <v>45231.0</v>
      </c>
      <c r="L249" s="309"/>
      <c r="M249" s="309"/>
      <c r="N249" s="304" t="s">
        <v>42</v>
      </c>
      <c r="O249" s="304"/>
      <c r="P249" s="309"/>
      <c r="Q249" s="309">
        <v>45356.0</v>
      </c>
      <c r="R249" s="308">
        <v>45356.0</v>
      </c>
      <c r="S249" s="304" t="s">
        <v>119</v>
      </c>
      <c r="T249" s="304" t="s">
        <v>763</v>
      </c>
    </row>
    <row r="250">
      <c r="A250" s="306" t="s">
        <v>764</v>
      </c>
      <c r="B250" s="309">
        <v>45188.0</v>
      </c>
      <c r="C250" s="308">
        <v>45188.0</v>
      </c>
      <c r="D250" s="304" t="s">
        <v>161</v>
      </c>
      <c r="E250" s="304" t="s">
        <v>25</v>
      </c>
      <c r="F250" s="304" t="s">
        <v>26</v>
      </c>
      <c r="G250" s="304" t="s">
        <v>765</v>
      </c>
      <c r="H250" s="304" t="s">
        <v>186</v>
      </c>
      <c r="I250" s="304" t="s">
        <v>36</v>
      </c>
      <c r="J250" s="304" t="s">
        <v>255</v>
      </c>
      <c r="K250" s="309">
        <v>45240.0</v>
      </c>
      <c r="L250" s="309"/>
      <c r="M250" s="309">
        <v>45240.0</v>
      </c>
      <c r="N250" s="304" t="s">
        <v>42</v>
      </c>
      <c r="O250" s="304"/>
      <c r="P250" s="309"/>
      <c r="Q250" s="309">
        <v>45616.0</v>
      </c>
      <c r="R250" s="308">
        <v>45616.0</v>
      </c>
      <c r="S250" s="304" t="s">
        <v>119</v>
      </c>
      <c r="T250" s="304" t="s">
        <v>766</v>
      </c>
    </row>
    <row r="251">
      <c r="A251" s="306" t="s">
        <v>767</v>
      </c>
      <c r="B251" s="309">
        <v>45181.0</v>
      </c>
      <c r="C251" s="308">
        <v>45181.0</v>
      </c>
      <c r="D251" s="304" t="s">
        <v>108</v>
      </c>
      <c r="E251" s="304" t="s">
        <v>25</v>
      </c>
      <c r="F251" s="304" t="s">
        <v>26</v>
      </c>
      <c r="G251" s="304" t="s">
        <v>768</v>
      </c>
      <c r="H251" s="304" t="s">
        <v>49</v>
      </c>
      <c r="I251" s="304" t="s">
        <v>29</v>
      </c>
      <c r="J251" s="304" t="s">
        <v>128</v>
      </c>
      <c r="K251" s="307">
        <v>45182.0</v>
      </c>
      <c r="L251" s="309"/>
      <c r="M251" s="309"/>
      <c r="N251" s="304" t="s">
        <v>42</v>
      </c>
      <c r="O251" s="304"/>
      <c r="P251" s="309"/>
      <c r="Q251" s="309">
        <v>45182.0</v>
      </c>
      <c r="R251" s="308">
        <v>45182.0</v>
      </c>
      <c r="S251" s="304" t="s">
        <v>119</v>
      </c>
      <c r="T251" s="304"/>
    </row>
    <row r="252">
      <c r="A252" s="306" t="s">
        <v>769</v>
      </c>
      <c r="B252" s="309">
        <v>45177.0</v>
      </c>
      <c r="C252" s="308">
        <v>45177.0</v>
      </c>
      <c r="D252" s="304" t="s">
        <v>38</v>
      </c>
      <c r="E252" s="304" t="s">
        <v>33</v>
      </c>
      <c r="F252" s="304" t="s">
        <v>26</v>
      </c>
      <c r="G252" s="304" t="s">
        <v>770</v>
      </c>
      <c r="H252" s="304" t="s">
        <v>35</v>
      </c>
      <c r="I252" s="304" t="s">
        <v>36</v>
      </c>
      <c r="J252" s="304" t="s">
        <v>128</v>
      </c>
      <c r="K252" s="307">
        <v>45233.0</v>
      </c>
      <c r="L252" s="309"/>
      <c r="M252" s="309"/>
      <c r="N252" s="304" t="s">
        <v>42</v>
      </c>
      <c r="O252" s="304"/>
      <c r="P252" s="309"/>
      <c r="Q252" s="309">
        <v>45337.0</v>
      </c>
      <c r="R252" s="308">
        <v>45337.0</v>
      </c>
      <c r="S252" s="304" t="s">
        <v>43</v>
      </c>
      <c r="T252" s="304" t="s">
        <v>771</v>
      </c>
    </row>
    <row r="253">
      <c r="A253" s="306" t="s">
        <v>772</v>
      </c>
      <c r="B253" s="309">
        <v>45174.0</v>
      </c>
      <c r="C253" s="308">
        <v>45174.0</v>
      </c>
      <c r="D253" s="304" t="s">
        <v>165</v>
      </c>
      <c r="E253" s="304" t="s">
        <v>33</v>
      </c>
      <c r="F253" s="304" t="s">
        <v>26</v>
      </c>
      <c r="G253" s="304" t="s">
        <v>773</v>
      </c>
      <c r="H253" s="304" t="s">
        <v>28</v>
      </c>
      <c r="I253" s="304" t="s">
        <v>61</v>
      </c>
      <c r="J253" s="304"/>
      <c r="K253" s="309"/>
      <c r="L253" s="309"/>
      <c r="M253" s="309"/>
      <c r="N253" s="304" t="s">
        <v>30</v>
      </c>
      <c r="O253" s="304"/>
      <c r="P253" s="309"/>
      <c r="Q253" s="309"/>
      <c r="R253" s="308"/>
      <c r="S253" s="309"/>
      <c r="T253" s="304"/>
    </row>
    <row r="254">
      <c r="A254" s="306" t="s">
        <v>774</v>
      </c>
      <c r="B254" s="309">
        <v>45166.0</v>
      </c>
      <c r="C254" s="308">
        <v>45166.0</v>
      </c>
      <c r="D254" s="304" t="s">
        <v>682</v>
      </c>
      <c r="E254" s="304" t="s">
        <v>25</v>
      </c>
      <c r="F254" s="304" t="s">
        <v>26</v>
      </c>
      <c r="G254" s="304" t="s">
        <v>775</v>
      </c>
      <c r="H254" s="304" t="s">
        <v>28</v>
      </c>
      <c r="I254" s="304" t="s">
        <v>29</v>
      </c>
      <c r="J254" s="304" t="s">
        <v>41</v>
      </c>
      <c r="K254" s="309">
        <v>45166.0</v>
      </c>
      <c r="L254" s="309"/>
      <c r="M254" s="309"/>
      <c r="N254" s="304" t="s">
        <v>42</v>
      </c>
      <c r="O254" s="311">
        <v>3492.57</v>
      </c>
      <c r="P254" s="309"/>
      <c r="Q254" s="309">
        <v>45166.0</v>
      </c>
      <c r="R254" s="308">
        <v>45166.0</v>
      </c>
      <c r="S254" s="304" t="s">
        <v>96</v>
      </c>
      <c r="T254" s="304" t="s">
        <v>776</v>
      </c>
    </row>
    <row r="255">
      <c r="A255" s="306" t="s">
        <v>777</v>
      </c>
      <c r="B255" s="309">
        <v>45156.0</v>
      </c>
      <c r="C255" s="308">
        <v>45156.0</v>
      </c>
      <c r="D255" s="304" t="s">
        <v>459</v>
      </c>
      <c r="E255" s="304" t="s">
        <v>25</v>
      </c>
      <c r="F255" s="304" t="s">
        <v>26</v>
      </c>
      <c r="G255" s="304" t="s">
        <v>778</v>
      </c>
      <c r="H255" s="304" t="s">
        <v>49</v>
      </c>
      <c r="I255" s="304" t="s">
        <v>36</v>
      </c>
      <c r="J255" s="304" t="s">
        <v>255</v>
      </c>
      <c r="K255" s="309">
        <v>45240.0</v>
      </c>
      <c r="L255" s="309"/>
      <c r="M255" s="309"/>
      <c r="N255" s="304" t="s">
        <v>42</v>
      </c>
      <c r="O255" s="304"/>
      <c r="P255" s="309"/>
      <c r="Q255" s="309">
        <v>45252.0</v>
      </c>
      <c r="R255" s="308">
        <v>45252.0</v>
      </c>
      <c r="S255" s="304" t="s">
        <v>227</v>
      </c>
      <c r="T255" s="304" t="s">
        <v>779</v>
      </c>
    </row>
    <row r="256">
      <c r="A256" s="304" t="s">
        <v>76</v>
      </c>
      <c r="B256" s="309">
        <v>45147.0</v>
      </c>
      <c r="C256" s="308">
        <v>45147.0</v>
      </c>
      <c r="D256" s="304" t="s">
        <v>161</v>
      </c>
      <c r="E256" s="304" t="s">
        <v>33</v>
      </c>
      <c r="F256" s="304" t="s">
        <v>26</v>
      </c>
      <c r="G256" s="304" t="s">
        <v>780</v>
      </c>
      <c r="H256" s="304" t="s">
        <v>35</v>
      </c>
      <c r="I256" s="304" t="s">
        <v>29</v>
      </c>
      <c r="J256" s="304" t="s">
        <v>41</v>
      </c>
      <c r="K256" s="309">
        <v>45147.0</v>
      </c>
      <c r="L256" s="309"/>
      <c r="M256" s="309"/>
      <c r="N256" s="304" t="s">
        <v>42</v>
      </c>
      <c r="O256" s="304"/>
      <c r="P256" s="309"/>
      <c r="Q256" s="309">
        <v>45147.0</v>
      </c>
      <c r="R256" s="308">
        <v>45147.0</v>
      </c>
      <c r="S256" s="304" t="s">
        <v>96</v>
      </c>
      <c r="T256" s="304" t="s">
        <v>781</v>
      </c>
    </row>
    <row r="257">
      <c r="A257" s="306" t="s">
        <v>782</v>
      </c>
      <c r="B257" s="309">
        <v>45142.0</v>
      </c>
      <c r="C257" s="308">
        <v>45142.0</v>
      </c>
      <c r="D257" s="304" t="s">
        <v>213</v>
      </c>
      <c r="E257" s="304" t="s">
        <v>25</v>
      </c>
      <c r="F257" s="304" t="s">
        <v>26</v>
      </c>
      <c r="G257" s="304" t="s">
        <v>783</v>
      </c>
      <c r="H257" s="304" t="s">
        <v>186</v>
      </c>
      <c r="I257" s="304" t="s">
        <v>36</v>
      </c>
      <c r="J257" s="304" t="s">
        <v>128</v>
      </c>
      <c r="K257" s="309">
        <v>45156.0</v>
      </c>
      <c r="L257" s="309"/>
      <c r="M257" s="309"/>
      <c r="N257" s="304" t="s">
        <v>42</v>
      </c>
      <c r="O257" s="304"/>
      <c r="P257" s="309"/>
      <c r="Q257" s="309">
        <v>45177.0</v>
      </c>
      <c r="R257" s="308">
        <v>45177.0</v>
      </c>
      <c r="S257" s="304" t="s">
        <v>43</v>
      </c>
      <c r="T257" s="304" t="s">
        <v>784</v>
      </c>
    </row>
    <row r="258">
      <c r="A258" s="306" t="s">
        <v>785</v>
      </c>
      <c r="B258" s="309">
        <v>45141.0</v>
      </c>
      <c r="C258" s="308">
        <v>45141.0</v>
      </c>
      <c r="D258" s="304" t="s">
        <v>161</v>
      </c>
      <c r="E258" s="304" t="s">
        <v>33</v>
      </c>
      <c r="F258" s="304" t="s">
        <v>26</v>
      </c>
      <c r="G258" s="304" t="s">
        <v>786</v>
      </c>
      <c r="H258" s="304" t="s">
        <v>40</v>
      </c>
      <c r="I258" s="304" t="s">
        <v>36</v>
      </c>
      <c r="J258" s="304" t="s">
        <v>41</v>
      </c>
      <c r="K258" s="309"/>
      <c r="L258" s="309"/>
      <c r="M258" s="309"/>
      <c r="N258" s="304" t="s">
        <v>343</v>
      </c>
      <c r="O258" s="304"/>
      <c r="P258" s="309"/>
      <c r="Q258" s="309"/>
      <c r="R258" s="308"/>
      <c r="S258" s="309"/>
      <c r="T258" s="304" t="s">
        <v>787</v>
      </c>
    </row>
    <row r="259">
      <c r="A259" s="306" t="s">
        <v>788</v>
      </c>
      <c r="B259" s="309">
        <v>45140.0</v>
      </c>
      <c r="C259" s="308">
        <v>45140.0</v>
      </c>
      <c r="D259" s="304" t="s">
        <v>309</v>
      </c>
      <c r="E259" s="304" t="s">
        <v>310</v>
      </c>
      <c r="F259" s="304" t="s">
        <v>26</v>
      </c>
      <c r="G259" s="304" t="s">
        <v>789</v>
      </c>
      <c r="H259" s="304" t="s">
        <v>49</v>
      </c>
      <c r="I259" s="304" t="s">
        <v>36</v>
      </c>
      <c r="J259" s="304" t="s">
        <v>41</v>
      </c>
      <c r="K259" s="309">
        <v>45148.0</v>
      </c>
      <c r="L259" s="309"/>
      <c r="M259" s="309"/>
      <c r="N259" s="304" t="s">
        <v>42</v>
      </c>
      <c r="O259" s="304"/>
      <c r="P259" s="309"/>
      <c r="Q259" s="309">
        <v>45152.0</v>
      </c>
      <c r="R259" s="308">
        <v>45152.0</v>
      </c>
      <c r="S259" s="304" t="s">
        <v>119</v>
      </c>
      <c r="T259" s="304" t="s">
        <v>790</v>
      </c>
    </row>
    <row r="260">
      <c r="A260" s="306" t="s">
        <v>791</v>
      </c>
      <c r="B260" s="309">
        <v>45118.0</v>
      </c>
      <c r="C260" s="308">
        <v>45118.0</v>
      </c>
      <c r="D260" s="304" t="s">
        <v>38</v>
      </c>
      <c r="E260" s="304" t="s">
        <v>33</v>
      </c>
      <c r="F260" s="304" t="s">
        <v>26</v>
      </c>
      <c r="G260" s="304" t="s">
        <v>792</v>
      </c>
      <c r="H260" s="304" t="s">
        <v>40</v>
      </c>
      <c r="I260" s="304" t="s">
        <v>36</v>
      </c>
      <c r="J260" s="304" t="s">
        <v>128</v>
      </c>
      <c r="K260" s="309">
        <v>45140.0</v>
      </c>
      <c r="L260" s="309"/>
      <c r="M260" s="309"/>
      <c r="N260" s="304" t="s">
        <v>55</v>
      </c>
      <c r="O260" s="304"/>
      <c r="P260" s="309"/>
      <c r="Q260" s="309"/>
      <c r="R260" s="308"/>
      <c r="S260" s="304" t="s">
        <v>119</v>
      </c>
      <c r="T260" s="304" t="s">
        <v>793</v>
      </c>
    </row>
    <row r="261">
      <c r="A261" s="306" t="s">
        <v>794</v>
      </c>
      <c r="B261" s="309">
        <v>45117.0</v>
      </c>
      <c r="C261" s="308">
        <v>45117.0</v>
      </c>
      <c r="D261" s="304" t="s">
        <v>795</v>
      </c>
      <c r="E261" s="304" t="s">
        <v>25</v>
      </c>
      <c r="F261" s="304" t="s">
        <v>26</v>
      </c>
      <c r="G261" s="304" t="s">
        <v>796</v>
      </c>
      <c r="H261" s="304" t="s">
        <v>28</v>
      </c>
      <c r="I261" s="304" t="s">
        <v>29</v>
      </c>
      <c r="J261" s="304" t="s">
        <v>497</v>
      </c>
      <c r="K261" s="309">
        <v>45217.0</v>
      </c>
      <c r="L261" s="309"/>
      <c r="M261" s="309">
        <v>45224.0</v>
      </c>
      <c r="N261" s="304" t="s">
        <v>42</v>
      </c>
      <c r="O261" s="304"/>
      <c r="P261" s="309"/>
      <c r="Q261" s="309">
        <v>45497.0</v>
      </c>
      <c r="R261" s="308">
        <v>45497.0</v>
      </c>
      <c r="S261" s="304" t="s">
        <v>797</v>
      </c>
      <c r="T261" s="304" t="s">
        <v>798</v>
      </c>
    </row>
    <row r="262">
      <c r="A262" s="304" t="s">
        <v>76</v>
      </c>
      <c r="B262" s="309">
        <v>45112.0</v>
      </c>
      <c r="C262" s="308">
        <v>45112.0</v>
      </c>
      <c r="D262" s="304" t="s">
        <v>161</v>
      </c>
      <c r="E262" s="304" t="s">
        <v>33</v>
      </c>
      <c r="F262" s="304" t="s">
        <v>26</v>
      </c>
      <c r="G262" s="304" t="s">
        <v>799</v>
      </c>
      <c r="H262" s="304" t="s">
        <v>87</v>
      </c>
      <c r="I262" s="304" t="s">
        <v>29</v>
      </c>
      <c r="J262" s="304" t="s">
        <v>497</v>
      </c>
      <c r="K262" s="309">
        <v>45112.0</v>
      </c>
      <c r="L262" s="309"/>
      <c r="M262" s="309"/>
      <c r="N262" s="304" t="s">
        <v>42</v>
      </c>
      <c r="O262" s="304"/>
      <c r="P262" s="309"/>
      <c r="Q262" s="309">
        <v>45112.0</v>
      </c>
      <c r="R262" s="308">
        <v>45112.0</v>
      </c>
      <c r="S262" s="304" t="s">
        <v>96</v>
      </c>
      <c r="T262" s="304" t="s">
        <v>800</v>
      </c>
    </row>
    <row r="263">
      <c r="A263" s="306" t="s">
        <v>801</v>
      </c>
      <c r="B263" s="309">
        <v>45112.0</v>
      </c>
      <c r="C263" s="308">
        <v>45112.0</v>
      </c>
      <c r="D263" s="304" t="s">
        <v>561</v>
      </c>
      <c r="E263" s="304" t="s">
        <v>25</v>
      </c>
      <c r="F263" s="304" t="s">
        <v>26</v>
      </c>
      <c r="G263" s="304" t="s">
        <v>802</v>
      </c>
      <c r="H263" s="304" t="s">
        <v>28</v>
      </c>
      <c r="I263" s="304" t="s">
        <v>36</v>
      </c>
      <c r="J263" s="304" t="s">
        <v>75</v>
      </c>
      <c r="K263" s="309">
        <v>45512.0</v>
      </c>
      <c r="L263" s="309"/>
      <c r="M263" s="309"/>
      <c r="N263" s="304" t="s">
        <v>42</v>
      </c>
      <c r="O263" s="304"/>
      <c r="P263" s="309"/>
      <c r="Q263" s="309">
        <v>45688.0</v>
      </c>
      <c r="R263" s="308">
        <v>45688.0</v>
      </c>
      <c r="S263" s="304" t="s">
        <v>679</v>
      </c>
      <c r="T263" s="304" t="s">
        <v>803</v>
      </c>
    </row>
    <row r="264">
      <c r="A264" s="306" t="s">
        <v>804</v>
      </c>
      <c r="B264" s="309">
        <v>45163.0</v>
      </c>
      <c r="C264" s="308">
        <v>45163.0</v>
      </c>
      <c r="D264" s="304" t="s">
        <v>38</v>
      </c>
      <c r="E264" s="304" t="s">
        <v>33</v>
      </c>
      <c r="F264" s="304" t="s">
        <v>26</v>
      </c>
      <c r="G264" s="304" t="s">
        <v>805</v>
      </c>
      <c r="H264" s="304" t="s">
        <v>28</v>
      </c>
      <c r="I264" s="304" t="s">
        <v>36</v>
      </c>
      <c r="J264" s="304" t="s">
        <v>255</v>
      </c>
      <c r="K264" s="309">
        <v>45231.0</v>
      </c>
      <c r="L264" s="309"/>
      <c r="M264" s="309"/>
      <c r="N264" s="304" t="s">
        <v>42</v>
      </c>
      <c r="O264" s="304"/>
      <c r="P264" s="309"/>
      <c r="Q264" s="309">
        <v>45316.0</v>
      </c>
      <c r="R264" s="308">
        <v>45316.0</v>
      </c>
      <c r="S264" s="304" t="s">
        <v>43</v>
      </c>
      <c r="T264" s="304" t="s">
        <v>806</v>
      </c>
    </row>
    <row r="265">
      <c r="A265" s="306" t="s">
        <v>807</v>
      </c>
      <c r="B265" s="309">
        <v>45154.0</v>
      </c>
      <c r="C265" s="308">
        <v>45154.0</v>
      </c>
      <c r="D265" s="304" t="s">
        <v>38</v>
      </c>
      <c r="E265" s="304" t="s">
        <v>33</v>
      </c>
      <c r="F265" s="304" t="s">
        <v>26</v>
      </c>
      <c r="G265" s="304" t="s">
        <v>808</v>
      </c>
      <c r="H265" s="304" t="s">
        <v>28</v>
      </c>
      <c r="I265" s="304" t="s">
        <v>36</v>
      </c>
      <c r="J265" s="304" t="s">
        <v>152</v>
      </c>
      <c r="K265" s="309"/>
      <c r="L265" s="309"/>
      <c r="M265" s="309"/>
      <c r="N265" s="304" t="s">
        <v>210</v>
      </c>
      <c r="O265" s="304"/>
      <c r="P265" s="309"/>
      <c r="Q265" s="309"/>
      <c r="R265" s="308"/>
      <c r="S265" s="309"/>
      <c r="T265" s="304"/>
    </row>
    <row r="266">
      <c r="A266" s="306" t="s">
        <v>809</v>
      </c>
      <c r="B266" s="309">
        <v>45154.0</v>
      </c>
      <c r="C266" s="308">
        <v>45154.0</v>
      </c>
      <c r="D266" s="304" t="s">
        <v>147</v>
      </c>
      <c r="E266" s="304" t="s">
        <v>25</v>
      </c>
      <c r="F266" s="304" t="s">
        <v>26</v>
      </c>
      <c r="G266" s="304" t="s">
        <v>810</v>
      </c>
      <c r="H266" s="304" t="s">
        <v>87</v>
      </c>
      <c r="I266" s="304" t="s">
        <v>36</v>
      </c>
      <c r="J266" s="304" t="s">
        <v>152</v>
      </c>
      <c r="K266" s="309"/>
      <c r="L266" s="309"/>
      <c r="M266" s="309"/>
      <c r="N266" s="304" t="s">
        <v>210</v>
      </c>
      <c r="O266" s="304"/>
      <c r="P266" s="309"/>
      <c r="Q266" s="309"/>
      <c r="R266" s="308"/>
      <c r="S266" s="309"/>
      <c r="T266" s="304"/>
    </row>
    <row r="267">
      <c r="A267" s="306" t="s">
        <v>811</v>
      </c>
      <c r="B267" s="309">
        <v>45154.0</v>
      </c>
      <c r="C267" s="308">
        <v>45154.0</v>
      </c>
      <c r="D267" s="304" t="s">
        <v>91</v>
      </c>
      <c r="E267" s="304" t="s">
        <v>25</v>
      </c>
      <c r="F267" s="304" t="s">
        <v>26</v>
      </c>
      <c r="G267" s="304" t="s">
        <v>812</v>
      </c>
      <c r="H267" s="304" t="s">
        <v>87</v>
      </c>
      <c r="I267" s="304" t="s">
        <v>36</v>
      </c>
      <c r="J267" s="304" t="s">
        <v>152</v>
      </c>
      <c r="K267" s="309"/>
      <c r="L267" s="309"/>
      <c r="M267" s="309"/>
      <c r="N267" s="304" t="s">
        <v>210</v>
      </c>
      <c r="O267" s="304"/>
      <c r="P267" s="309"/>
      <c r="Q267" s="309"/>
      <c r="R267" s="308"/>
      <c r="S267" s="309"/>
      <c r="T267" s="304"/>
    </row>
    <row r="268">
      <c r="A268" s="306" t="s">
        <v>813</v>
      </c>
      <c r="B268" s="309">
        <v>45154.0</v>
      </c>
      <c r="C268" s="308">
        <v>45154.0</v>
      </c>
      <c r="D268" s="304" t="s">
        <v>147</v>
      </c>
      <c r="E268" s="304" t="s">
        <v>25</v>
      </c>
      <c r="F268" s="304" t="s">
        <v>26</v>
      </c>
      <c r="G268" s="304" t="s">
        <v>814</v>
      </c>
      <c r="H268" s="304" t="s">
        <v>87</v>
      </c>
      <c r="I268" s="304" t="s">
        <v>36</v>
      </c>
      <c r="J268" s="304" t="s">
        <v>152</v>
      </c>
      <c r="K268" s="309"/>
      <c r="L268" s="309"/>
      <c r="M268" s="309"/>
      <c r="N268" s="304" t="s">
        <v>210</v>
      </c>
      <c r="O268" s="304"/>
      <c r="P268" s="309"/>
      <c r="Q268" s="309"/>
      <c r="R268" s="308"/>
      <c r="S268" s="309"/>
      <c r="T268" s="304"/>
    </row>
    <row r="269">
      <c r="A269" s="306" t="s">
        <v>815</v>
      </c>
      <c r="B269" s="309">
        <v>45106.0</v>
      </c>
      <c r="C269" s="308">
        <v>45106.0</v>
      </c>
      <c r="D269" s="304" t="s">
        <v>726</v>
      </c>
      <c r="E269" s="304" t="s">
        <v>33</v>
      </c>
      <c r="F269" s="304" t="s">
        <v>26</v>
      </c>
      <c r="G269" s="304" t="s">
        <v>816</v>
      </c>
      <c r="H269" s="304" t="s">
        <v>87</v>
      </c>
      <c r="I269" s="304" t="s">
        <v>61</v>
      </c>
      <c r="J269" s="304" t="s">
        <v>152</v>
      </c>
      <c r="K269" s="309">
        <v>45124.0</v>
      </c>
      <c r="L269" s="309"/>
      <c r="M269" s="309"/>
      <c r="N269" s="304" t="s">
        <v>42</v>
      </c>
      <c r="O269" s="304"/>
      <c r="P269" s="309"/>
      <c r="Q269" s="309">
        <v>45139.0</v>
      </c>
      <c r="R269" s="308">
        <v>45139.0</v>
      </c>
      <c r="S269" s="304" t="s">
        <v>43</v>
      </c>
      <c r="T269" s="304" t="s">
        <v>817</v>
      </c>
    </row>
    <row r="270">
      <c r="A270" s="306" t="s">
        <v>818</v>
      </c>
      <c r="B270" s="309">
        <v>45138.0</v>
      </c>
      <c r="C270" s="308">
        <v>45138.0</v>
      </c>
      <c r="D270" s="304" t="s">
        <v>38</v>
      </c>
      <c r="E270" s="304" t="s">
        <v>33</v>
      </c>
      <c r="F270" s="304" t="s">
        <v>26</v>
      </c>
      <c r="G270" s="304" t="s">
        <v>819</v>
      </c>
      <c r="H270" s="304" t="s">
        <v>87</v>
      </c>
      <c r="I270" s="304" t="s">
        <v>61</v>
      </c>
      <c r="J270" s="304" t="s">
        <v>128</v>
      </c>
      <c r="K270" s="309">
        <v>45138.0</v>
      </c>
      <c r="L270" s="309"/>
      <c r="M270" s="309"/>
      <c r="N270" s="304" t="s">
        <v>42</v>
      </c>
      <c r="O270" s="304"/>
      <c r="P270" s="309"/>
      <c r="Q270" s="309">
        <v>45180.0</v>
      </c>
      <c r="R270" s="308">
        <v>45180.0</v>
      </c>
      <c r="S270" s="304" t="s">
        <v>43</v>
      </c>
      <c r="T270" s="304" t="s">
        <v>820</v>
      </c>
    </row>
    <row r="271">
      <c r="A271" s="306" t="s">
        <v>785</v>
      </c>
      <c r="B271" s="309">
        <v>45135.0</v>
      </c>
      <c r="C271" s="308">
        <v>45135.0</v>
      </c>
      <c r="D271" s="304" t="s">
        <v>161</v>
      </c>
      <c r="E271" s="304" t="s">
        <v>33</v>
      </c>
      <c r="F271" s="304" t="s">
        <v>26</v>
      </c>
      <c r="G271" s="304" t="s">
        <v>821</v>
      </c>
      <c r="H271" s="304" t="s">
        <v>40</v>
      </c>
      <c r="I271" s="304" t="s">
        <v>61</v>
      </c>
      <c r="J271" s="304"/>
      <c r="K271" s="309"/>
      <c r="L271" s="309"/>
      <c r="M271" s="309"/>
      <c r="N271" s="304" t="s">
        <v>30</v>
      </c>
      <c r="O271" s="304"/>
      <c r="P271" s="309"/>
      <c r="Q271" s="309"/>
      <c r="R271" s="308"/>
      <c r="S271" s="309"/>
      <c r="T271" s="304"/>
    </row>
    <row r="272">
      <c r="A272" s="306" t="s">
        <v>822</v>
      </c>
      <c r="B272" s="309">
        <v>45105.0</v>
      </c>
      <c r="C272" s="308">
        <v>45105.0</v>
      </c>
      <c r="D272" s="304" t="s">
        <v>823</v>
      </c>
      <c r="E272" s="304" t="s">
        <v>33</v>
      </c>
      <c r="F272" s="304" t="s">
        <v>26</v>
      </c>
      <c r="G272" s="304" t="s">
        <v>824</v>
      </c>
      <c r="H272" s="304" t="s">
        <v>28</v>
      </c>
      <c r="I272" s="304" t="s">
        <v>29</v>
      </c>
      <c r="J272" s="304" t="s">
        <v>128</v>
      </c>
      <c r="K272" s="309">
        <v>45105.0</v>
      </c>
      <c r="L272" s="309"/>
      <c r="M272" s="309"/>
      <c r="N272" s="304" t="s">
        <v>42</v>
      </c>
      <c r="O272" s="304"/>
      <c r="P272" s="309"/>
      <c r="Q272" s="309">
        <v>45105.0</v>
      </c>
      <c r="R272" s="308">
        <v>45105.0</v>
      </c>
      <c r="S272" s="304" t="s">
        <v>96</v>
      </c>
      <c r="T272" s="304" t="s">
        <v>776</v>
      </c>
    </row>
    <row r="273">
      <c r="A273" s="306" t="s">
        <v>825</v>
      </c>
      <c r="B273" s="309">
        <v>45105.0</v>
      </c>
      <c r="C273" s="308">
        <v>45105.0</v>
      </c>
      <c r="D273" s="304" t="s">
        <v>52</v>
      </c>
      <c r="E273" s="304" t="s">
        <v>33</v>
      </c>
      <c r="F273" s="304" t="s">
        <v>26</v>
      </c>
      <c r="G273" s="304" t="s">
        <v>826</v>
      </c>
      <c r="H273" s="304" t="s">
        <v>28</v>
      </c>
      <c r="I273" s="304" t="s">
        <v>29</v>
      </c>
      <c r="J273" s="304" t="s">
        <v>497</v>
      </c>
      <c r="K273" s="309">
        <v>45105.0</v>
      </c>
      <c r="L273" s="309"/>
      <c r="M273" s="309"/>
      <c r="N273" s="304" t="s">
        <v>42</v>
      </c>
      <c r="O273" s="304">
        <v>837.26</v>
      </c>
      <c r="P273" s="309"/>
      <c r="Q273" s="309">
        <v>45105.0</v>
      </c>
      <c r="R273" s="308">
        <v>45105.0</v>
      </c>
      <c r="S273" s="304" t="s">
        <v>96</v>
      </c>
      <c r="T273" s="304" t="s">
        <v>776</v>
      </c>
    </row>
    <row r="274">
      <c r="A274" s="306" t="s">
        <v>827</v>
      </c>
      <c r="B274" s="309">
        <v>45105.0</v>
      </c>
      <c r="C274" s="308">
        <v>45105.0</v>
      </c>
      <c r="D274" s="304" t="s">
        <v>24</v>
      </c>
      <c r="E274" s="304" t="s">
        <v>25</v>
      </c>
      <c r="F274" s="304" t="s">
        <v>26</v>
      </c>
      <c r="G274" s="304" t="s">
        <v>828</v>
      </c>
      <c r="H274" s="304" t="s">
        <v>28</v>
      </c>
      <c r="I274" s="304" t="s">
        <v>36</v>
      </c>
      <c r="J274" s="304"/>
      <c r="K274" s="309"/>
      <c r="L274" s="309"/>
      <c r="M274" s="309"/>
      <c r="N274" s="304" t="s">
        <v>30</v>
      </c>
      <c r="O274" s="304"/>
      <c r="P274" s="309"/>
      <c r="Q274" s="309"/>
      <c r="R274" s="308"/>
      <c r="S274" s="309"/>
      <c r="T274" s="304"/>
    </row>
    <row r="275">
      <c r="A275" s="306" t="s">
        <v>829</v>
      </c>
      <c r="B275" s="309">
        <v>45104.0</v>
      </c>
      <c r="C275" s="308">
        <v>45104.0</v>
      </c>
      <c r="D275" s="304" t="s">
        <v>116</v>
      </c>
      <c r="E275" s="304" t="s">
        <v>25</v>
      </c>
      <c r="F275" s="304" t="s">
        <v>26</v>
      </c>
      <c r="G275" s="304" t="s">
        <v>830</v>
      </c>
      <c r="H275" s="304" t="s">
        <v>28</v>
      </c>
      <c r="I275" s="304" t="s">
        <v>29</v>
      </c>
      <c r="J275" s="304" t="s">
        <v>110</v>
      </c>
      <c r="K275" s="309">
        <v>45104.0</v>
      </c>
      <c r="L275" s="309"/>
      <c r="M275" s="309"/>
      <c r="N275" s="304" t="s">
        <v>42</v>
      </c>
      <c r="O275" s="304">
        <v>741.3</v>
      </c>
      <c r="P275" s="309"/>
      <c r="Q275" s="309">
        <v>45104.0</v>
      </c>
      <c r="R275" s="308">
        <v>45104.0</v>
      </c>
      <c r="S275" s="304" t="s">
        <v>96</v>
      </c>
      <c r="T275" s="304" t="s">
        <v>776</v>
      </c>
    </row>
    <row r="276">
      <c r="A276" s="306" t="s">
        <v>831</v>
      </c>
      <c r="B276" s="309">
        <v>45104.0</v>
      </c>
      <c r="C276" s="308">
        <v>45104.0</v>
      </c>
      <c r="D276" s="304" t="s">
        <v>832</v>
      </c>
      <c r="E276" s="304" t="s">
        <v>25</v>
      </c>
      <c r="F276" s="304" t="s">
        <v>26</v>
      </c>
      <c r="G276" s="304" t="s">
        <v>833</v>
      </c>
      <c r="H276" s="304" t="s">
        <v>28</v>
      </c>
      <c r="I276" s="304" t="s">
        <v>29</v>
      </c>
      <c r="J276" s="304" t="s">
        <v>110</v>
      </c>
      <c r="K276" s="309">
        <v>45104.0</v>
      </c>
      <c r="L276" s="309"/>
      <c r="M276" s="309"/>
      <c r="N276" s="304" t="s">
        <v>42</v>
      </c>
      <c r="O276" s="304">
        <v>595.65</v>
      </c>
      <c r="P276" s="309"/>
      <c r="Q276" s="309">
        <v>45104.0</v>
      </c>
      <c r="R276" s="308">
        <v>45104.0</v>
      </c>
      <c r="S276" s="304" t="s">
        <v>96</v>
      </c>
      <c r="T276" s="304" t="s">
        <v>776</v>
      </c>
    </row>
    <row r="277">
      <c r="A277" s="306" t="s">
        <v>834</v>
      </c>
      <c r="B277" s="309">
        <v>45133.0</v>
      </c>
      <c r="C277" s="308">
        <v>45133.0</v>
      </c>
      <c r="D277" s="304" t="s">
        <v>309</v>
      </c>
      <c r="E277" s="304" t="s">
        <v>310</v>
      </c>
      <c r="F277" s="304" t="s">
        <v>26</v>
      </c>
      <c r="G277" s="304" t="s">
        <v>835</v>
      </c>
      <c r="H277" s="304" t="s">
        <v>49</v>
      </c>
      <c r="I277" s="304" t="s">
        <v>61</v>
      </c>
      <c r="J277" s="304" t="s">
        <v>497</v>
      </c>
      <c r="K277" s="309">
        <v>45134.0</v>
      </c>
      <c r="L277" s="309"/>
      <c r="M277" s="309"/>
      <c r="N277" s="304" t="s">
        <v>42</v>
      </c>
      <c r="O277" s="304"/>
      <c r="P277" s="309"/>
      <c r="Q277" s="309">
        <v>45134.0</v>
      </c>
      <c r="R277" s="308">
        <v>45134.0</v>
      </c>
      <c r="S277" s="304" t="s">
        <v>43</v>
      </c>
      <c r="T277" s="304" t="s">
        <v>836</v>
      </c>
    </row>
    <row r="278">
      <c r="A278" s="304" t="s">
        <v>837</v>
      </c>
      <c r="B278" s="309">
        <v>45113.0</v>
      </c>
      <c r="C278" s="308">
        <v>45113.0</v>
      </c>
      <c r="D278" s="304" t="s">
        <v>561</v>
      </c>
      <c r="E278" s="304" t="s">
        <v>25</v>
      </c>
      <c r="F278" s="304" t="s">
        <v>26</v>
      </c>
      <c r="G278" s="304" t="s">
        <v>802</v>
      </c>
      <c r="H278" s="304" t="s">
        <v>28</v>
      </c>
      <c r="I278" s="304" t="s">
        <v>61</v>
      </c>
      <c r="J278" s="304"/>
      <c r="K278" s="309"/>
      <c r="L278" s="309"/>
      <c r="M278" s="309"/>
      <c r="N278" s="304" t="s">
        <v>118</v>
      </c>
      <c r="O278" s="304"/>
      <c r="P278" s="309"/>
      <c r="Q278" s="309">
        <v>45135.0</v>
      </c>
      <c r="R278" s="308">
        <v>45135.0</v>
      </c>
      <c r="S278" s="304" t="s">
        <v>124</v>
      </c>
      <c r="T278" s="304" t="s">
        <v>838</v>
      </c>
    </row>
    <row r="279">
      <c r="A279" s="306" t="s">
        <v>839</v>
      </c>
      <c r="B279" s="309">
        <v>45105.0</v>
      </c>
      <c r="C279" s="308">
        <v>45105.0</v>
      </c>
      <c r="D279" s="304" t="s">
        <v>38</v>
      </c>
      <c r="E279" s="304" t="s">
        <v>33</v>
      </c>
      <c r="F279" s="304" t="s">
        <v>26</v>
      </c>
      <c r="G279" s="304" t="s">
        <v>840</v>
      </c>
      <c r="H279" s="304" t="s">
        <v>87</v>
      </c>
      <c r="I279" s="304" t="s">
        <v>61</v>
      </c>
      <c r="J279" s="304" t="s">
        <v>41</v>
      </c>
      <c r="K279" s="309">
        <v>45124.0</v>
      </c>
      <c r="L279" s="309"/>
      <c r="M279" s="309"/>
      <c r="N279" s="304" t="s">
        <v>42</v>
      </c>
      <c r="O279" s="304">
        <v>3.55</v>
      </c>
      <c r="P279" s="309"/>
      <c r="Q279" s="309">
        <v>45219.0</v>
      </c>
      <c r="R279" s="308">
        <v>45219.0</v>
      </c>
      <c r="S279" s="304" t="s">
        <v>43</v>
      </c>
      <c r="T279" s="304" t="s">
        <v>841</v>
      </c>
    </row>
    <row r="280">
      <c r="A280" s="306" t="s">
        <v>842</v>
      </c>
      <c r="B280" s="309">
        <v>45093.0</v>
      </c>
      <c r="C280" s="308">
        <v>45093.0</v>
      </c>
      <c r="D280" s="304" t="s">
        <v>32</v>
      </c>
      <c r="E280" s="304" t="s">
        <v>33</v>
      </c>
      <c r="F280" s="304" t="s">
        <v>26</v>
      </c>
      <c r="G280" s="304" t="s">
        <v>843</v>
      </c>
      <c r="H280" s="304" t="s">
        <v>35</v>
      </c>
      <c r="I280" s="304" t="s">
        <v>29</v>
      </c>
      <c r="J280" s="304" t="s">
        <v>128</v>
      </c>
      <c r="K280" s="309">
        <v>45110.0</v>
      </c>
      <c r="L280" s="309"/>
      <c r="M280" s="309"/>
      <c r="N280" s="304" t="s">
        <v>42</v>
      </c>
      <c r="O280" s="304"/>
      <c r="P280" s="309"/>
      <c r="Q280" s="309">
        <v>45111.0</v>
      </c>
      <c r="R280" s="308">
        <v>45111.0</v>
      </c>
      <c r="S280" s="304" t="s">
        <v>119</v>
      </c>
      <c r="T280" s="304" t="s">
        <v>844</v>
      </c>
    </row>
    <row r="281">
      <c r="A281" s="306" t="s">
        <v>845</v>
      </c>
      <c r="B281" s="309">
        <v>45091.0</v>
      </c>
      <c r="C281" s="308">
        <v>45091.0</v>
      </c>
      <c r="D281" s="304" t="s">
        <v>285</v>
      </c>
      <c r="E281" s="304" t="s">
        <v>25</v>
      </c>
      <c r="F281" s="304" t="s">
        <v>26</v>
      </c>
      <c r="G281" s="304" t="s">
        <v>846</v>
      </c>
      <c r="H281" s="304" t="s">
        <v>28</v>
      </c>
      <c r="I281" s="304" t="s">
        <v>36</v>
      </c>
      <c r="J281" s="304"/>
      <c r="K281" s="309"/>
      <c r="L281" s="309"/>
      <c r="M281" s="309"/>
      <c r="N281" s="304" t="s">
        <v>30</v>
      </c>
      <c r="O281" s="304"/>
      <c r="P281" s="309"/>
      <c r="Q281" s="309"/>
      <c r="R281" s="308"/>
      <c r="S281" s="309"/>
      <c r="T281" s="304"/>
    </row>
    <row r="282">
      <c r="A282" s="306" t="s">
        <v>847</v>
      </c>
      <c r="B282" s="309">
        <v>45091.0</v>
      </c>
      <c r="C282" s="308">
        <v>45091.0</v>
      </c>
      <c r="D282" s="304" t="s">
        <v>81</v>
      </c>
      <c r="E282" s="304" t="s">
        <v>25</v>
      </c>
      <c r="F282" s="304" t="s">
        <v>26</v>
      </c>
      <c r="G282" s="304" t="s">
        <v>848</v>
      </c>
      <c r="H282" s="304" t="s">
        <v>28</v>
      </c>
      <c r="I282" s="304" t="s">
        <v>29</v>
      </c>
      <c r="J282" s="304" t="s">
        <v>41</v>
      </c>
      <c r="K282" s="309">
        <v>45091.0</v>
      </c>
      <c r="L282" s="309"/>
      <c r="M282" s="309"/>
      <c r="N282" s="304" t="s">
        <v>42</v>
      </c>
      <c r="O282" s="304">
        <v>491.55</v>
      </c>
      <c r="P282" s="309"/>
      <c r="Q282" s="309">
        <v>45091.0</v>
      </c>
      <c r="R282" s="308">
        <v>45091.0</v>
      </c>
      <c r="S282" s="304" t="s">
        <v>96</v>
      </c>
      <c r="T282" s="304" t="s">
        <v>776</v>
      </c>
    </row>
    <row r="283">
      <c r="A283" s="306" t="s">
        <v>849</v>
      </c>
      <c r="B283" s="309">
        <v>45091.0</v>
      </c>
      <c r="C283" s="308">
        <v>45091.0</v>
      </c>
      <c r="D283" s="304" t="s">
        <v>38</v>
      </c>
      <c r="E283" s="304" t="s">
        <v>33</v>
      </c>
      <c r="F283" s="304" t="s">
        <v>26</v>
      </c>
      <c r="G283" s="304" t="s">
        <v>850</v>
      </c>
      <c r="H283" s="304" t="s">
        <v>87</v>
      </c>
      <c r="I283" s="304" t="s">
        <v>61</v>
      </c>
      <c r="J283" s="304"/>
      <c r="K283" s="309"/>
      <c r="L283" s="309"/>
      <c r="M283" s="309"/>
      <c r="N283" s="304" t="s">
        <v>30</v>
      </c>
      <c r="O283" s="304"/>
      <c r="P283" s="309"/>
      <c r="Q283" s="309"/>
      <c r="R283" s="308"/>
      <c r="S283" s="309"/>
      <c r="T283" s="304"/>
    </row>
    <row r="284">
      <c r="A284" s="306" t="s">
        <v>851</v>
      </c>
      <c r="B284" s="309">
        <v>45084.0</v>
      </c>
      <c r="C284" s="308">
        <v>45084.0</v>
      </c>
      <c r="D284" s="304" t="s">
        <v>133</v>
      </c>
      <c r="E284" s="304" t="s">
        <v>33</v>
      </c>
      <c r="F284" s="304" t="s">
        <v>26</v>
      </c>
      <c r="G284" s="304" t="s">
        <v>852</v>
      </c>
      <c r="H284" s="304" t="s">
        <v>186</v>
      </c>
      <c r="I284" s="304" t="s">
        <v>61</v>
      </c>
      <c r="J284" s="304" t="s">
        <v>41</v>
      </c>
      <c r="K284" s="309">
        <v>45084.0</v>
      </c>
      <c r="L284" s="309"/>
      <c r="M284" s="309"/>
      <c r="N284" s="304" t="s">
        <v>42</v>
      </c>
      <c r="O284" s="304"/>
      <c r="P284" s="309"/>
      <c r="Q284" s="309">
        <v>45356.0</v>
      </c>
      <c r="R284" s="308">
        <v>45356.0</v>
      </c>
      <c r="S284" s="304" t="s">
        <v>119</v>
      </c>
      <c r="T284" s="304" t="s">
        <v>853</v>
      </c>
    </row>
    <row r="285">
      <c r="A285" s="306" t="s">
        <v>854</v>
      </c>
      <c r="B285" s="309">
        <v>45084.0</v>
      </c>
      <c r="C285" s="308">
        <v>45084.0</v>
      </c>
      <c r="D285" s="304" t="s">
        <v>133</v>
      </c>
      <c r="E285" s="304" t="s">
        <v>33</v>
      </c>
      <c r="F285" s="304" t="s">
        <v>26</v>
      </c>
      <c r="G285" s="304" t="s">
        <v>855</v>
      </c>
      <c r="H285" s="304" t="s">
        <v>28</v>
      </c>
      <c r="I285" s="304" t="s">
        <v>36</v>
      </c>
      <c r="J285" s="304" t="s">
        <v>497</v>
      </c>
      <c r="K285" s="309">
        <v>45126.0</v>
      </c>
      <c r="L285" s="309"/>
      <c r="M285" s="309"/>
      <c r="N285" s="304" t="s">
        <v>42</v>
      </c>
      <c r="O285" s="304">
        <v>22.16</v>
      </c>
      <c r="P285" s="309"/>
      <c r="Q285" s="309">
        <v>45139.0</v>
      </c>
      <c r="R285" s="308">
        <v>45139.0</v>
      </c>
      <c r="S285" s="304" t="s">
        <v>43</v>
      </c>
      <c r="T285" s="304" t="s">
        <v>856</v>
      </c>
    </row>
    <row r="286">
      <c r="A286" s="306" t="s">
        <v>857</v>
      </c>
      <c r="B286" s="309">
        <v>45084.0</v>
      </c>
      <c r="C286" s="308">
        <v>45084.0</v>
      </c>
      <c r="D286" s="304" t="s">
        <v>133</v>
      </c>
      <c r="E286" s="304" t="s">
        <v>33</v>
      </c>
      <c r="F286" s="304" t="s">
        <v>26</v>
      </c>
      <c r="G286" s="304" t="s">
        <v>858</v>
      </c>
      <c r="H286" s="304" t="s">
        <v>35</v>
      </c>
      <c r="I286" s="304" t="s">
        <v>61</v>
      </c>
      <c r="J286" s="304"/>
      <c r="K286" s="309"/>
      <c r="L286" s="309"/>
      <c r="M286" s="309"/>
      <c r="N286" s="304" t="s">
        <v>30</v>
      </c>
      <c r="O286" s="304"/>
      <c r="P286" s="309"/>
      <c r="Q286" s="309"/>
      <c r="R286" s="308"/>
      <c r="S286" s="309"/>
      <c r="T286" s="304" t="s">
        <v>859</v>
      </c>
    </row>
    <row r="287">
      <c r="A287" s="306" t="s">
        <v>860</v>
      </c>
      <c r="B287" s="309">
        <v>45082.0</v>
      </c>
      <c r="C287" s="308">
        <v>45082.0</v>
      </c>
      <c r="D287" s="304" t="s">
        <v>24</v>
      </c>
      <c r="E287" s="304" t="s">
        <v>25</v>
      </c>
      <c r="F287" s="304" t="s">
        <v>26</v>
      </c>
      <c r="G287" s="304" t="s">
        <v>861</v>
      </c>
      <c r="H287" s="304" t="s">
        <v>28</v>
      </c>
      <c r="I287" s="304" t="s">
        <v>36</v>
      </c>
      <c r="J287" s="304" t="s">
        <v>497</v>
      </c>
      <c r="K287" s="309">
        <v>45156.0</v>
      </c>
      <c r="L287" s="309"/>
      <c r="M287" s="309"/>
      <c r="N287" s="304" t="s">
        <v>343</v>
      </c>
      <c r="O287" s="304"/>
      <c r="P287" s="309"/>
      <c r="Q287" s="309"/>
      <c r="R287" s="308"/>
      <c r="S287" s="309"/>
      <c r="T287" s="304" t="s">
        <v>862</v>
      </c>
    </row>
    <row r="288">
      <c r="A288" s="306" t="s">
        <v>863</v>
      </c>
      <c r="B288" s="309">
        <v>45076.0</v>
      </c>
      <c r="C288" s="308">
        <v>45076.0</v>
      </c>
      <c r="D288" s="304" t="s">
        <v>52</v>
      </c>
      <c r="E288" s="304" t="s">
        <v>25</v>
      </c>
      <c r="F288" s="304" t="s">
        <v>26</v>
      </c>
      <c r="G288" s="304" t="s">
        <v>864</v>
      </c>
      <c r="H288" s="304" t="s">
        <v>35</v>
      </c>
      <c r="I288" s="304" t="s">
        <v>29</v>
      </c>
      <c r="J288" s="304" t="s">
        <v>497</v>
      </c>
      <c r="K288" s="309">
        <v>45076.0</v>
      </c>
      <c r="L288" s="309"/>
      <c r="M288" s="309"/>
      <c r="N288" s="304" t="s">
        <v>42</v>
      </c>
      <c r="O288" s="311">
        <v>5087.11</v>
      </c>
      <c r="P288" s="309"/>
      <c r="Q288" s="309">
        <v>45076.0</v>
      </c>
      <c r="R288" s="308">
        <v>45076.0</v>
      </c>
      <c r="S288" s="304" t="s">
        <v>96</v>
      </c>
      <c r="T288" s="304" t="s">
        <v>865</v>
      </c>
    </row>
    <row r="289">
      <c r="A289" s="306" t="s">
        <v>866</v>
      </c>
      <c r="B289" s="309">
        <v>45076.0</v>
      </c>
      <c r="C289" s="308">
        <v>45076.0</v>
      </c>
      <c r="D289" s="304" t="s">
        <v>46</v>
      </c>
      <c r="E289" s="304" t="s">
        <v>25</v>
      </c>
      <c r="F289" s="304" t="s">
        <v>26</v>
      </c>
      <c r="G289" s="304" t="s">
        <v>867</v>
      </c>
      <c r="H289" s="304" t="s">
        <v>28</v>
      </c>
      <c r="I289" s="304" t="s">
        <v>29</v>
      </c>
      <c r="J289" s="304" t="s">
        <v>110</v>
      </c>
      <c r="K289" s="309">
        <v>45076.0</v>
      </c>
      <c r="L289" s="309"/>
      <c r="M289" s="309"/>
      <c r="N289" s="304" t="s">
        <v>42</v>
      </c>
      <c r="O289" s="311">
        <v>4083.75</v>
      </c>
      <c r="P289" s="309"/>
      <c r="Q289" s="309">
        <v>45076.0</v>
      </c>
      <c r="R289" s="308">
        <v>45076.0</v>
      </c>
      <c r="S289" s="304" t="s">
        <v>96</v>
      </c>
      <c r="T289" s="304" t="s">
        <v>776</v>
      </c>
    </row>
    <row r="290">
      <c r="A290" s="306" t="s">
        <v>868</v>
      </c>
      <c r="B290" s="309">
        <v>45076.0</v>
      </c>
      <c r="C290" s="308">
        <v>45076.0</v>
      </c>
      <c r="D290" s="304" t="s">
        <v>52</v>
      </c>
      <c r="E290" s="304" t="s">
        <v>25</v>
      </c>
      <c r="F290" s="304" t="s">
        <v>26</v>
      </c>
      <c r="G290" s="304" t="s">
        <v>869</v>
      </c>
      <c r="H290" s="304" t="s">
        <v>87</v>
      </c>
      <c r="I290" s="304" t="s">
        <v>29</v>
      </c>
      <c r="J290" s="304" t="s">
        <v>110</v>
      </c>
      <c r="K290" s="309">
        <v>45076.0</v>
      </c>
      <c r="L290" s="309"/>
      <c r="M290" s="309"/>
      <c r="N290" s="304" t="s">
        <v>42</v>
      </c>
      <c r="O290" s="304"/>
      <c r="P290" s="309"/>
      <c r="Q290" s="309">
        <v>45076.0</v>
      </c>
      <c r="R290" s="308">
        <v>45076.0</v>
      </c>
      <c r="S290" s="304" t="s">
        <v>96</v>
      </c>
      <c r="T290" s="304" t="s">
        <v>776</v>
      </c>
    </row>
    <row r="291">
      <c r="A291" s="306" t="s">
        <v>870</v>
      </c>
      <c r="B291" s="309">
        <v>45076.0</v>
      </c>
      <c r="C291" s="308">
        <v>45076.0</v>
      </c>
      <c r="D291" s="304" t="s">
        <v>624</v>
      </c>
      <c r="E291" s="304" t="s">
        <v>25</v>
      </c>
      <c r="F291" s="304" t="s">
        <v>26</v>
      </c>
      <c r="G291" s="304" t="s">
        <v>871</v>
      </c>
      <c r="H291" s="304" t="s">
        <v>28</v>
      </c>
      <c r="I291" s="304" t="s">
        <v>29</v>
      </c>
      <c r="J291" s="304" t="s">
        <v>128</v>
      </c>
      <c r="K291" s="309">
        <v>45154.0</v>
      </c>
      <c r="L291" s="309"/>
      <c r="M291" s="309">
        <v>45154.0</v>
      </c>
      <c r="N291" s="304" t="s">
        <v>42</v>
      </c>
      <c r="O291" s="304"/>
      <c r="P291" s="309"/>
      <c r="Q291" s="309">
        <v>45190.0</v>
      </c>
      <c r="R291" s="308">
        <v>45190.0</v>
      </c>
      <c r="S291" s="304" t="s">
        <v>43</v>
      </c>
      <c r="T291" s="304" t="s">
        <v>872</v>
      </c>
    </row>
    <row r="292">
      <c r="A292" s="306" t="s">
        <v>873</v>
      </c>
      <c r="B292" s="309">
        <v>45547.0</v>
      </c>
      <c r="C292" s="308">
        <v>45547.0</v>
      </c>
      <c r="D292" s="304" t="s">
        <v>133</v>
      </c>
      <c r="E292" s="304" t="s">
        <v>33</v>
      </c>
      <c r="F292" s="304" t="s">
        <v>26</v>
      </c>
      <c r="G292" s="304" t="s">
        <v>874</v>
      </c>
      <c r="H292" s="304" t="s">
        <v>28</v>
      </c>
      <c r="I292" s="304" t="s">
        <v>29</v>
      </c>
      <c r="J292" s="304" t="s">
        <v>497</v>
      </c>
      <c r="K292" s="309">
        <v>45901.0</v>
      </c>
      <c r="L292" s="309">
        <v>45905.0</v>
      </c>
      <c r="M292" s="309"/>
      <c r="N292" s="304" t="s">
        <v>42</v>
      </c>
      <c r="O292" s="304"/>
      <c r="P292" s="309"/>
      <c r="Q292" s="307">
        <v>45544.0</v>
      </c>
      <c r="R292" s="308">
        <v>45544.0</v>
      </c>
      <c r="S292" s="304"/>
      <c r="T292" s="304" t="s">
        <v>875</v>
      </c>
    </row>
    <row r="293">
      <c r="A293" s="306" t="s">
        <v>876</v>
      </c>
      <c r="B293" s="309">
        <v>45069.0</v>
      </c>
      <c r="C293" s="308">
        <v>45069.0</v>
      </c>
      <c r="D293" s="304" t="s">
        <v>147</v>
      </c>
      <c r="E293" s="304" t="s">
        <v>25</v>
      </c>
      <c r="F293" s="304" t="s">
        <v>26</v>
      </c>
      <c r="G293" s="304" t="s">
        <v>877</v>
      </c>
      <c r="H293" s="304" t="s">
        <v>28</v>
      </c>
      <c r="I293" s="304" t="s">
        <v>29</v>
      </c>
      <c r="J293" s="304" t="s">
        <v>128</v>
      </c>
      <c r="K293" s="309">
        <v>45135.0</v>
      </c>
      <c r="L293" s="309"/>
      <c r="M293" s="309"/>
      <c r="N293" s="304" t="s">
        <v>42</v>
      </c>
      <c r="O293" s="304">
        <v>355.15</v>
      </c>
      <c r="P293" s="309"/>
      <c r="Q293" s="307">
        <v>45246.0</v>
      </c>
      <c r="R293" s="308">
        <v>45246.0</v>
      </c>
      <c r="S293" s="304" t="s">
        <v>43</v>
      </c>
      <c r="T293" s="304" t="s">
        <v>878</v>
      </c>
    </row>
    <row r="294">
      <c r="A294" s="306" t="s">
        <v>879</v>
      </c>
      <c r="B294" s="309">
        <v>45064.0</v>
      </c>
      <c r="C294" s="308">
        <v>45064.0</v>
      </c>
      <c r="D294" s="304" t="s">
        <v>237</v>
      </c>
      <c r="E294" s="304" t="s">
        <v>33</v>
      </c>
      <c r="F294" s="304" t="s">
        <v>26</v>
      </c>
      <c r="G294" s="304" t="s">
        <v>880</v>
      </c>
      <c r="H294" s="304" t="s">
        <v>28</v>
      </c>
      <c r="I294" s="304" t="s">
        <v>36</v>
      </c>
      <c r="J294" s="304" t="s">
        <v>497</v>
      </c>
      <c r="K294" s="309">
        <v>45089.0</v>
      </c>
      <c r="L294" s="309"/>
      <c r="M294" s="309"/>
      <c r="N294" s="304" t="s">
        <v>42</v>
      </c>
      <c r="O294" s="304">
        <v>138.24</v>
      </c>
      <c r="P294" s="309"/>
      <c r="Q294" s="307">
        <v>45125.0</v>
      </c>
      <c r="R294" s="308">
        <v>45125.0</v>
      </c>
      <c r="S294" s="304" t="s">
        <v>43</v>
      </c>
      <c r="T294" s="304" t="s">
        <v>881</v>
      </c>
    </row>
    <row r="295">
      <c r="A295" s="306" t="s">
        <v>882</v>
      </c>
      <c r="B295" s="309">
        <v>45050.0</v>
      </c>
      <c r="C295" s="308">
        <v>45050.0</v>
      </c>
      <c r="D295" s="304" t="s">
        <v>633</v>
      </c>
      <c r="E295" s="304" t="s">
        <v>25</v>
      </c>
      <c r="F295" s="304" t="s">
        <v>26</v>
      </c>
      <c r="G295" s="304" t="s">
        <v>883</v>
      </c>
      <c r="H295" s="304" t="s">
        <v>28</v>
      </c>
      <c r="I295" s="304" t="s">
        <v>36</v>
      </c>
      <c r="J295" s="304" t="s">
        <v>152</v>
      </c>
      <c r="K295" s="309">
        <v>45135.0</v>
      </c>
      <c r="L295" s="309"/>
      <c r="M295" s="309"/>
      <c r="N295" s="304" t="s">
        <v>42</v>
      </c>
      <c r="O295" s="304"/>
      <c r="P295" s="309"/>
      <c r="Q295" s="307">
        <v>45154.0</v>
      </c>
      <c r="R295" s="308">
        <v>45154.0</v>
      </c>
      <c r="S295" s="304" t="s">
        <v>227</v>
      </c>
      <c r="T295" s="304" t="s">
        <v>884</v>
      </c>
    </row>
    <row r="296">
      <c r="A296" s="306" t="s">
        <v>885</v>
      </c>
      <c r="B296" s="309">
        <v>45049.0</v>
      </c>
      <c r="C296" s="308">
        <v>45049.0</v>
      </c>
      <c r="D296" s="304" t="s">
        <v>195</v>
      </c>
      <c r="E296" s="304" t="s">
        <v>33</v>
      </c>
      <c r="F296" s="304" t="s">
        <v>26</v>
      </c>
      <c r="G296" s="304" t="s">
        <v>843</v>
      </c>
      <c r="H296" s="304" t="s">
        <v>35</v>
      </c>
      <c r="I296" s="304" t="s">
        <v>36</v>
      </c>
      <c r="J296" s="304" t="s">
        <v>152</v>
      </c>
      <c r="K296" s="309">
        <v>45055.0</v>
      </c>
      <c r="L296" s="309"/>
      <c r="M296" s="309"/>
      <c r="N296" s="304" t="s">
        <v>42</v>
      </c>
      <c r="O296" s="304">
        <v>44.6</v>
      </c>
      <c r="P296" s="309"/>
      <c r="Q296" s="307">
        <v>45056.0</v>
      </c>
      <c r="R296" s="308">
        <v>45056.0</v>
      </c>
      <c r="S296" s="304" t="s">
        <v>43</v>
      </c>
      <c r="T296" s="304" t="s">
        <v>886</v>
      </c>
    </row>
    <row r="297">
      <c r="A297" s="306" t="s">
        <v>873</v>
      </c>
      <c r="B297" s="309">
        <v>45049.0</v>
      </c>
      <c r="C297" s="308">
        <v>45049.0</v>
      </c>
      <c r="D297" s="304" t="s">
        <v>133</v>
      </c>
      <c r="E297" s="304" t="s">
        <v>33</v>
      </c>
      <c r="F297" s="304" t="s">
        <v>26</v>
      </c>
      <c r="G297" s="304" t="s">
        <v>874</v>
      </c>
      <c r="H297" s="304" t="s">
        <v>28</v>
      </c>
      <c r="I297" s="304" t="s">
        <v>36</v>
      </c>
      <c r="J297" s="304" t="s">
        <v>497</v>
      </c>
      <c r="K297" s="309">
        <v>45135.0</v>
      </c>
      <c r="L297" s="309"/>
      <c r="M297" s="309"/>
      <c r="N297" s="304" t="s">
        <v>42</v>
      </c>
      <c r="O297" s="304"/>
      <c r="P297" s="309"/>
      <c r="Q297" s="307">
        <v>45544.0</v>
      </c>
      <c r="R297" s="308">
        <v>45544.0</v>
      </c>
      <c r="S297" s="304" t="s">
        <v>119</v>
      </c>
      <c r="T297" s="304" t="s">
        <v>887</v>
      </c>
    </row>
    <row r="298">
      <c r="A298" s="306" t="s">
        <v>888</v>
      </c>
      <c r="B298" s="309">
        <v>45048.0</v>
      </c>
      <c r="C298" s="308">
        <v>45048.0</v>
      </c>
      <c r="D298" s="304" t="s">
        <v>24</v>
      </c>
      <c r="E298" s="304" t="s">
        <v>25</v>
      </c>
      <c r="F298" s="304" t="s">
        <v>26</v>
      </c>
      <c r="G298" s="304" t="s">
        <v>889</v>
      </c>
      <c r="H298" s="304" t="s">
        <v>186</v>
      </c>
      <c r="I298" s="304" t="s">
        <v>36</v>
      </c>
      <c r="J298" s="304" t="s">
        <v>110</v>
      </c>
      <c r="K298" s="309"/>
      <c r="L298" s="309"/>
      <c r="M298" s="309"/>
      <c r="N298" s="304" t="s">
        <v>118</v>
      </c>
      <c r="O298" s="304"/>
      <c r="P298" s="309"/>
      <c r="Q298" s="309">
        <v>45224.0</v>
      </c>
      <c r="R298" s="308">
        <v>45224.0</v>
      </c>
      <c r="S298" s="304" t="s">
        <v>119</v>
      </c>
      <c r="T298" s="304" t="s">
        <v>890</v>
      </c>
    </row>
    <row r="299">
      <c r="A299" s="306" t="s">
        <v>891</v>
      </c>
      <c r="B299" s="309">
        <v>45040.0</v>
      </c>
      <c r="C299" s="308">
        <v>45040.0</v>
      </c>
      <c r="D299" s="304" t="s">
        <v>892</v>
      </c>
      <c r="E299" s="304" t="s">
        <v>25</v>
      </c>
      <c r="F299" s="304" t="s">
        <v>26</v>
      </c>
      <c r="G299" s="304" t="s">
        <v>893</v>
      </c>
      <c r="H299" s="304" t="s">
        <v>28</v>
      </c>
      <c r="I299" s="304" t="s">
        <v>36</v>
      </c>
      <c r="J299" s="304" t="s">
        <v>110</v>
      </c>
      <c r="K299" s="309">
        <v>45043.0</v>
      </c>
      <c r="L299" s="309"/>
      <c r="M299" s="309"/>
      <c r="N299" s="304" t="s">
        <v>42</v>
      </c>
      <c r="O299" s="304">
        <v>89.95</v>
      </c>
      <c r="P299" s="309"/>
      <c r="Q299" s="309">
        <v>45084.0</v>
      </c>
      <c r="R299" s="308">
        <v>45084.0</v>
      </c>
      <c r="S299" s="304" t="s">
        <v>96</v>
      </c>
      <c r="T299" s="304" t="s">
        <v>894</v>
      </c>
    </row>
    <row r="300">
      <c r="A300" s="306" t="s">
        <v>895</v>
      </c>
      <c r="B300" s="309">
        <v>45034.0</v>
      </c>
      <c r="C300" s="308">
        <v>45034.0</v>
      </c>
      <c r="D300" s="304" t="s">
        <v>133</v>
      </c>
      <c r="E300" s="304" t="s">
        <v>33</v>
      </c>
      <c r="F300" s="304" t="s">
        <v>26</v>
      </c>
      <c r="G300" s="304" t="s">
        <v>896</v>
      </c>
      <c r="H300" s="304" t="s">
        <v>28</v>
      </c>
      <c r="I300" s="304" t="s">
        <v>29</v>
      </c>
      <c r="J300" s="304" t="s">
        <v>128</v>
      </c>
      <c r="K300" s="309">
        <v>45055.0</v>
      </c>
      <c r="L300" s="309"/>
      <c r="M300" s="309"/>
      <c r="N300" s="304" t="s">
        <v>42</v>
      </c>
      <c r="O300" s="304"/>
      <c r="P300" s="309"/>
      <c r="Q300" s="309">
        <v>45105.0</v>
      </c>
      <c r="R300" s="308">
        <v>45105.0</v>
      </c>
      <c r="S300" s="304" t="s">
        <v>96</v>
      </c>
      <c r="T300" s="304" t="s">
        <v>897</v>
      </c>
    </row>
    <row r="301">
      <c r="A301" s="306" t="s">
        <v>898</v>
      </c>
      <c r="B301" s="309">
        <v>45034.0</v>
      </c>
      <c r="C301" s="308">
        <v>45034.0</v>
      </c>
      <c r="D301" s="304" t="s">
        <v>133</v>
      </c>
      <c r="E301" s="304" t="s">
        <v>33</v>
      </c>
      <c r="F301" s="304" t="s">
        <v>26</v>
      </c>
      <c r="G301" s="304" t="s">
        <v>899</v>
      </c>
      <c r="H301" s="304" t="s">
        <v>28</v>
      </c>
      <c r="I301" s="304" t="s">
        <v>36</v>
      </c>
      <c r="J301" s="304" t="s">
        <v>497</v>
      </c>
      <c r="K301" s="309">
        <v>45126.0</v>
      </c>
      <c r="L301" s="309"/>
      <c r="M301" s="309"/>
      <c r="N301" s="304" t="s">
        <v>42</v>
      </c>
      <c r="O301" s="304">
        <v>44.32</v>
      </c>
      <c r="P301" s="309"/>
      <c r="Q301" s="309">
        <v>45141.0</v>
      </c>
      <c r="R301" s="308">
        <v>45141.0</v>
      </c>
      <c r="S301" s="304" t="s">
        <v>43</v>
      </c>
      <c r="T301" s="304" t="s">
        <v>900</v>
      </c>
    </row>
    <row r="302">
      <c r="A302" s="306" t="s">
        <v>901</v>
      </c>
      <c r="B302" s="309">
        <v>45026.0</v>
      </c>
      <c r="C302" s="308">
        <v>45026.0</v>
      </c>
      <c r="D302" s="304" t="s">
        <v>902</v>
      </c>
      <c r="E302" s="304" t="s">
        <v>25</v>
      </c>
      <c r="F302" s="304" t="s">
        <v>26</v>
      </c>
      <c r="G302" s="304" t="s">
        <v>903</v>
      </c>
      <c r="H302" s="304" t="s">
        <v>28</v>
      </c>
      <c r="I302" s="304" t="s">
        <v>36</v>
      </c>
      <c r="J302" s="304" t="s">
        <v>152</v>
      </c>
      <c r="K302" s="309">
        <v>45040.0</v>
      </c>
      <c r="L302" s="309"/>
      <c r="M302" s="309"/>
      <c r="N302" s="304" t="s">
        <v>42</v>
      </c>
      <c r="O302" s="304">
        <v>43.0</v>
      </c>
      <c r="P302" s="309"/>
      <c r="Q302" s="309">
        <v>45084.0</v>
      </c>
      <c r="R302" s="308">
        <v>45084.0</v>
      </c>
      <c r="S302" s="304" t="s">
        <v>96</v>
      </c>
      <c r="T302" s="304" t="s">
        <v>904</v>
      </c>
    </row>
    <row r="303">
      <c r="A303" s="306" t="s">
        <v>905</v>
      </c>
      <c r="B303" s="309">
        <v>45016.0</v>
      </c>
      <c r="C303" s="308">
        <v>45016.0</v>
      </c>
      <c r="D303" s="304" t="s">
        <v>147</v>
      </c>
      <c r="E303" s="304" t="s">
        <v>25</v>
      </c>
      <c r="F303" s="304" t="s">
        <v>26</v>
      </c>
      <c r="G303" s="304" t="s">
        <v>906</v>
      </c>
      <c r="H303" s="304" t="s">
        <v>28</v>
      </c>
      <c r="I303" s="304" t="s">
        <v>61</v>
      </c>
      <c r="J303" s="304" t="s">
        <v>41</v>
      </c>
      <c r="K303" s="309">
        <v>45016.0</v>
      </c>
      <c r="L303" s="309"/>
      <c r="M303" s="309"/>
      <c r="N303" s="304" t="s">
        <v>343</v>
      </c>
      <c r="O303" s="304"/>
      <c r="P303" s="309"/>
      <c r="Q303" s="309"/>
      <c r="R303" s="308"/>
      <c r="S303" s="309"/>
      <c r="T303" s="304" t="s">
        <v>907</v>
      </c>
    </row>
    <row r="304">
      <c r="A304" s="306" t="s">
        <v>908</v>
      </c>
      <c r="B304" s="309">
        <v>45006.0</v>
      </c>
      <c r="C304" s="308">
        <v>45006.0</v>
      </c>
      <c r="D304" s="304" t="s">
        <v>419</v>
      </c>
      <c r="E304" s="304" t="s">
        <v>33</v>
      </c>
      <c r="F304" s="304" t="s">
        <v>26</v>
      </c>
      <c r="G304" s="304" t="s">
        <v>909</v>
      </c>
      <c r="H304" s="304" t="s">
        <v>28</v>
      </c>
      <c r="I304" s="304" t="s">
        <v>36</v>
      </c>
      <c r="J304" s="304" t="s">
        <v>128</v>
      </c>
      <c r="K304" s="309">
        <v>45015.0</v>
      </c>
      <c r="L304" s="309"/>
      <c r="M304" s="309"/>
      <c r="N304" s="304" t="s">
        <v>42</v>
      </c>
      <c r="O304" s="304">
        <v>133.2</v>
      </c>
      <c r="P304" s="309"/>
      <c r="Q304" s="309">
        <v>45082.0</v>
      </c>
      <c r="R304" s="308">
        <v>45082.0</v>
      </c>
      <c r="S304" s="304" t="s">
        <v>43</v>
      </c>
      <c r="T304" s="304" t="s">
        <v>910</v>
      </c>
    </row>
    <row r="305">
      <c r="A305" s="306" t="s">
        <v>911</v>
      </c>
      <c r="B305" s="309">
        <v>44999.0</v>
      </c>
      <c r="C305" s="308">
        <v>44999.0</v>
      </c>
      <c r="D305" s="304" t="s">
        <v>24</v>
      </c>
      <c r="E305" s="304" t="s">
        <v>25</v>
      </c>
      <c r="F305" s="304" t="s">
        <v>26</v>
      </c>
      <c r="G305" s="304" t="s">
        <v>912</v>
      </c>
      <c r="H305" s="304" t="s">
        <v>28</v>
      </c>
      <c r="I305" s="304" t="s">
        <v>36</v>
      </c>
      <c r="J305" s="304" t="s">
        <v>497</v>
      </c>
      <c r="K305" s="309">
        <v>44999.0</v>
      </c>
      <c r="L305" s="309"/>
      <c r="M305" s="309"/>
      <c r="N305" s="304" t="s">
        <v>42</v>
      </c>
      <c r="O305" s="304"/>
      <c r="P305" s="309"/>
      <c r="Q305" s="309">
        <v>45012.0</v>
      </c>
      <c r="R305" s="308">
        <v>45012.0</v>
      </c>
      <c r="S305" s="304" t="s">
        <v>119</v>
      </c>
      <c r="T305" s="304" t="s">
        <v>913</v>
      </c>
    </row>
    <row r="306">
      <c r="A306" s="306" t="s">
        <v>914</v>
      </c>
      <c r="B306" s="309">
        <v>44999.0</v>
      </c>
      <c r="C306" s="308">
        <v>44999.0</v>
      </c>
      <c r="D306" s="304" t="s">
        <v>915</v>
      </c>
      <c r="E306" s="304" t="s">
        <v>25</v>
      </c>
      <c r="F306" s="304" t="s">
        <v>26</v>
      </c>
      <c r="G306" s="304" t="s">
        <v>916</v>
      </c>
      <c r="H306" s="304" t="s">
        <v>49</v>
      </c>
      <c r="I306" s="304" t="s">
        <v>61</v>
      </c>
      <c r="J306" s="304" t="s">
        <v>497</v>
      </c>
      <c r="K306" s="309">
        <v>45012.0</v>
      </c>
      <c r="L306" s="309"/>
      <c r="M306" s="309"/>
      <c r="N306" s="304" t="s">
        <v>42</v>
      </c>
      <c r="O306" s="304"/>
      <c r="P306" s="309"/>
      <c r="Q306" s="309">
        <v>45013.0</v>
      </c>
      <c r="R306" s="308">
        <v>45013.0</v>
      </c>
      <c r="S306" s="304" t="s">
        <v>96</v>
      </c>
      <c r="T306" s="304" t="s">
        <v>917</v>
      </c>
    </row>
    <row r="307">
      <c r="A307" s="306" t="s">
        <v>918</v>
      </c>
      <c r="B307" s="309">
        <v>44998.0</v>
      </c>
      <c r="C307" s="308">
        <v>44998.0</v>
      </c>
      <c r="D307" s="304" t="s">
        <v>919</v>
      </c>
      <c r="E307" s="304" t="s">
        <v>920</v>
      </c>
      <c r="F307" s="304" t="s">
        <v>26</v>
      </c>
      <c r="G307" s="304" t="s">
        <v>921</v>
      </c>
      <c r="H307" s="304" t="s">
        <v>28</v>
      </c>
      <c r="I307" s="304" t="s">
        <v>61</v>
      </c>
      <c r="J307" s="304"/>
      <c r="K307" s="309"/>
      <c r="L307" s="309"/>
      <c r="M307" s="309"/>
      <c r="N307" s="304" t="s">
        <v>30</v>
      </c>
      <c r="O307" s="304"/>
      <c r="P307" s="309"/>
      <c r="Q307" s="309"/>
      <c r="R307" s="308"/>
      <c r="S307" s="309"/>
      <c r="T307" s="304"/>
    </row>
    <row r="308">
      <c r="A308" s="306" t="s">
        <v>922</v>
      </c>
      <c r="B308" s="309">
        <v>44993.0</v>
      </c>
      <c r="C308" s="308">
        <v>44993.0</v>
      </c>
      <c r="D308" s="304" t="s">
        <v>745</v>
      </c>
      <c r="E308" s="304" t="s">
        <v>25</v>
      </c>
      <c r="F308" s="304" t="s">
        <v>26</v>
      </c>
      <c r="G308" s="304" t="s">
        <v>923</v>
      </c>
      <c r="H308" s="304" t="s">
        <v>49</v>
      </c>
      <c r="I308" s="304" t="s">
        <v>61</v>
      </c>
      <c r="J308" s="304" t="s">
        <v>41</v>
      </c>
      <c r="K308" s="309">
        <v>44993.0</v>
      </c>
      <c r="L308" s="309"/>
      <c r="M308" s="304"/>
      <c r="N308" s="304" t="s">
        <v>42</v>
      </c>
      <c r="O308" s="304">
        <v>262.49</v>
      </c>
      <c r="P308" s="309"/>
      <c r="Q308" s="309">
        <v>45043.0</v>
      </c>
      <c r="R308" s="308">
        <v>45043.0</v>
      </c>
      <c r="S308" s="304" t="s">
        <v>43</v>
      </c>
      <c r="T308" s="304" t="s">
        <v>924</v>
      </c>
    </row>
    <row r="309">
      <c r="A309" s="306" t="s">
        <v>925</v>
      </c>
      <c r="B309" s="309">
        <v>44993.0</v>
      </c>
      <c r="C309" s="308">
        <v>44993.0</v>
      </c>
      <c r="D309" s="304" t="s">
        <v>285</v>
      </c>
      <c r="E309" s="304" t="s">
        <v>25</v>
      </c>
      <c r="F309" s="304" t="s">
        <v>26</v>
      </c>
      <c r="G309" s="304" t="s">
        <v>926</v>
      </c>
      <c r="H309" s="304" t="s">
        <v>28</v>
      </c>
      <c r="I309" s="304" t="s">
        <v>29</v>
      </c>
      <c r="J309" s="304" t="s">
        <v>110</v>
      </c>
      <c r="K309" s="309">
        <v>45042.0</v>
      </c>
      <c r="L309" s="309">
        <v>45800.0</v>
      </c>
      <c r="M309" s="304" t="s">
        <v>927</v>
      </c>
      <c r="N309" s="304" t="s">
        <v>42</v>
      </c>
      <c r="O309" s="304">
        <v>482.25</v>
      </c>
      <c r="P309" s="309">
        <v>45839.0</v>
      </c>
      <c r="Q309" s="309">
        <v>45839.0</v>
      </c>
      <c r="R309" s="308">
        <v>45839.0</v>
      </c>
      <c r="S309" s="304" t="s">
        <v>797</v>
      </c>
      <c r="T309" s="304" t="s">
        <v>928</v>
      </c>
    </row>
    <row r="310">
      <c r="A310" s="306" t="s">
        <v>929</v>
      </c>
      <c r="B310" s="309">
        <v>44991.0</v>
      </c>
      <c r="C310" s="308">
        <v>44991.0</v>
      </c>
      <c r="D310" s="304" t="s">
        <v>108</v>
      </c>
      <c r="E310" s="304" t="s">
        <v>25</v>
      </c>
      <c r="F310" s="304" t="s">
        <v>26</v>
      </c>
      <c r="G310" s="304" t="s">
        <v>930</v>
      </c>
      <c r="H310" s="304" t="s">
        <v>49</v>
      </c>
      <c r="I310" s="304" t="s">
        <v>29</v>
      </c>
      <c r="J310" s="304" t="s">
        <v>128</v>
      </c>
      <c r="K310" s="309">
        <v>44991.0</v>
      </c>
      <c r="L310" s="309"/>
      <c r="M310" s="309"/>
      <c r="N310" s="304" t="s">
        <v>42</v>
      </c>
      <c r="O310" s="304"/>
      <c r="P310" s="309"/>
      <c r="Q310" s="309">
        <v>45021.0</v>
      </c>
      <c r="R310" s="308">
        <v>45021.0</v>
      </c>
      <c r="S310" s="304" t="s">
        <v>96</v>
      </c>
      <c r="T310" s="304" t="s">
        <v>931</v>
      </c>
    </row>
    <row r="311">
      <c r="A311" s="306" t="s">
        <v>932</v>
      </c>
      <c r="B311" s="309">
        <v>44987.0</v>
      </c>
      <c r="C311" s="308">
        <v>44987.0</v>
      </c>
      <c r="D311" s="304" t="s">
        <v>633</v>
      </c>
      <c r="E311" s="304" t="s">
        <v>25</v>
      </c>
      <c r="F311" s="304" t="s">
        <v>26</v>
      </c>
      <c r="G311" s="304" t="s">
        <v>933</v>
      </c>
      <c r="H311" s="304" t="s">
        <v>28</v>
      </c>
      <c r="I311" s="304" t="s">
        <v>36</v>
      </c>
      <c r="J311" s="304" t="s">
        <v>75</v>
      </c>
      <c r="K311" s="309">
        <v>45019.0</v>
      </c>
      <c r="L311" s="309"/>
      <c r="M311" s="309"/>
      <c r="N311" s="304" t="s">
        <v>42</v>
      </c>
      <c r="O311" s="304">
        <v>256.7</v>
      </c>
      <c r="P311" s="309"/>
      <c r="Q311" s="309">
        <v>45210.0</v>
      </c>
      <c r="R311" s="308">
        <v>45210.0</v>
      </c>
      <c r="S311" s="304" t="s">
        <v>227</v>
      </c>
      <c r="T311" s="304" t="s">
        <v>934</v>
      </c>
    </row>
    <row r="312">
      <c r="A312" s="306" t="s">
        <v>935</v>
      </c>
      <c r="B312" s="309">
        <v>44985.0</v>
      </c>
      <c r="C312" s="308">
        <v>44985.0</v>
      </c>
      <c r="D312" s="304" t="s">
        <v>936</v>
      </c>
      <c r="E312" s="304" t="s">
        <v>33</v>
      </c>
      <c r="F312" s="304" t="s">
        <v>26</v>
      </c>
      <c r="G312" s="304" t="s">
        <v>937</v>
      </c>
      <c r="H312" s="304" t="s">
        <v>28</v>
      </c>
      <c r="I312" s="304" t="s">
        <v>61</v>
      </c>
      <c r="J312" s="304" t="s">
        <v>497</v>
      </c>
      <c r="K312" s="309">
        <v>45043.0</v>
      </c>
      <c r="L312" s="309"/>
      <c r="M312" s="309"/>
      <c r="N312" s="304" t="s">
        <v>42</v>
      </c>
      <c r="O312" s="304"/>
      <c r="P312" s="309"/>
      <c r="Q312" s="309">
        <v>45089.0</v>
      </c>
      <c r="R312" s="308">
        <v>45089.0</v>
      </c>
      <c r="S312" s="304" t="s">
        <v>43</v>
      </c>
      <c r="T312" s="304" t="s">
        <v>938</v>
      </c>
    </row>
    <row r="313">
      <c r="A313" s="306" t="s">
        <v>939</v>
      </c>
      <c r="B313" s="309">
        <v>44981.0</v>
      </c>
      <c r="C313" s="308">
        <v>44981.0</v>
      </c>
      <c r="D313" s="304" t="s">
        <v>165</v>
      </c>
      <c r="E313" s="304" t="s">
        <v>33</v>
      </c>
      <c r="F313" s="304" t="s">
        <v>26</v>
      </c>
      <c r="G313" s="304" t="s">
        <v>940</v>
      </c>
      <c r="H313" s="304" t="s">
        <v>28</v>
      </c>
      <c r="I313" s="304" t="s">
        <v>61</v>
      </c>
      <c r="J313" s="304" t="s">
        <v>497</v>
      </c>
      <c r="K313" s="309">
        <v>45156.0</v>
      </c>
      <c r="L313" s="309"/>
      <c r="M313" s="309"/>
      <c r="N313" s="304" t="s">
        <v>343</v>
      </c>
      <c r="O313" s="304"/>
      <c r="P313" s="309"/>
      <c r="Q313" s="309"/>
      <c r="R313" s="308"/>
      <c r="S313" s="309"/>
      <c r="T313" s="304" t="s">
        <v>941</v>
      </c>
    </row>
    <row r="314">
      <c r="A314" s="306" t="s">
        <v>942</v>
      </c>
      <c r="B314" s="309">
        <v>44960.0</v>
      </c>
      <c r="C314" s="308">
        <v>44960.0</v>
      </c>
      <c r="D314" s="304" t="s">
        <v>943</v>
      </c>
      <c r="E314" s="304" t="s">
        <v>25</v>
      </c>
      <c r="F314" s="304" t="s">
        <v>26</v>
      </c>
      <c r="G314" s="304" t="s">
        <v>944</v>
      </c>
      <c r="H314" s="304" t="s">
        <v>28</v>
      </c>
      <c r="I314" s="304" t="s">
        <v>36</v>
      </c>
      <c r="J314" s="304" t="s">
        <v>75</v>
      </c>
      <c r="K314" s="309">
        <v>44960.0</v>
      </c>
      <c r="L314" s="309"/>
      <c r="M314" s="309"/>
      <c r="N314" s="304" t="s">
        <v>42</v>
      </c>
      <c r="O314" s="304"/>
      <c r="P314" s="309"/>
      <c r="Q314" s="309">
        <v>45002.0</v>
      </c>
      <c r="R314" s="308">
        <v>45002.0</v>
      </c>
      <c r="S314" s="304" t="s">
        <v>43</v>
      </c>
      <c r="T314" s="304" t="s">
        <v>945</v>
      </c>
    </row>
    <row r="315">
      <c r="A315" s="304" t="s">
        <v>946</v>
      </c>
      <c r="B315" s="309">
        <v>44957.0</v>
      </c>
      <c r="C315" s="308">
        <v>44957.0</v>
      </c>
      <c r="D315" s="304" t="s">
        <v>165</v>
      </c>
      <c r="E315" s="304" t="s">
        <v>33</v>
      </c>
      <c r="F315" s="304" t="s">
        <v>26</v>
      </c>
      <c r="G315" s="304" t="s">
        <v>947</v>
      </c>
      <c r="H315" s="304" t="s">
        <v>28</v>
      </c>
      <c r="I315" s="304" t="s">
        <v>29</v>
      </c>
      <c r="J315" s="304" t="s">
        <v>110</v>
      </c>
      <c r="K315" s="309">
        <v>44967.0</v>
      </c>
      <c r="L315" s="309"/>
      <c r="M315" s="309"/>
      <c r="N315" s="304" t="s">
        <v>42</v>
      </c>
      <c r="O315" s="304">
        <v>345.65</v>
      </c>
      <c r="P315" s="309"/>
      <c r="Q315" s="309">
        <v>45040.0</v>
      </c>
      <c r="R315" s="308">
        <v>45040.0</v>
      </c>
      <c r="S315" s="304" t="s">
        <v>96</v>
      </c>
      <c r="T315" s="304" t="s">
        <v>948</v>
      </c>
    </row>
    <row r="316">
      <c r="A316" s="306" t="s">
        <v>949</v>
      </c>
      <c r="B316" s="309">
        <v>44946.0</v>
      </c>
      <c r="C316" s="308">
        <v>44946.0</v>
      </c>
      <c r="D316" s="304" t="s">
        <v>24</v>
      </c>
      <c r="E316" s="304" t="s">
        <v>25</v>
      </c>
      <c r="F316" s="304" t="s">
        <v>26</v>
      </c>
      <c r="G316" s="304" t="s">
        <v>950</v>
      </c>
      <c r="H316" s="304" t="s">
        <v>28</v>
      </c>
      <c r="I316" s="304" t="s">
        <v>36</v>
      </c>
      <c r="J316" s="304" t="s">
        <v>497</v>
      </c>
      <c r="K316" s="309">
        <v>45040.0</v>
      </c>
      <c r="L316" s="309"/>
      <c r="M316" s="309"/>
      <c r="N316" s="304" t="s">
        <v>42</v>
      </c>
      <c r="O316" s="304"/>
      <c r="P316" s="309"/>
      <c r="Q316" s="309">
        <v>45357.0</v>
      </c>
      <c r="R316" s="308">
        <v>45357.0</v>
      </c>
      <c r="S316" s="304" t="s">
        <v>43</v>
      </c>
      <c r="T316" s="304" t="s">
        <v>951</v>
      </c>
    </row>
    <row r="317">
      <c r="A317" s="306" t="s">
        <v>952</v>
      </c>
      <c r="B317" s="309">
        <v>44939.0</v>
      </c>
      <c r="C317" s="308">
        <v>44939.0</v>
      </c>
      <c r="D317" s="304" t="s">
        <v>953</v>
      </c>
      <c r="E317" s="304" t="s">
        <v>25</v>
      </c>
      <c r="F317" s="304" t="s">
        <v>26</v>
      </c>
      <c r="G317" s="304" t="s">
        <v>954</v>
      </c>
      <c r="H317" s="304" t="s">
        <v>28</v>
      </c>
      <c r="I317" s="304" t="s">
        <v>36</v>
      </c>
      <c r="J317" s="304" t="s">
        <v>75</v>
      </c>
      <c r="K317" s="309">
        <v>44939.0</v>
      </c>
      <c r="L317" s="309"/>
      <c r="M317" s="309"/>
      <c r="N317" s="304" t="s">
        <v>118</v>
      </c>
      <c r="O317" s="304"/>
      <c r="P317" s="309"/>
      <c r="Q317" s="309">
        <v>45679.0</v>
      </c>
      <c r="R317" s="308">
        <v>45679.0</v>
      </c>
      <c r="S317" s="304" t="s">
        <v>124</v>
      </c>
      <c r="T317" s="304" t="s">
        <v>955</v>
      </c>
    </row>
    <row r="318">
      <c r="A318" s="306" t="s">
        <v>956</v>
      </c>
      <c r="B318" s="309">
        <v>44895.0</v>
      </c>
      <c r="C318" s="308">
        <v>44895.0</v>
      </c>
      <c r="D318" s="304" t="s">
        <v>375</v>
      </c>
      <c r="E318" s="304" t="s">
        <v>25</v>
      </c>
      <c r="F318" s="304" t="s">
        <v>26</v>
      </c>
      <c r="G318" s="304" t="s">
        <v>957</v>
      </c>
      <c r="H318" s="304" t="s">
        <v>28</v>
      </c>
      <c r="I318" s="304" t="s">
        <v>36</v>
      </c>
      <c r="J318" s="304" t="s">
        <v>128</v>
      </c>
      <c r="K318" s="309">
        <v>44963.0</v>
      </c>
      <c r="L318" s="309"/>
      <c r="M318" s="309">
        <v>45239.0</v>
      </c>
      <c r="N318" s="304" t="s">
        <v>42</v>
      </c>
      <c r="O318" s="304"/>
      <c r="P318" s="309"/>
      <c r="Q318" s="309">
        <v>45541.0</v>
      </c>
      <c r="R318" s="308">
        <v>45541.0</v>
      </c>
      <c r="S318" s="304" t="s">
        <v>227</v>
      </c>
      <c r="T318" s="304" t="s">
        <v>958</v>
      </c>
    </row>
    <row r="319">
      <c r="A319" s="306" t="s">
        <v>959</v>
      </c>
      <c r="B319" s="309">
        <v>44956.0</v>
      </c>
      <c r="C319" s="308">
        <v>44956.0</v>
      </c>
      <c r="D319" s="304" t="s">
        <v>960</v>
      </c>
      <c r="E319" s="304" t="s">
        <v>25</v>
      </c>
      <c r="F319" s="304" t="s">
        <v>26</v>
      </c>
      <c r="G319" s="304" t="s">
        <v>961</v>
      </c>
      <c r="H319" s="304" t="s">
        <v>28</v>
      </c>
      <c r="I319" s="304" t="s">
        <v>36</v>
      </c>
      <c r="J319" s="304" t="s">
        <v>497</v>
      </c>
      <c r="K319" s="309">
        <v>45022.0</v>
      </c>
      <c r="L319" s="309"/>
      <c r="M319" s="309"/>
      <c r="N319" s="304" t="s">
        <v>42</v>
      </c>
      <c r="O319" s="304"/>
      <c r="P319" s="309"/>
      <c r="Q319" s="309">
        <v>45569.0</v>
      </c>
      <c r="R319" s="308">
        <v>45569.0</v>
      </c>
      <c r="S319" s="304" t="s">
        <v>119</v>
      </c>
      <c r="T319" s="304" t="s">
        <v>962</v>
      </c>
    </row>
    <row r="320">
      <c r="A320" s="306" t="s">
        <v>963</v>
      </c>
      <c r="B320" s="309">
        <v>44946.0</v>
      </c>
      <c r="C320" s="308">
        <v>44946.0</v>
      </c>
      <c r="D320" s="304" t="s">
        <v>936</v>
      </c>
      <c r="E320" s="304" t="s">
        <v>33</v>
      </c>
      <c r="F320" s="304" t="s">
        <v>26</v>
      </c>
      <c r="G320" s="304" t="s">
        <v>964</v>
      </c>
      <c r="H320" s="304" t="s">
        <v>28</v>
      </c>
      <c r="I320" s="304" t="s">
        <v>36</v>
      </c>
      <c r="J320" s="304" t="s">
        <v>497</v>
      </c>
      <c r="K320" s="309">
        <v>45043.0</v>
      </c>
      <c r="L320" s="309"/>
      <c r="M320" s="309"/>
      <c r="N320" s="304" t="s">
        <v>42</v>
      </c>
      <c r="O320" s="304"/>
      <c r="P320" s="309"/>
      <c r="Q320" s="309">
        <v>45089.0</v>
      </c>
      <c r="R320" s="308">
        <v>45089.0</v>
      </c>
      <c r="S320" s="304" t="s">
        <v>43</v>
      </c>
      <c r="T320" s="304" t="s">
        <v>938</v>
      </c>
    </row>
    <row r="321">
      <c r="A321" s="306" t="s">
        <v>965</v>
      </c>
      <c r="B321" s="309">
        <v>44937.0</v>
      </c>
      <c r="C321" s="308">
        <v>44937.0</v>
      </c>
      <c r="D321" s="304" t="s">
        <v>161</v>
      </c>
      <c r="E321" s="304" t="s">
        <v>25</v>
      </c>
      <c r="F321" s="304" t="s">
        <v>26</v>
      </c>
      <c r="G321" s="304" t="s">
        <v>966</v>
      </c>
      <c r="H321" s="304" t="s">
        <v>28</v>
      </c>
      <c r="I321" s="304" t="s">
        <v>36</v>
      </c>
      <c r="J321" s="304" t="s">
        <v>128</v>
      </c>
      <c r="K321" s="309">
        <v>44939.0</v>
      </c>
      <c r="L321" s="309"/>
      <c r="M321" s="309"/>
      <c r="N321" s="304" t="s">
        <v>42</v>
      </c>
      <c r="O321" s="304">
        <v>1823.7</v>
      </c>
      <c r="P321" s="309"/>
      <c r="Q321" s="309">
        <v>44949.0</v>
      </c>
      <c r="R321" s="308">
        <v>44949.0</v>
      </c>
      <c r="S321" s="304" t="s">
        <v>96</v>
      </c>
      <c r="T321" s="304" t="s">
        <v>967</v>
      </c>
    </row>
    <row r="322">
      <c r="A322" s="306" t="s">
        <v>968</v>
      </c>
      <c r="B322" s="309">
        <v>44935.0</v>
      </c>
      <c r="C322" s="308">
        <v>44935.0</v>
      </c>
      <c r="D322" s="304" t="s">
        <v>427</v>
      </c>
      <c r="E322" s="304" t="s">
        <v>25</v>
      </c>
      <c r="F322" s="304" t="s">
        <v>26</v>
      </c>
      <c r="G322" s="304" t="s">
        <v>969</v>
      </c>
      <c r="H322" s="304" t="s">
        <v>28</v>
      </c>
      <c r="I322" s="304" t="s">
        <v>29</v>
      </c>
      <c r="J322" s="304" t="s">
        <v>128</v>
      </c>
      <c r="K322" s="309">
        <v>44936.0</v>
      </c>
      <c r="L322" s="309"/>
      <c r="M322" s="309"/>
      <c r="N322" s="304" t="s">
        <v>42</v>
      </c>
      <c r="O322" s="304"/>
      <c r="P322" s="309"/>
      <c r="Q322" s="309">
        <v>44938.0</v>
      </c>
      <c r="R322" s="308">
        <v>44938.0</v>
      </c>
      <c r="S322" s="304" t="s">
        <v>43</v>
      </c>
      <c r="T322" s="304" t="s">
        <v>970</v>
      </c>
    </row>
    <row r="323">
      <c r="A323" s="306" t="s">
        <v>971</v>
      </c>
      <c r="B323" s="309">
        <v>44935.0</v>
      </c>
      <c r="C323" s="308">
        <v>44935.0</v>
      </c>
      <c r="D323" s="304" t="s">
        <v>32</v>
      </c>
      <c r="E323" s="304" t="s">
        <v>33</v>
      </c>
      <c r="F323" s="304" t="s">
        <v>26</v>
      </c>
      <c r="G323" s="304" t="s">
        <v>972</v>
      </c>
      <c r="H323" s="304" t="s">
        <v>28</v>
      </c>
      <c r="I323" s="304" t="s">
        <v>61</v>
      </c>
      <c r="J323" s="304"/>
      <c r="K323" s="309"/>
      <c r="L323" s="309"/>
      <c r="M323" s="309"/>
      <c r="N323" s="304" t="s">
        <v>30</v>
      </c>
      <c r="O323" s="304"/>
      <c r="P323" s="309"/>
      <c r="Q323" s="309"/>
      <c r="R323" s="308"/>
      <c r="S323" s="309"/>
      <c r="T323" s="304"/>
    </row>
    <row r="324">
      <c r="A324" s="306" t="s">
        <v>973</v>
      </c>
      <c r="B324" s="309">
        <v>44914.0</v>
      </c>
      <c r="C324" s="308">
        <v>44914.0</v>
      </c>
      <c r="D324" s="304" t="s">
        <v>974</v>
      </c>
      <c r="E324" s="304" t="s">
        <v>47</v>
      </c>
      <c r="F324" s="304" t="s">
        <v>47</v>
      </c>
      <c r="G324" s="304" t="s">
        <v>975</v>
      </c>
      <c r="H324" s="304" t="s">
        <v>49</v>
      </c>
      <c r="I324" s="304" t="s">
        <v>61</v>
      </c>
      <c r="J324" s="304" t="s">
        <v>41</v>
      </c>
      <c r="K324" s="309">
        <v>44939.0</v>
      </c>
      <c r="L324" s="309"/>
      <c r="M324" s="309"/>
      <c r="N324" s="304" t="s">
        <v>42</v>
      </c>
      <c r="O324" s="304">
        <v>48.16</v>
      </c>
      <c r="P324" s="309"/>
      <c r="Q324" s="309">
        <v>44979.0</v>
      </c>
      <c r="R324" s="308">
        <v>44979.0</v>
      </c>
      <c r="S324" s="304" t="s">
        <v>96</v>
      </c>
      <c r="T324" s="304" t="s">
        <v>976</v>
      </c>
    </row>
    <row r="325">
      <c r="A325" s="306" t="s">
        <v>977</v>
      </c>
      <c r="B325" s="309">
        <v>44907.0</v>
      </c>
      <c r="C325" s="308">
        <v>44907.0</v>
      </c>
      <c r="D325" s="304" t="s">
        <v>633</v>
      </c>
      <c r="E325" s="304" t="s">
        <v>25</v>
      </c>
      <c r="F325" s="304" t="s">
        <v>26</v>
      </c>
      <c r="G325" s="304" t="s">
        <v>978</v>
      </c>
      <c r="H325" s="304" t="s">
        <v>28</v>
      </c>
      <c r="I325" s="304" t="s">
        <v>36</v>
      </c>
      <c r="J325" s="304" t="s">
        <v>128</v>
      </c>
      <c r="K325" s="309">
        <v>44907.0</v>
      </c>
      <c r="L325" s="309"/>
      <c r="M325" s="309"/>
      <c r="N325" s="304" t="s">
        <v>42</v>
      </c>
      <c r="O325" s="304">
        <v>361.0</v>
      </c>
      <c r="P325" s="309"/>
      <c r="Q325" s="309">
        <v>44914.0</v>
      </c>
      <c r="R325" s="308">
        <v>44914.0</v>
      </c>
      <c r="S325" s="304" t="s">
        <v>43</v>
      </c>
      <c r="T325" s="304" t="s">
        <v>979</v>
      </c>
    </row>
    <row r="326">
      <c r="A326" s="306" t="s">
        <v>980</v>
      </c>
      <c r="B326" s="309">
        <v>44903.0</v>
      </c>
      <c r="C326" s="308">
        <v>44903.0</v>
      </c>
      <c r="D326" s="304" t="s">
        <v>981</v>
      </c>
      <c r="E326" s="304" t="s">
        <v>25</v>
      </c>
      <c r="F326" s="304" t="s">
        <v>26</v>
      </c>
      <c r="G326" s="304" t="s">
        <v>982</v>
      </c>
      <c r="H326" s="304" t="s">
        <v>28</v>
      </c>
      <c r="I326" s="304" t="s">
        <v>36</v>
      </c>
      <c r="J326" s="304" t="s">
        <v>110</v>
      </c>
      <c r="K326" s="309">
        <v>44903.0</v>
      </c>
      <c r="L326" s="309"/>
      <c r="M326" s="309"/>
      <c r="N326" s="304" t="s">
        <v>42</v>
      </c>
      <c r="O326" s="304">
        <v>126.7</v>
      </c>
      <c r="P326" s="309"/>
      <c r="Q326" s="309">
        <v>44938.0</v>
      </c>
      <c r="R326" s="308">
        <v>44938.0</v>
      </c>
      <c r="S326" s="304" t="s">
        <v>96</v>
      </c>
      <c r="T326" s="304" t="s">
        <v>983</v>
      </c>
    </row>
    <row r="327">
      <c r="A327" s="306" t="s">
        <v>984</v>
      </c>
      <c r="B327" s="309">
        <v>44902.0</v>
      </c>
      <c r="C327" s="308">
        <v>44902.0</v>
      </c>
      <c r="D327" s="304" t="s">
        <v>419</v>
      </c>
      <c r="E327" s="304" t="s">
        <v>33</v>
      </c>
      <c r="F327" s="304" t="s">
        <v>26</v>
      </c>
      <c r="G327" s="304" t="s">
        <v>985</v>
      </c>
      <c r="H327" s="304" t="s">
        <v>186</v>
      </c>
      <c r="I327" s="304" t="s">
        <v>61</v>
      </c>
      <c r="J327" s="304"/>
      <c r="K327" s="309"/>
      <c r="L327" s="309"/>
      <c r="M327" s="309"/>
      <c r="N327" s="304" t="s">
        <v>30</v>
      </c>
      <c r="O327" s="304"/>
      <c r="P327" s="309"/>
      <c r="Q327" s="309"/>
      <c r="R327" s="308"/>
      <c r="S327" s="309"/>
      <c r="T327" s="304"/>
    </row>
    <row r="328">
      <c r="A328" s="306" t="s">
        <v>986</v>
      </c>
      <c r="B328" s="309">
        <v>44902.0</v>
      </c>
      <c r="C328" s="308">
        <v>44902.0</v>
      </c>
      <c r="D328" s="304" t="s">
        <v>237</v>
      </c>
      <c r="E328" s="304" t="s">
        <v>33</v>
      </c>
      <c r="F328" s="304" t="s">
        <v>26</v>
      </c>
      <c r="G328" s="304" t="s">
        <v>921</v>
      </c>
      <c r="H328" s="304" t="s">
        <v>28</v>
      </c>
      <c r="I328" s="304" t="s">
        <v>29</v>
      </c>
      <c r="J328" s="304" t="s">
        <v>497</v>
      </c>
      <c r="K328" s="309">
        <v>45484.0</v>
      </c>
      <c r="L328" s="309">
        <v>45484.0</v>
      </c>
      <c r="M328" s="309">
        <v>45484.0</v>
      </c>
      <c r="N328" s="304" t="s">
        <v>343</v>
      </c>
      <c r="O328" s="304">
        <v>980.0</v>
      </c>
      <c r="P328" s="309"/>
      <c r="Q328" s="309"/>
      <c r="R328" s="308"/>
      <c r="S328" s="309"/>
      <c r="T328" s="304" t="s">
        <v>987</v>
      </c>
    </row>
    <row r="329">
      <c r="A329" s="306" t="s">
        <v>988</v>
      </c>
      <c r="B329" s="309">
        <v>44901.0</v>
      </c>
      <c r="C329" s="308">
        <v>44901.0</v>
      </c>
      <c r="D329" s="304" t="s">
        <v>179</v>
      </c>
      <c r="E329" s="304" t="s">
        <v>33</v>
      </c>
      <c r="F329" s="304" t="s">
        <v>26</v>
      </c>
      <c r="G329" s="304" t="s">
        <v>989</v>
      </c>
      <c r="H329" s="304" t="s">
        <v>28</v>
      </c>
      <c r="I329" s="304" t="s">
        <v>36</v>
      </c>
      <c r="J329" s="304" t="s">
        <v>128</v>
      </c>
      <c r="K329" s="309">
        <v>44939.0</v>
      </c>
      <c r="L329" s="309"/>
      <c r="M329" s="309"/>
      <c r="N329" s="304" t="s">
        <v>42</v>
      </c>
      <c r="O329" s="304"/>
      <c r="P329" s="309"/>
      <c r="Q329" s="309">
        <v>44944.0</v>
      </c>
      <c r="R329" s="308">
        <v>44944.0</v>
      </c>
      <c r="S329" s="304" t="s">
        <v>43</v>
      </c>
      <c r="T329" s="304"/>
    </row>
    <row r="330">
      <c r="A330" s="304" t="s">
        <v>990</v>
      </c>
      <c r="B330" s="309">
        <v>44895.0</v>
      </c>
      <c r="C330" s="308">
        <v>44895.0</v>
      </c>
      <c r="D330" s="304" t="s">
        <v>915</v>
      </c>
      <c r="E330" s="304" t="s">
        <v>25</v>
      </c>
      <c r="F330" s="304" t="s">
        <v>26</v>
      </c>
      <c r="G330" s="304" t="s">
        <v>991</v>
      </c>
      <c r="H330" s="304" t="s">
        <v>49</v>
      </c>
      <c r="I330" s="304" t="s">
        <v>36</v>
      </c>
      <c r="J330" s="304" t="s">
        <v>41</v>
      </c>
      <c r="K330" s="309">
        <v>44895.0</v>
      </c>
      <c r="L330" s="309"/>
      <c r="M330" s="309"/>
      <c r="N330" s="304" t="s">
        <v>42</v>
      </c>
      <c r="O330" s="304">
        <v>473.5</v>
      </c>
      <c r="P330" s="309"/>
      <c r="Q330" s="309">
        <v>44915.0</v>
      </c>
      <c r="R330" s="308">
        <v>44915.0</v>
      </c>
      <c r="S330" s="304" t="s">
        <v>43</v>
      </c>
      <c r="T330" s="304" t="s">
        <v>992</v>
      </c>
    </row>
    <row r="331">
      <c r="A331" s="306" t="s">
        <v>993</v>
      </c>
      <c r="B331" s="309">
        <v>44869.0</v>
      </c>
      <c r="C331" s="308">
        <v>44869.0</v>
      </c>
      <c r="D331" s="304" t="s">
        <v>81</v>
      </c>
      <c r="E331" s="304" t="s">
        <v>25</v>
      </c>
      <c r="F331" s="304" t="s">
        <v>26</v>
      </c>
      <c r="G331" s="304" t="s">
        <v>994</v>
      </c>
      <c r="H331" s="304" t="s">
        <v>49</v>
      </c>
      <c r="I331" s="304" t="s">
        <v>61</v>
      </c>
      <c r="J331" s="304"/>
      <c r="K331" s="309"/>
      <c r="L331" s="309"/>
      <c r="M331" s="309"/>
      <c r="N331" s="304" t="s">
        <v>30</v>
      </c>
      <c r="O331" s="304"/>
      <c r="P331" s="309"/>
      <c r="Q331" s="309"/>
      <c r="R331" s="308"/>
      <c r="S331" s="309"/>
      <c r="T331" s="304"/>
    </row>
    <row r="332">
      <c r="A332" s="306" t="s">
        <v>995</v>
      </c>
      <c r="B332" s="309">
        <v>44869.0</v>
      </c>
      <c r="C332" s="308">
        <v>44869.0</v>
      </c>
      <c r="D332" s="304" t="s">
        <v>723</v>
      </c>
      <c r="E332" s="304" t="s">
        <v>25</v>
      </c>
      <c r="F332" s="304" t="s">
        <v>26</v>
      </c>
      <c r="G332" s="304" t="s">
        <v>996</v>
      </c>
      <c r="H332" s="304" t="s">
        <v>28</v>
      </c>
      <c r="I332" s="304" t="s">
        <v>61</v>
      </c>
      <c r="J332" s="304"/>
      <c r="K332" s="309"/>
      <c r="L332" s="309"/>
      <c r="M332" s="309"/>
      <c r="N332" s="304" t="s">
        <v>118</v>
      </c>
      <c r="O332" s="304"/>
      <c r="P332" s="309"/>
      <c r="Q332" s="309">
        <v>45660.0</v>
      </c>
      <c r="R332" s="308">
        <v>45660.0</v>
      </c>
      <c r="S332" s="304" t="s">
        <v>124</v>
      </c>
      <c r="T332" s="304" t="s">
        <v>997</v>
      </c>
    </row>
    <row r="333">
      <c r="A333" s="306" t="s">
        <v>998</v>
      </c>
      <c r="B333" s="309">
        <v>44866.0</v>
      </c>
      <c r="C333" s="308">
        <v>44866.0</v>
      </c>
      <c r="D333" s="304" t="s">
        <v>133</v>
      </c>
      <c r="E333" s="304" t="s">
        <v>33</v>
      </c>
      <c r="F333" s="304" t="s">
        <v>26</v>
      </c>
      <c r="G333" s="304" t="s">
        <v>999</v>
      </c>
      <c r="H333" s="304" t="s">
        <v>28</v>
      </c>
      <c r="I333" s="304" t="s">
        <v>61</v>
      </c>
      <c r="J333" s="304" t="s">
        <v>41</v>
      </c>
      <c r="K333" s="309"/>
      <c r="L333" s="309"/>
      <c r="M333" s="309"/>
      <c r="N333" s="304" t="s">
        <v>64</v>
      </c>
      <c r="O333" s="304"/>
      <c r="P333" s="309"/>
      <c r="Q333" s="309"/>
      <c r="R333" s="308"/>
      <c r="S333" s="309"/>
      <c r="T333" s="304"/>
    </row>
    <row r="334">
      <c r="A334" s="306" t="s">
        <v>1000</v>
      </c>
      <c r="B334" s="309">
        <v>44852.0</v>
      </c>
      <c r="C334" s="308">
        <v>44852.0</v>
      </c>
      <c r="D334" s="304" t="s">
        <v>213</v>
      </c>
      <c r="E334" s="304" t="s">
        <v>25</v>
      </c>
      <c r="F334" s="304" t="s">
        <v>26</v>
      </c>
      <c r="G334" s="304" t="s">
        <v>1001</v>
      </c>
      <c r="H334" s="304" t="s">
        <v>28</v>
      </c>
      <c r="I334" s="304" t="s">
        <v>36</v>
      </c>
      <c r="J334" s="304" t="s">
        <v>110</v>
      </c>
      <c r="K334" s="309">
        <v>45233.0</v>
      </c>
      <c r="L334" s="309"/>
      <c r="M334" s="309"/>
      <c r="N334" s="304" t="s">
        <v>42</v>
      </c>
      <c r="O334" s="304"/>
      <c r="P334" s="309"/>
      <c r="Q334" s="309">
        <v>45265.0</v>
      </c>
      <c r="R334" s="308">
        <v>45265.0</v>
      </c>
      <c r="S334" s="304" t="s">
        <v>43</v>
      </c>
      <c r="T334" s="304" t="s">
        <v>1002</v>
      </c>
    </row>
    <row r="335">
      <c r="A335" s="306" t="s">
        <v>1003</v>
      </c>
      <c r="B335" s="309">
        <v>44840.0</v>
      </c>
      <c r="C335" s="308">
        <v>44840.0</v>
      </c>
      <c r="D335" s="304" t="s">
        <v>52</v>
      </c>
      <c r="E335" s="304" t="s">
        <v>33</v>
      </c>
      <c r="F335" s="304" t="s">
        <v>26</v>
      </c>
      <c r="G335" s="304" t="s">
        <v>1004</v>
      </c>
      <c r="H335" s="304" t="s">
        <v>54</v>
      </c>
      <c r="I335" s="304" t="s">
        <v>36</v>
      </c>
      <c r="J335" s="304" t="s">
        <v>41</v>
      </c>
      <c r="K335" s="309">
        <v>44840.0</v>
      </c>
      <c r="L335" s="309"/>
      <c r="M335" s="309"/>
      <c r="N335" s="304" t="s">
        <v>42</v>
      </c>
      <c r="O335" s="304"/>
      <c r="P335" s="309"/>
      <c r="Q335" s="309">
        <v>44841.0</v>
      </c>
      <c r="R335" s="308">
        <v>44841.0</v>
      </c>
      <c r="S335" s="304" t="s">
        <v>124</v>
      </c>
      <c r="T335" s="304" t="s">
        <v>1005</v>
      </c>
    </row>
    <row r="336">
      <c r="A336" s="306" t="s">
        <v>1006</v>
      </c>
      <c r="B336" s="309">
        <v>44804.0</v>
      </c>
      <c r="C336" s="308">
        <v>44804.0</v>
      </c>
      <c r="D336" s="304" t="s">
        <v>375</v>
      </c>
      <c r="E336" s="304" t="s">
        <v>25</v>
      </c>
      <c r="F336" s="304" t="s">
        <v>26</v>
      </c>
      <c r="G336" s="304" t="s">
        <v>1007</v>
      </c>
      <c r="H336" s="304" t="s">
        <v>28</v>
      </c>
      <c r="I336" s="304" t="s">
        <v>36</v>
      </c>
      <c r="J336" s="304" t="s">
        <v>128</v>
      </c>
      <c r="K336" s="309">
        <v>44874.0</v>
      </c>
      <c r="L336" s="309"/>
      <c r="M336" s="309">
        <v>44874.0</v>
      </c>
      <c r="N336" s="304" t="s">
        <v>118</v>
      </c>
      <c r="O336" s="304"/>
      <c r="P336" s="309"/>
      <c r="Q336" s="309">
        <v>45239.0</v>
      </c>
      <c r="R336" s="308">
        <v>45239.0</v>
      </c>
      <c r="S336" s="304" t="s">
        <v>124</v>
      </c>
      <c r="T336" s="304" t="s">
        <v>1008</v>
      </c>
    </row>
    <row r="337">
      <c r="A337" s="306" t="s">
        <v>1009</v>
      </c>
      <c r="B337" s="309">
        <v>44797.0</v>
      </c>
      <c r="C337" s="308">
        <v>44797.0</v>
      </c>
      <c r="D337" s="304" t="s">
        <v>723</v>
      </c>
      <c r="E337" s="304" t="s">
        <v>25</v>
      </c>
      <c r="F337" s="304" t="s">
        <v>26</v>
      </c>
      <c r="G337" s="304" t="s">
        <v>1010</v>
      </c>
      <c r="H337" s="304" t="s">
        <v>35</v>
      </c>
      <c r="I337" s="304" t="s">
        <v>36</v>
      </c>
      <c r="J337" s="304" t="s">
        <v>128</v>
      </c>
      <c r="K337" s="309">
        <v>45135.0</v>
      </c>
      <c r="L337" s="309"/>
      <c r="M337" s="309"/>
      <c r="N337" s="304" t="s">
        <v>118</v>
      </c>
      <c r="O337" s="304"/>
      <c r="P337" s="309"/>
      <c r="Q337" s="309">
        <v>45148.0</v>
      </c>
      <c r="R337" s="308">
        <v>45148.0</v>
      </c>
      <c r="S337" s="304" t="s">
        <v>124</v>
      </c>
      <c r="T337" s="304" t="s">
        <v>1011</v>
      </c>
    </row>
    <row r="338">
      <c r="A338" s="306" t="s">
        <v>1012</v>
      </c>
      <c r="B338" s="309">
        <v>44790.0</v>
      </c>
      <c r="C338" s="308">
        <v>44790.0</v>
      </c>
      <c r="D338" s="304" t="s">
        <v>237</v>
      </c>
      <c r="E338" s="304" t="s">
        <v>33</v>
      </c>
      <c r="F338" s="304" t="s">
        <v>26</v>
      </c>
      <c r="G338" s="304" t="s">
        <v>1013</v>
      </c>
      <c r="H338" s="304" t="s">
        <v>28</v>
      </c>
      <c r="I338" s="304" t="s">
        <v>29</v>
      </c>
      <c r="J338" s="304" t="s">
        <v>75</v>
      </c>
      <c r="K338" s="309">
        <v>44795.0</v>
      </c>
      <c r="L338" s="309"/>
      <c r="M338" s="309"/>
      <c r="N338" s="304" t="s">
        <v>42</v>
      </c>
      <c r="O338" s="304"/>
      <c r="P338" s="309"/>
      <c r="Q338" s="309">
        <v>44868.0</v>
      </c>
      <c r="R338" s="308">
        <v>44868.0</v>
      </c>
      <c r="S338" s="304" t="s">
        <v>43</v>
      </c>
      <c r="T338" s="304" t="s">
        <v>1014</v>
      </c>
    </row>
    <row r="339">
      <c r="A339" s="306" t="s">
        <v>1015</v>
      </c>
      <c r="B339" s="309">
        <v>44781.0</v>
      </c>
      <c r="C339" s="308">
        <v>44781.0</v>
      </c>
      <c r="D339" s="304" t="s">
        <v>91</v>
      </c>
      <c r="E339" s="304" t="s">
        <v>25</v>
      </c>
      <c r="F339" s="304" t="s">
        <v>26</v>
      </c>
      <c r="G339" s="304" t="s">
        <v>1016</v>
      </c>
      <c r="H339" s="304" t="s">
        <v>60</v>
      </c>
      <c r="I339" s="304" t="s">
        <v>29</v>
      </c>
      <c r="J339" s="304" t="s">
        <v>110</v>
      </c>
      <c r="K339" s="309">
        <v>44806.0</v>
      </c>
      <c r="L339" s="309"/>
      <c r="M339" s="309"/>
      <c r="N339" s="304" t="s">
        <v>42</v>
      </c>
      <c r="O339" s="304">
        <v>800.3</v>
      </c>
      <c r="P339" s="309"/>
      <c r="Q339" s="309">
        <v>45253.0</v>
      </c>
      <c r="R339" s="308">
        <v>45253.0</v>
      </c>
      <c r="S339" s="304" t="s">
        <v>96</v>
      </c>
      <c r="T339" s="304" t="s">
        <v>1017</v>
      </c>
    </row>
    <row r="340">
      <c r="A340" s="306" t="s">
        <v>1018</v>
      </c>
      <c r="B340" s="309">
        <v>44781.0</v>
      </c>
      <c r="C340" s="308">
        <v>44781.0</v>
      </c>
      <c r="D340" s="304" t="s">
        <v>38</v>
      </c>
      <c r="E340" s="304" t="s">
        <v>33</v>
      </c>
      <c r="F340" s="304" t="s">
        <v>26</v>
      </c>
      <c r="G340" s="304" t="s">
        <v>1019</v>
      </c>
      <c r="H340" s="304" t="s">
        <v>49</v>
      </c>
      <c r="I340" s="304" t="s">
        <v>61</v>
      </c>
      <c r="J340" s="304"/>
      <c r="K340" s="309"/>
      <c r="L340" s="309"/>
      <c r="M340" s="309"/>
      <c r="N340" s="304" t="s">
        <v>30</v>
      </c>
      <c r="O340" s="304"/>
      <c r="P340" s="309"/>
      <c r="Q340" s="309"/>
      <c r="R340" s="308"/>
      <c r="S340" s="309"/>
      <c r="T340" s="304"/>
    </row>
    <row r="341">
      <c r="A341" s="306" t="s">
        <v>1020</v>
      </c>
      <c r="B341" s="309">
        <v>44778.0</v>
      </c>
      <c r="C341" s="308">
        <v>44778.0</v>
      </c>
      <c r="D341" s="304" t="s">
        <v>91</v>
      </c>
      <c r="E341" s="304" t="s">
        <v>25</v>
      </c>
      <c r="F341" s="304" t="s">
        <v>26</v>
      </c>
      <c r="G341" s="304" t="s">
        <v>1021</v>
      </c>
      <c r="H341" s="304" t="s">
        <v>28</v>
      </c>
      <c r="I341" s="304" t="s">
        <v>61</v>
      </c>
      <c r="J341" s="304"/>
      <c r="K341" s="309"/>
      <c r="L341" s="309"/>
      <c r="M341" s="309"/>
      <c r="N341" s="304" t="s">
        <v>30</v>
      </c>
      <c r="O341" s="304"/>
      <c r="P341" s="309"/>
      <c r="Q341" s="309"/>
      <c r="R341" s="308"/>
      <c r="S341" s="309"/>
      <c r="T341" s="304" t="s">
        <v>1022</v>
      </c>
    </row>
    <row r="342">
      <c r="A342" s="306" t="s">
        <v>1023</v>
      </c>
      <c r="B342" s="309">
        <v>44830.0</v>
      </c>
      <c r="C342" s="308">
        <v>44830.0</v>
      </c>
      <c r="D342" s="304" t="s">
        <v>402</v>
      </c>
      <c r="E342" s="304" t="s">
        <v>25</v>
      </c>
      <c r="F342" s="304" t="s">
        <v>26</v>
      </c>
      <c r="G342" s="304" t="s">
        <v>1024</v>
      </c>
      <c r="H342" s="304" t="s">
        <v>49</v>
      </c>
      <c r="I342" s="304" t="s">
        <v>61</v>
      </c>
      <c r="J342" s="304" t="s">
        <v>152</v>
      </c>
      <c r="K342" s="309">
        <v>44873.0</v>
      </c>
      <c r="L342" s="309"/>
      <c r="M342" s="309"/>
      <c r="N342" s="304" t="s">
        <v>42</v>
      </c>
      <c r="O342" s="304"/>
      <c r="P342" s="309"/>
      <c r="Q342" s="309">
        <v>44894.0</v>
      </c>
      <c r="R342" s="308">
        <v>44894.0</v>
      </c>
      <c r="S342" s="304" t="s">
        <v>124</v>
      </c>
      <c r="T342" s="304" t="s">
        <v>1025</v>
      </c>
    </row>
    <row r="343">
      <c r="A343" s="306" t="s">
        <v>1026</v>
      </c>
      <c r="B343" s="309">
        <v>44830.0</v>
      </c>
      <c r="C343" s="308">
        <v>44830.0</v>
      </c>
      <c r="D343" s="304" t="s">
        <v>133</v>
      </c>
      <c r="E343" s="304" t="s">
        <v>33</v>
      </c>
      <c r="F343" s="304" t="s">
        <v>26</v>
      </c>
      <c r="G343" s="304" t="s">
        <v>1027</v>
      </c>
      <c r="H343" s="304" t="s">
        <v>472</v>
      </c>
      <c r="I343" s="304" t="s">
        <v>61</v>
      </c>
      <c r="J343" s="304"/>
      <c r="K343" s="309"/>
      <c r="L343" s="309"/>
      <c r="M343" s="309"/>
      <c r="N343" s="304" t="s">
        <v>30</v>
      </c>
      <c r="O343" s="304"/>
      <c r="P343" s="309"/>
      <c r="Q343" s="309"/>
      <c r="R343" s="308"/>
      <c r="S343" s="309"/>
      <c r="T343" s="304"/>
    </row>
    <row r="344">
      <c r="A344" s="306" t="s">
        <v>1028</v>
      </c>
      <c r="B344" s="309">
        <v>44830.0</v>
      </c>
      <c r="C344" s="308">
        <v>44830.0</v>
      </c>
      <c r="D344" s="304" t="s">
        <v>1029</v>
      </c>
      <c r="E344" s="304" t="s">
        <v>1030</v>
      </c>
      <c r="F344" s="304" t="s">
        <v>1030</v>
      </c>
      <c r="G344" s="304" t="s">
        <v>1031</v>
      </c>
      <c r="H344" s="304" t="s">
        <v>28</v>
      </c>
      <c r="I344" s="304" t="s">
        <v>36</v>
      </c>
      <c r="J344" s="304" t="s">
        <v>152</v>
      </c>
      <c r="K344" s="309">
        <v>44838.0</v>
      </c>
      <c r="L344" s="309"/>
      <c r="M344" s="309"/>
      <c r="N344" s="304" t="s">
        <v>42</v>
      </c>
      <c r="O344" s="304">
        <v>24.0</v>
      </c>
      <c r="P344" s="309"/>
      <c r="Q344" s="309">
        <v>44866.0</v>
      </c>
      <c r="R344" s="308">
        <v>44866.0</v>
      </c>
      <c r="S344" s="304" t="s">
        <v>43</v>
      </c>
      <c r="T344" s="304" t="s">
        <v>1032</v>
      </c>
    </row>
    <row r="345">
      <c r="A345" s="306" t="s">
        <v>1033</v>
      </c>
      <c r="B345" s="309">
        <v>44825.0</v>
      </c>
      <c r="C345" s="308">
        <v>44825.0</v>
      </c>
      <c r="D345" s="304" t="s">
        <v>723</v>
      </c>
      <c r="E345" s="304"/>
      <c r="F345" s="304" t="s">
        <v>26</v>
      </c>
      <c r="G345" s="304" t="s">
        <v>1034</v>
      </c>
      <c r="H345" s="304" t="s">
        <v>186</v>
      </c>
      <c r="I345" s="304" t="s">
        <v>61</v>
      </c>
      <c r="J345" s="304"/>
      <c r="K345" s="309"/>
      <c r="L345" s="309"/>
      <c r="M345" s="309"/>
      <c r="N345" s="304" t="s">
        <v>118</v>
      </c>
      <c r="O345" s="304"/>
      <c r="P345" s="309"/>
      <c r="Q345" s="309">
        <v>45660.0</v>
      </c>
      <c r="R345" s="308">
        <v>45660.0</v>
      </c>
      <c r="S345" s="304" t="s">
        <v>124</v>
      </c>
      <c r="T345" s="304" t="s">
        <v>997</v>
      </c>
    </row>
    <row r="346">
      <c r="A346" s="306" t="s">
        <v>1035</v>
      </c>
      <c r="B346" s="309">
        <v>44817.0</v>
      </c>
      <c r="C346" s="308">
        <v>44817.0</v>
      </c>
      <c r="D346" s="304" t="s">
        <v>133</v>
      </c>
      <c r="E346" s="304" t="s">
        <v>33</v>
      </c>
      <c r="F346" s="304" t="s">
        <v>26</v>
      </c>
      <c r="G346" s="304" t="s">
        <v>1036</v>
      </c>
      <c r="H346" s="304" t="s">
        <v>28</v>
      </c>
      <c r="I346" s="304" t="s">
        <v>36</v>
      </c>
      <c r="J346" s="304" t="s">
        <v>41</v>
      </c>
      <c r="K346" s="309">
        <v>44817.0</v>
      </c>
      <c r="L346" s="309"/>
      <c r="M346" s="309"/>
      <c r="N346" s="304" t="s">
        <v>42</v>
      </c>
      <c r="O346" s="304">
        <v>48.39</v>
      </c>
      <c r="P346" s="309"/>
      <c r="Q346" s="309">
        <v>44872.0</v>
      </c>
      <c r="R346" s="308">
        <v>44872.0</v>
      </c>
      <c r="S346" s="304" t="s">
        <v>96</v>
      </c>
      <c r="T346" s="304" t="s">
        <v>1037</v>
      </c>
    </row>
    <row r="347">
      <c r="A347" s="306" t="s">
        <v>1038</v>
      </c>
      <c r="B347" s="309">
        <v>44813.0</v>
      </c>
      <c r="C347" s="308">
        <v>44813.0</v>
      </c>
      <c r="D347" s="304" t="s">
        <v>723</v>
      </c>
      <c r="E347" s="304" t="s">
        <v>25</v>
      </c>
      <c r="F347" s="304" t="s">
        <v>26</v>
      </c>
      <c r="G347" s="304" t="s">
        <v>1039</v>
      </c>
      <c r="H347" s="304" t="s">
        <v>28</v>
      </c>
      <c r="I347" s="304" t="s">
        <v>29</v>
      </c>
      <c r="J347" s="304" t="s">
        <v>128</v>
      </c>
      <c r="K347" s="309">
        <v>45135.0</v>
      </c>
      <c r="L347" s="309"/>
      <c r="M347" s="309"/>
      <c r="N347" s="304" t="s">
        <v>42</v>
      </c>
      <c r="O347" s="304">
        <v>250.76</v>
      </c>
      <c r="P347" s="309"/>
      <c r="Q347" s="309">
        <v>45145.0</v>
      </c>
      <c r="R347" s="308">
        <v>45145.0</v>
      </c>
      <c r="S347" s="304" t="s">
        <v>227</v>
      </c>
      <c r="T347" s="304" t="s">
        <v>1040</v>
      </c>
    </row>
    <row r="348">
      <c r="A348" s="306" t="s">
        <v>1041</v>
      </c>
      <c r="B348" s="309">
        <v>44813.0</v>
      </c>
      <c r="C348" s="308">
        <v>44813.0</v>
      </c>
      <c r="D348" s="304" t="s">
        <v>1042</v>
      </c>
      <c r="E348" s="304" t="s">
        <v>33</v>
      </c>
      <c r="F348" s="304" t="s">
        <v>26</v>
      </c>
      <c r="G348" s="304" t="s">
        <v>1043</v>
      </c>
      <c r="H348" s="304" t="s">
        <v>49</v>
      </c>
      <c r="I348" s="304" t="s">
        <v>61</v>
      </c>
      <c r="J348" s="304" t="s">
        <v>75</v>
      </c>
      <c r="K348" s="309">
        <v>44838.0</v>
      </c>
      <c r="L348" s="309"/>
      <c r="M348" s="309"/>
      <c r="N348" s="304" t="s">
        <v>118</v>
      </c>
      <c r="O348" s="304"/>
      <c r="P348" s="309"/>
      <c r="Q348" s="309">
        <v>45660.0</v>
      </c>
      <c r="R348" s="308">
        <v>45660.0</v>
      </c>
      <c r="S348" s="304" t="s">
        <v>124</v>
      </c>
      <c r="T348" s="304" t="s">
        <v>997</v>
      </c>
    </row>
    <row r="349">
      <c r="A349" s="306" t="s">
        <v>1044</v>
      </c>
      <c r="B349" s="309">
        <v>44810.0</v>
      </c>
      <c r="C349" s="308">
        <v>44810.0</v>
      </c>
      <c r="D349" s="304" t="s">
        <v>427</v>
      </c>
      <c r="E349" s="304" t="s">
        <v>25</v>
      </c>
      <c r="F349" s="304" t="s">
        <v>26</v>
      </c>
      <c r="G349" s="304" t="s">
        <v>1045</v>
      </c>
      <c r="H349" s="304" t="s">
        <v>28</v>
      </c>
      <c r="I349" s="304" t="s">
        <v>36</v>
      </c>
      <c r="J349" s="304" t="s">
        <v>128</v>
      </c>
      <c r="K349" s="309">
        <v>44839.0</v>
      </c>
      <c r="L349" s="309"/>
      <c r="M349" s="309"/>
      <c r="N349" s="304" t="s">
        <v>42</v>
      </c>
      <c r="O349" s="304"/>
      <c r="P349" s="309"/>
      <c r="Q349" s="309">
        <v>44890.0</v>
      </c>
      <c r="R349" s="308">
        <v>44890.0</v>
      </c>
      <c r="S349" s="304" t="s">
        <v>43</v>
      </c>
      <c r="T349" s="304" t="s">
        <v>1046</v>
      </c>
    </row>
    <row r="350">
      <c r="A350" s="306" t="s">
        <v>1047</v>
      </c>
      <c r="B350" s="309">
        <v>44810.0</v>
      </c>
      <c r="C350" s="308">
        <v>44810.0</v>
      </c>
      <c r="D350" s="304" t="s">
        <v>116</v>
      </c>
      <c r="E350" s="304" t="s">
        <v>25</v>
      </c>
      <c r="F350" s="304" t="s">
        <v>26</v>
      </c>
      <c r="G350" s="304" t="s">
        <v>1048</v>
      </c>
      <c r="H350" s="304" t="s">
        <v>28</v>
      </c>
      <c r="I350" s="304" t="s">
        <v>36</v>
      </c>
      <c r="J350" s="304" t="s">
        <v>152</v>
      </c>
      <c r="K350" s="309">
        <v>44873.0</v>
      </c>
      <c r="L350" s="309"/>
      <c r="M350" s="309"/>
      <c r="N350" s="304" t="s">
        <v>118</v>
      </c>
      <c r="O350" s="304"/>
      <c r="P350" s="309"/>
      <c r="Q350" s="309">
        <v>44894.0</v>
      </c>
      <c r="R350" s="308">
        <v>44894.0</v>
      </c>
      <c r="S350" s="304" t="s">
        <v>124</v>
      </c>
      <c r="T350" s="304" t="s">
        <v>1049</v>
      </c>
    </row>
    <row r="351">
      <c r="A351" s="306" t="s">
        <v>1050</v>
      </c>
      <c r="B351" s="309">
        <v>44799.0</v>
      </c>
      <c r="C351" s="308">
        <v>44799.0</v>
      </c>
      <c r="D351" s="304" t="s">
        <v>91</v>
      </c>
      <c r="E351" s="304" t="s">
        <v>25</v>
      </c>
      <c r="F351" s="304" t="s">
        <v>26</v>
      </c>
      <c r="G351" s="304" t="s">
        <v>1051</v>
      </c>
      <c r="H351" s="304" t="s">
        <v>472</v>
      </c>
      <c r="I351" s="304" t="s">
        <v>61</v>
      </c>
      <c r="J351" s="304" t="s">
        <v>255</v>
      </c>
      <c r="K351" s="309">
        <v>45565.0</v>
      </c>
      <c r="L351" s="309"/>
      <c r="M351" s="309"/>
      <c r="N351" s="304" t="s">
        <v>42</v>
      </c>
      <c r="O351" s="304"/>
      <c r="P351" s="309"/>
      <c r="Q351" s="309">
        <v>45623.0</v>
      </c>
      <c r="R351" s="308">
        <v>45623.0</v>
      </c>
      <c r="S351" s="304" t="s">
        <v>227</v>
      </c>
      <c r="T351" s="304" t="s">
        <v>1052</v>
      </c>
    </row>
    <row r="352">
      <c r="A352" s="306" t="s">
        <v>1053</v>
      </c>
      <c r="B352" s="309">
        <v>44789.0</v>
      </c>
      <c r="C352" s="308">
        <v>44789.0</v>
      </c>
      <c r="D352" s="304" t="s">
        <v>823</v>
      </c>
      <c r="E352" s="304" t="s">
        <v>33</v>
      </c>
      <c r="F352" s="304" t="s">
        <v>26</v>
      </c>
      <c r="G352" s="304" t="s">
        <v>1054</v>
      </c>
      <c r="H352" s="304" t="s">
        <v>28</v>
      </c>
      <c r="I352" s="304" t="s">
        <v>36</v>
      </c>
      <c r="J352" s="304" t="s">
        <v>128</v>
      </c>
      <c r="K352" s="309">
        <v>44789.0</v>
      </c>
      <c r="L352" s="309"/>
      <c r="M352" s="309"/>
      <c r="N352" s="304" t="s">
        <v>42</v>
      </c>
      <c r="O352" s="304">
        <v>25.78</v>
      </c>
      <c r="P352" s="309"/>
      <c r="Q352" s="309">
        <v>44799.0</v>
      </c>
      <c r="R352" s="308">
        <v>44799.0</v>
      </c>
      <c r="S352" s="304" t="s">
        <v>96</v>
      </c>
      <c r="T352" s="304" t="s">
        <v>1055</v>
      </c>
    </row>
    <row r="353">
      <c r="A353" s="306" t="s">
        <v>1056</v>
      </c>
      <c r="B353" s="309">
        <v>44783.0</v>
      </c>
      <c r="C353" s="308">
        <v>44783.0</v>
      </c>
      <c r="D353" s="304" t="s">
        <v>936</v>
      </c>
      <c r="E353" s="304" t="s">
        <v>33</v>
      </c>
      <c r="F353" s="304" t="s">
        <v>26</v>
      </c>
      <c r="G353" s="304" t="s">
        <v>1057</v>
      </c>
      <c r="H353" s="304" t="s">
        <v>28</v>
      </c>
      <c r="I353" s="304" t="s">
        <v>36</v>
      </c>
      <c r="J353" s="304" t="s">
        <v>152</v>
      </c>
      <c r="K353" s="309">
        <v>44795.0</v>
      </c>
      <c r="L353" s="309"/>
      <c r="M353" s="309"/>
      <c r="N353" s="304" t="s">
        <v>42</v>
      </c>
      <c r="O353" s="304">
        <v>122.54</v>
      </c>
      <c r="P353" s="309"/>
      <c r="Q353" s="309">
        <v>44803.0</v>
      </c>
      <c r="R353" s="308">
        <v>44803.0</v>
      </c>
      <c r="S353" s="304" t="s">
        <v>43</v>
      </c>
      <c r="T353" s="304" t="s">
        <v>1058</v>
      </c>
    </row>
    <row r="354">
      <c r="A354" s="306" t="s">
        <v>1059</v>
      </c>
      <c r="B354" s="309">
        <v>44771.0</v>
      </c>
      <c r="C354" s="308">
        <v>44771.0</v>
      </c>
      <c r="D354" s="304" t="s">
        <v>195</v>
      </c>
      <c r="E354" s="304" t="s">
        <v>25</v>
      </c>
      <c r="F354" s="304" t="s">
        <v>26</v>
      </c>
      <c r="G354" s="304" t="s">
        <v>1060</v>
      </c>
      <c r="H354" s="304" t="s">
        <v>28</v>
      </c>
      <c r="I354" s="304" t="s">
        <v>61</v>
      </c>
      <c r="J354" s="304" t="s">
        <v>152</v>
      </c>
      <c r="K354" s="309">
        <v>44771.0</v>
      </c>
      <c r="L354" s="309"/>
      <c r="M354" s="309"/>
      <c r="N354" s="304" t="s">
        <v>42</v>
      </c>
      <c r="O354" s="304">
        <v>108.89</v>
      </c>
      <c r="P354" s="309"/>
      <c r="Q354" s="309">
        <v>44795.0</v>
      </c>
      <c r="R354" s="308">
        <v>44795.0</v>
      </c>
      <c r="S354" s="304" t="s">
        <v>96</v>
      </c>
      <c r="T354" s="304" t="s">
        <v>1061</v>
      </c>
    </row>
    <row r="355">
      <c r="A355" s="306" t="s">
        <v>1062</v>
      </c>
      <c r="B355" s="309">
        <v>44771.0</v>
      </c>
      <c r="C355" s="308">
        <v>44771.0</v>
      </c>
      <c r="D355" s="304" t="s">
        <v>66</v>
      </c>
      <c r="E355" s="304" t="s">
        <v>25</v>
      </c>
      <c r="F355" s="304" t="s">
        <v>26</v>
      </c>
      <c r="G355" s="304" t="s">
        <v>1063</v>
      </c>
      <c r="H355" s="304" t="s">
        <v>28</v>
      </c>
      <c r="I355" s="304" t="s">
        <v>36</v>
      </c>
      <c r="J355" s="304" t="s">
        <v>128</v>
      </c>
      <c r="K355" s="309">
        <v>44771.0</v>
      </c>
      <c r="L355" s="309"/>
      <c r="M355" s="309"/>
      <c r="N355" s="304" t="s">
        <v>42</v>
      </c>
      <c r="O355" s="304"/>
      <c r="P355" s="309"/>
      <c r="Q355" s="309">
        <v>44907.0</v>
      </c>
      <c r="R355" s="308">
        <v>44907.0</v>
      </c>
      <c r="S355" s="304" t="s">
        <v>119</v>
      </c>
      <c r="T355" s="304" t="s">
        <v>1064</v>
      </c>
    </row>
    <row r="356">
      <c r="A356" s="306" t="s">
        <v>1065</v>
      </c>
      <c r="B356" s="309">
        <v>44769.0</v>
      </c>
      <c r="C356" s="308">
        <v>44769.0</v>
      </c>
      <c r="D356" s="304" t="s">
        <v>195</v>
      </c>
      <c r="E356" s="304" t="s">
        <v>33</v>
      </c>
      <c r="F356" s="304" t="s">
        <v>26</v>
      </c>
      <c r="G356" s="304" t="s">
        <v>1066</v>
      </c>
      <c r="H356" s="304" t="s">
        <v>28</v>
      </c>
      <c r="I356" s="304" t="s">
        <v>36</v>
      </c>
      <c r="J356" s="304" t="s">
        <v>152</v>
      </c>
      <c r="K356" s="309">
        <v>44771.0</v>
      </c>
      <c r="L356" s="309"/>
      <c r="M356" s="309"/>
      <c r="N356" s="304" t="s">
        <v>42</v>
      </c>
      <c r="O356" s="304"/>
      <c r="P356" s="309"/>
      <c r="Q356" s="309">
        <v>45029.0</v>
      </c>
      <c r="R356" s="308">
        <v>45029.0</v>
      </c>
      <c r="S356" s="304" t="s">
        <v>96</v>
      </c>
      <c r="T356" s="304" t="s">
        <v>1067</v>
      </c>
    </row>
    <row r="357">
      <c r="A357" s="306" t="s">
        <v>1068</v>
      </c>
      <c r="B357" s="309">
        <v>44757.0</v>
      </c>
      <c r="C357" s="308">
        <v>44757.0</v>
      </c>
      <c r="D357" s="304" t="s">
        <v>81</v>
      </c>
      <c r="E357" s="304" t="s">
        <v>25</v>
      </c>
      <c r="F357" s="304" t="s">
        <v>26</v>
      </c>
      <c r="G357" s="304" t="s">
        <v>1069</v>
      </c>
      <c r="H357" s="304" t="s">
        <v>186</v>
      </c>
      <c r="I357" s="304" t="s">
        <v>36</v>
      </c>
      <c r="J357" s="304" t="s">
        <v>152</v>
      </c>
      <c r="K357" s="309">
        <v>44939.0</v>
      </c>
      <c r="L357" s="309"/>
      <c r="M357" s="309"/>
      <c r="N357" s="304" t="s">
        <v>343</v>
      </c>
      <c r="O357" s="304"/>
      <c r="P357" s="309"/>
      <c r="Q357" s="309"/>
      <c r="R357" s="308"/>
      <c r="S357" s="309"/>
      <c r="T357" s="304" t="s">
        <v>1070</v>
      </c>
    </row>
    <row r="358">
      <c r="A358" s="306" t="s">
        <v>1071</v>
      </c>
      <c r="B358" s="309">
        <v>44756.0</v>
      </c>
      <c r="C358" s="308">
        <v>44756.0</v>
      </c>
      <c r="D358" s="304" t="s">
        <v>38</v>
      </c>
      <c r="E358" s="304" t="s">
        <v>33</v>
      </c>
      <c r="F358" s="304" t="s">
        <v>26</v>
      </c>
      <c r="G358" s="304" t="s">
        <v>1072</v>
      </c>
      <c r="H358" s="304" t="s">
        <v>28</v>
      </c>
      <c r="I358" s="304" t="s">
        <v>36</v>
      </c>
      <c r="J358" s="304" t="s">
        <v>110</v>
      </c>
      <c r="K358" s="309">
        <v>44771.0</v>
      </c>
      <c r="L358" s="309"/>
      <c r="M358" s="309"/>
      <c r="N358" s="304" t="s">
        <v>42</v>
      </c>
      <c r="O358" s="304">
        <v>54.25</v>
      </c>
      <c r="P358" s="309"/>
      <c r="Q358" s="307">
        <v>44825.0</v>
      </c>
      <c r="R358" s="308">
        <v>44825.0</v>
      </c>
      <c r="S358" s="304" t="s">
        <v>96</v>
      </c>
      <c r="T358" s="304" t="s">
        <v>1073</v>
      </c>
    </row>
    <row r="359">
      <c r="A359" s="306" t="s">
        <v>1074</v>
      </c>
      <c r="B359" s="309">
        <v>44750.0</v>
      </c>
      <c r="C359" s="308">
        <v>44750.0</v>
      </c>
      <c r="D359" s="304" t="s">
        <v>561</v>
      </c>
      <c r="E359" s="304" t="s">
        <v>25</v>
      </c>
      <c r="F359" s="304" t="s">
        <v>26</v>
      </c>
      <c r="G359" s="304" t="s">
        <v>1075</v>
      </c>
      <c r="H359" s="304" t="s">
        <v>28</v>
      </c>
      <c r="I359" s="304" t="s">
        <v>36</v>
      </c>
      <c r="J359" s="304" t="s">
        <v>152</v>
      </c>
      <c r="K359" s="309">
        <v>44750.0</v>
      </c>
      <c r="L359" s="309"/>
      <c r="M359" s="309"/>
      <c r="N359" s="304" t="s">
        <v>42</v>
      </c>
      <c r="O359" s="304">
        <v>105.0</v>
      </c>
      <c r="P359" s="309"/>
      <c r="Q359" s="309">
        <v>44789.0</v>
      </c>
      <c r="R359" s="308">
        <v>44789.0</v>
      </c>
      <c r="S359" s="304" t="s">
        <v>96</v>
      </c>
      <c r="T359" s="304" t="s">
        <v>1076</v>
      </c>
    </row>
    <row r="360">
      <c r="A360" s="306" t="s">
        <v>1077</v>
      </c>
      <c r="B360" s="309">
        <v>44748.0</v>
      </c>
      <c r="C360" s="308">
        <v>44748.0</v>
      </c>
      <c r="D360" s="304" t="s">
        <v>981</v>
      </c>
      <c r="E360" s="304" t="s">
        <v>33</v>
      </c>
      <c r="F360" s="304" t="s">
        <v>26</v>
      </c>
      <c r="G360" s="304" t="s">
        <v>1078</v>
      </c>
      <c r="H360" s="304" t="s">
        <v>28</v>
      </c>
      <c r="I360" s="304" t="s">
        <v>36</v>
      </c>
      <c r="J360" s="304" t="s">
        <v>152</v>
      </c>
      <c r="K360" s="309">
        <v>44748.0</v>
      </c>
      <c r="L360" s="309"/>
      <c r="M360" s="309"/>
      <c r="N360" s="304" t="s">
        <v>42</v>
      </c>
      <c r="O360" s="304">
        <v>122.9</v>
      </c>
      <c r="P360" s="309"/>
      <c r="Q360" s="309">
        <v>44764.0</v>
      </c>
      <c r="R360" s="308">
        <v>44764.0</v>
      </c>
      <c r="S360" s="304" t="s">
        <v>119</v>
      </c>
      <c r="T360" s="304" t="s">
        <v>1079</v>
      </c>
    </row>
    <row r="361">
      <c r="A361" s="306" t="s">
        <v>1080</v>
      </c>
      <c r="B361" s="309">
        <v>44717.0</v>
      </c>
      <c r="C361" s="308">
        <v>44717.0</v>
      </c>
      <c r="D361" s="304" t="s">
        <v>116</v>
      </c>
      <c r="E361" s="304" t="s">
        <v>25</v>
      </c>
      <c r="F361" s="304" t="s">
        <v>26</v>
      </c>
      <c r="G361" s="304" t="s">
        <v>1081</v>
      </c>
      <c r="H361" s="304" t="s">
        <v>28</v>
      </c>
      <c r="I361" s="304" t="s">
        <v>36</v>
      </c>
      <c r="J361" s="304" t="s">
        <v>1082</v>
      </c>
      <c r="K361" s="309">
        <v>44722.0</v>
      </c>
      <c r="L361" s="309"/>
      <c r="M361" s="309"/>
      <c r="N361" s="304" t="s">
        <v>42</v>
      </c>
      <c r="O361" s="304"/>
      <c r="P361" s="309"/>
      <c r="Q361" s="309">
        <v>44818.0</v>
      </c>
      <c r="R361" s="308">
        <v>44818.0</v>
      </c>
      <c r="S361" s="304" t="s">
        <v>797</v>
      </c>
      <c r="T361" s="304"/>
    </row>
    <row r="362">
      <c r="A362" s="306" t="s">
        <v>1083</v>
      </c>
      <c r="B362" s="309">
        <v>44715.0</v>
      </c>
      <c r="C362" s="308">
        <v>44715.0</v>
      </c>
      <c r="D362" s="304" t="s">
        <v>66</v>
      </c>
      <c r="E362" s="304" t="s">
        <v>25</v>
      </c>
      <c r="F362" s="304" t="s">
        <v>26</v>
      </c>
      <c r="G362" s="304" t="s">
        <v>1084</v>
      </c>
      <c r="H362" s="304" t="s">
        <v>28</v>
      </c>
      <c r="I362" s="304" t="s">
        <v>61</v>
      </c>
      <c r="J362" s="304" t="s">
        <v>128</v>
      </c>
      <c r="K362" s="309">
        <v>44722.0</v>
      </c>
      <c r="L362" s="309"/>
      <c r="M362" s="309"/>
      <c r="N362" s="304" t="s">
        <v>42</v>
      </c>
      <c r="O362" s="304"/>
      <c r="P362" s="309"/>
      <c r="Q362" s="309">
        <v>44746.0</v>
      </c>
      <c r="R362" s="308">
        <v>44746.0</v>
      </c>
      <c r="S362" s="304" t="s">
        <v>119</v>
      </c>
      <c r="T362" s="304" t="s">
        <v>1085</v>
      </c>
    </row>
    <row r="363">
      <c r="A363" s="306" t="s">
        <v>1086</v>
      </c>
      <c r="B363" s="309">
        <v>45065.0</v>
      </c>
      <c r="C363" s="308">
        <v>45065.0</v>
      </c>
      <c r="D363" s="304" t="s">
        <v>91</v>
      </c>
      <c r="E363" s="304" t="s">
        <v>25</v>
      </c>
      <c r="F363" s="304" t="s">
        <v>26</v>
      </c>
      <c r="G363" s="304" t="s">
        <v>1087</v>
      </c>
      <c r="H363" s="304" t="s">
        <v>28</v>
      </c>
      <c r="I363" s="304" t="s">
        <v>36</v>
      </c>
      <c r="J363" s="304" t="s">
        <v>152</v>
      </c>
      <c r="K363" s="309">
        <v>44722.0</v>
      </c>
      <c r="L363" s="309"/>
      <c r="M363" s="309"/>
      <c r="N363" s="304" t="s">
        <v>42</v>
      </c>
      <c r="O363" s="304">
        <v>220.0</v>
      </c>
      <c r="P363" s="309"/>
      <c r="Q363" s="309">
        <v>45090.0</v>
      </c>
      <c r="R363" s="308">
        <v>45090.0</v>
      </c>
      <c r="S363" s="304" t="s">
        <v>43</v>
      </c>
      <c r="T363" s="304" t="s">
        <v>1088</v>
      </c>
    </row>
    <row r="364">
      <c r="A364" s="306" t="s">
        <v>1089</v>
      </c>
      <c r="B364" s="309">
        <v>44700.0</v>
      </c>
      <c r="C364" s="308">
        <v>44700.0</v>
      </c>
      <c r="D364" s="304" t="s">
        <v>375</v>
      </c>
      <c r="E364" s="304" t="s">
        <v>25</v>
      </c>
      <c r="F364" s="304" t="s">
        <v>26</v>
      </c>
      <c r="G364" s="304" t="s">
        <v>1090</v>
      </c>
      <c r="H364" s="304" t="s">
        <v>28</v>
      </c>
      <c r="I364" s="304" t="s">
        <v>61</v>
      </c>
      <c r="J364" s="304" t="s">
        <v>152</v>
      </c>
      <c r="K364" s="309">
        <v>44722.0</v>
      </c>
      <c r="L364" s="309"/>
      <c r="M364" s="309"/>
      <c r="N364" s="304" t="s">
        <v>42</v>
      </c>
      <c r="O364" s="304">
        <v>77.2</v>
      </c>
      <c r="P364" s="309"/>
      <c r="Q364" s="309">
        <v>45061.0</v>
      </c>
      <c r="R364" s="308">
        <v>45061.0</v>
      </c>
      <c r="S364" s="304" t="s">
        <v>43</v>
      </c>
      <c r="T364" s="304" t="s">
        <v>1091</v>
      </c>
    </row>
    <row r="365">
      <c r="A365" s="306" t="s">
        <v>1092</v>
      </c>
      <c r="B365" s="309">
        <v>44699.0</v>
      </c>
      <c r="C365" s="308">
        <v>44699.0</v>
      </c>
      <c r="D365" s="304" t="s">
        <v>375</v>
      </c>
      <c r="E365" s="304" t="s">
        <v>25</v>
      </c>
      <c r="F365" s="304" t="s">
        <v>26</v>
      </c>
      <c r="G365" s="304" t="s">
        <v>1093</v>
      </c>
      <c r="H365" s="304" t="s">
        <v>35</v>
      </c>
      <c r="I365" s="304" t="s">
        <v>61</v>
      </c>
      <c r="J365" s="304" t="s">
        <v>152</v>
      </c>
      <c r="K365" s="309"/>
      <c r="L365" s="309"/>
      <c r="M365" s="309"/>
      <c r="N365" s="304" t="s">
        <v>343</v>
      </c>
      <c r="O365" s="304"/>
      <c r="P365" s="309"/>
      <c r="Q365" s="309"/>
      <c r="R365" s="308"/>
      <c r="S365" s="309"/>
      <c r="T365" s="304"/>
    </row>
    <row r="366">
      <c r="A366" s="306" t="s">
        <v>1094</v>
      </c>
      <c r="B366" s="309">
        <v>44697.0</v>
      </c>
      <c r="C366" s="308">
        <v>44697.0</v>
      </c>
      <c r="D366" s="304" t="s">
        <v>161</v>
      </c>
      <c r="E366" s="304" t="s">
        <v>25</v>
      </c>
      <c r="F366" s="304" t="s">
        <v>26</v>
      </c>
      <c r="G366" s="304" t="s">
        <v>880</v>
      </c>
      <c r="H366" s="304" t="s">
        <v>35</v>
      </c>
      <c r="I366" s="304" t="s">
        <v>36</v>
      </c>
      <c r="J366" s="304" t="s">
        <v>152</v>
      </c>
      <c r="K366" s="309">
        <v>44697.0</v>
      </c>
      <c r="L366" s="309"/>
      <c r="M366" s="309"/>
      <c r="N366" s="304" t="s">
        <v>42</v>
      </c>
      <c r="O366" s="304"/>
      <c r="P366" s="309"/>
      <c r="Q366" s="309">
        <v>45057.0</v>
      </c>
      <c r="R366" s="308">
        <v>44784.0</v>
      </c>
      <c r="S366" s="304" t="s">
        <v>43</v>
      </c>
      <c r="T366" s="304" t="s">
        <v>1095</v>
      </c>
    </row>
    <row r="367">
      <c r="A367" s="304" t="s">
        <v>1096</v>
      </c>
      <c r="B367" s="309">
        <v>44697.0</v>
      </c>
      <c r="C367" s="308">
        <v>44697.0</v>
      </c>
      <c r="D367" s="304" t="s">
        <v>1097</v>
      </c>
      <c r="E367" s="304" t="s">
        <v>33</v>
      </c>
      <c r="F367" s="304" t="s">
        <v>26</v>
      </c>
      <c r="G367" s="304" t="s">
        <v>1098</v>
      </c>
      <c r="H367" s="304" t="s">
        <v>28</v>
      </c>
      <c r="I367" s="304" t="s">
        <v>61</v>
      </c>
      <c r="J367" s="304" t="s">
        <v>152</v>
      </c>
      <c r="K367" s="309">
        <v>44719.0</v>
      </c>
      <c r="L367" s="309"/>
      <c r="M367" s="309"/>
      <c r="N367" s="304" t="s">
        <v>42</v>
      </c>
      <c r="O367" s="304"/>
      <c r="P367" s="309"/>
      <c r="Q367" s="309"/>
      <c r="R367" s="308">
        <v>44784.0</v>
      </c>
      <c r="S367" s="304"/>
      <c r="T367" s="304"/>
    </row>
    <row r="368">
      <c r="A368" s="306" t="s">
        <v>1099</v>
      </c>
      <c r="B368" s="309">
        <v>44695.0</v>
      </c>
      <c r="C368" s="308">
        <v>44695.0</v>
      </c>
      <c r="D368" s="304" t="s">
        <v>1100</v>
      </c>
      <c r="E368" s="304" t="s">
        <v>33</v>
      </c>
      <c r="F368" s="304" t="s">
        <v>26</v>
      </c>
      <c r="G368" s="304" t="s">
        <v>1101</v>
      </c>
      <c r="H368" s="304" t="s">
        <v>28</v>
      </c>
      <c r="I368" s="304" t="s">
        <v>29</v>
      </c>
      <c r="J368" s="304" t="s">
        <v>41</v>
      </c>
      <c r="K368" s="309"/>
      <c r="L368" s="309"/>
      <c r="M368" s="309"/>
      <c r="N368" s="304" t="s">
        <v>118</v>
      </c>
      <c r="O368" s="304"/>
      <c r="P368" s="309"/>
      <c r="Q368" s="309">
        <v>44732.0</v>
      </c>
      <c r="R368" s="308">
        <v>44707.0</v>
      </c>
      <c r="S368" s="304" t="s">
        <v>124</v>
      </c>
      <c r="T368" s="304" t="s">
        <v>1102</v>
      </c>
    </row>
    <row r="369">
      <c r="A369" s="306" t="s">
        <v>1103</v>
      </c>
      <c r="B369" s="309">
        <v>44693.0</v>
      </c>
      <c r="C369" s="308">
        <v>44693.0</v>
      </c>
      <c r="D369" s="304" t="s">
        <v>147</v>
      </c>
      <c r="E369" s="304" t="s">
        <v>25</v>
      </c>
      <c r="F369" s="304" t="s">
        <v>26</v>
      </c>
      <c r="G369" s="304" t="s">
        <v>1104</v>
      </c>
      <c r="H369" s="304" t="s">
        <v>28</v>
      </c>
      <c r="I369" s="304" t="s">
        <v>29</v>
      </c>
      <c r="J369" s="304" t="s">
        <v>128</v>
      </c>
      <c r="K369" s="309">
        <v>44693.0</v>
      </c>
      <c r="L369" s="309"/>
      <c r="M369" s="309"/>
      <c r="N369" s="304" t="s">
        <v>42</v>
      </c>
      <c r="O369" s="304">
        <v>16.47</v>
      </c>
      <c r="P369" s="309"/>
      <c r="Q369" s="309">
        <v>44784.0</v>
      </c>
      <c r="R369" s="308">
        <v>44784.0</v>
      </c>
      <c r="S369" s="304" t="s">
        <v>119</v>
      </c>
      <c r="T369" s="304" t="s">
        <v>1105</v>
      </c>
    </row>
    <row r="370">
      <c r="A370" s="306" t="s">
        <v>1106</v>
      </c>
      <c r="B370" s="309">
        <v>44687.0</v>
      </c>
      <c r="C370" s="308">
        <v>44687.0</v>
      </c>
      <c r="D370" s="304" t="s">
        <v>116</v>
      </c>
      <c r="E370" s="304" t="s">
        <v>25</v>
      </c>
      <c r="F370" s="304" t="s">
        <v>26</v>
      </c>
      <c r="G370" s="304" t="s">
        <v>1107</v>
      </c>
      <c r="H370" s="304" t="s">
        <v>60</v>
      </c>
      <c r="I370" s="304" t="s">
        <v>29</v>
      </c>
      <c r="J370" s="304" t="s">
        <v>110</v>
      </c>
      <c r="K370" s="309"/>
      <c r="L370" s="309"/>
      <c r="M370" s="309"/>
      <c r="N370" s="304" t="s">
        <v>42</v>
      </c>
      <c r="O370" s="304"/>
      <c r="P370" s="309"/>
      <c r="Q370" s="309"/>
      <c r="R370" s="308">
        <v>44707.0</v>
      </c>
      <c r="S370" s="304" t="s">
        <v>96</v>
      </c>
      <c r="T370" s="304"/>
    </row>
    <row r="371">
      <c r="A371" s="306" t="s">
        <v>1108</v>
      </c>
      <c r="B371" s="309">
        <v>44685.0</v>
      </c>
      <c r="C371" s="308">
        <v>44685.0</v>
      </c>
      <c r="D371" s="304" t="s">
        <v>195</v>
      </c>
      <c r="E371" s="304" t="s">
        <v>33</v>
      </c>
      <c r="F371" s="304" t="s">
        <v>26</v>
      </c>
      <c r="G371" s="304" t="s">
        <v>1109</v>
      </c>
      <c r="H371" s="304" t="s">
        <v>28</v>
      </c>
      <c r="I371" s="304" t="s">
        <v>29</v>
      </c>
      <c r="J371" s="304" t="s">
        <v>41</v>
      </c>
      <c r="K371" s="309">
        <v>44685.0</v>
      </c>
      <c r="L371" s="309"/>
      <c r="M371" s="309"/>
      <c r="N371" s="304" t="s">
        <v>42</v>
      </c>
      <c r="O371" s="304"/>
      <c r="P371" s="309"/>
      <c r="Q371" s="309">
        <v>44707.0</v>
      </c>
      <c r="R371" s="308">
        <v>44707.0</v>
      </c>
      <c r="S371" s="304" t="s">
        <v>96</v>
      </c>
      <c r="T371" s="304"/>
    </row>
    <row r="372">
      <c r="A372" s="306" t="s">
        <v>1110</v>
      </c>
      <c r="B372" s="309">
        <v>44676.0</v>
      </c>
      <c r="C372" s="308">
        <v>44676.0</v>
      </c>
      <c r="D372" s="304" t="s">
        <v>91</v>
      </c>
      <c r="E372" s="304" t="s">
        <v>25</v>
      </c>
      <c r="F372" s="304" t="s">
        <v>26</v>
      </c>
      <c r="G372" s="304" t="s">
        <v>1111</v>
      </c>
      <c r="H372" s="304" t="s">
        <v>28</v>
      </c>
      <c r="I372" s="304" t="s">
        <v>36</v>
      </c>
      <c r="J372" s="304" t="s">
        <v>152</v>
      </c>
      <c r="K372" s="309">
        <v>44676.0</v>
      </c>
      <c r="L372" s="309"/>
      <c r="M372" s="309"/>
      <c r="N372" s="304" t="s">
        <v>42</v>
      </c>
      <c r="O372" s="304">
        <v>5.78</v>
      </c>
      <c r="P372" s="309"/>
      <c r="Q372" s="309">
        <v>44684.0</v>
      </c>
      <c r="R372" s="308">
        <v>44684.0</v>
      </c>
      <c r="S372" s="304" t="s">
        <v>119</v>
      </c>
      <c r="T372" s="304" t="s">
        <v>1112</v>
      </c>
    </row>
    <row r="373">
      <c r="A373" s="306" t="s">
        <v>1092</v>
      </c>
      <c r="B373" s="309">
        <v>44669.0</v>
      </c>
      <c r="C373" s="308">
        <v>44669.0</v>
      </c>
      <c r="D373" s="304" t="s">
        <v>375</v>
      </c>
      <c r="E373" s="304" t="s">
        <v>25</v>
      </c>
      <c r="F373" s="304" t="s">
        <v>26</v>
      </c>
      <c r="G373" s="304" t="s">
        <v>1113</v>
      </c>
      <c r="H373" s="304" t="s">
        <v>35</v>
      </c>
      <c r="I373" s="304" t="s">
        <v>61</v>
      </c>
      <c r="J373" s="304"/>
      <c r="K373" s="309"/>
      <c r="L373" s="309"/>
      <c r="M373" s="309"/>
      <c r="N373" s="304" t="s">
        <v>30</v>
      </c>
      <c r="O373" s="304"/>
      <c r="P373" s="309"/>
      <c r="Q373" s="309"/>
      <c r="R373" s="308"/>
      <c r="S373" s="309"/>
      <c r="T373" s="304"/>
    </row>
    <row r="374">
      <c r="A374" s="304" t="s">
        <v>76</v>
      </c>
      <c r="B374" s="309"/>
      <c r="C374" s="308">
        <v>44669.0</v>
      </c>
      <c r="D374" s="304"/>
      <c r="E374" s="304" t="s">
        <v>25</v>
      </c>
      <c r="F374" s="304" t="s">
        <v>26</v>
      </c>
      <c r="G374" s="304" t="s">
        <v>1114</v>
      </c>
      <c r="H374" s="304" t="s">
        <v>35</v>
      </c>
      <c r="I374" s="304" t="s">
        <v>29</v>
      </c>
      <c r="J374" s="304" t="s">
        <v>75</v>
      </c>
      <c r="K374" s="309"/>
      <c r="L374" s="309"/>
      <c r="M374" s="309"/>
      <c r="N374" s="304" t="s">
        <v>42</v>
      </c>
      <c r="O374" s="304"/>
      <c r="P374" s="309"/>
      <c r="Q374" s="309"/>
      <c r="R374" s="308">
        <v>44684.0</v>
      </c>
      <c r="S374" s="304" t="s">
        <v>96</v>
      </c>
      <c r="T374" s="304"/>
    </row>
    <row r="375">
      <c r="A375" s="304" t="s">
        <v>76</v>
      </c>
      <c r="B375" s="309"/>
      <c r="C375" s="308">
        <v>44669.0</v>
      </c>
      <c r="D375" s="304"/>
      <c r="E375" s="304" t="s">
        <v>25</v>
      </c>
      <c r="F375" s="304" t="s">
        <v>26</v>
      </c>
      <c r="G375" s="304" t="s">
        <v>1115</v>
      </c>
      <c r="H375" s="304" t="s">
        <v>28</v>
      </c>
      <c r="I375" s="304" t="s">
        <v>36</v>
      </c>
      <c r="J375" s="304" t="s">
        <v>75</v>
      </c>
      <c r="K375" s="309"/>
      <c r="L375" s="309"/>
      <c r="M375" s="309"/>
      <c r="N375" s="304" t="s">
        <v>42</v>
      </c>
      <c r="O375" s="304"/>
      <c r="P375" s="309"/>
      <c r="Q375" s="309"/>
      <c r="R375" s="308">
        <v>44684.0</v>
      </c>
      <c r="S375" s="304" t="s">
        <v>96</v>
      </c>
      <c r="T375" s="304"/>
    </row>
    <row r="376">
      <c r="A376" s="306" t="s">
        <v>1116</v>
      </c>
      <c r="B376" s="309">
        <v>44663.0</v>
      </c>
      <c r="C376" s="308">
        <v>44663.0</v>
      </c>
      <c r="D376" s="304" t="s">
        <v>91</v>
      </c>
      <c r="E376" s="304" t="s">
        <v>25</v>
      </c>
      <c r="F376" s="304" t="s">
        <v>26</v>
      </c>
      <c r="G376" s="304" t="s">
        <v>1117</v>
      </c>
      <c r="H376" s="304" t="s">
        <v>87</v>
      </c>
      <c r="I376" s="304" t="s">
        <v>61</v>
      </c>
      <c r="J376" s="304" t="s">
        <v>152</v>
      </c>
      <c r="K376" s="309">
        <v>44663.0</v>
      </c>
      <c r="L376" s="309"/>
      <c r="M376" s="309"/>
      <c r="N376" s="304" t="s">
        <v>42</v>
      </c>
      <c r="O376" s="304">
        <v>6.4</v>
      </c>
      <c r="P376" s="309"/>
      <c r="Q376" s="309">
        <v>44683.0</v>
      </c>
      <c r="R376" s="308">
        <v>44683.0</v>
      </c>
      <c r="S376" s="304" t="s">
        <v>119</v>
      </c>
      <c r="T376" s="304" t="s">
        <v>1118</v>
      </c>
    </row>
    <row r="377">
      <c r="A377" s="306" t="s">
        <v>1119</v>
      </c>
      <c r="B377" s="309">
        <v>44657.0</v>
      </c>
      <c r="C377" s="308">
        <v>44657.0</v>
      </c>
      <c r="D377" s="304" t="s">
        <v>24</v>
      </c>
      <c r="E377" s="304" t="s">
        <v>25</v>
      </c>
      <c r="F377" s="304" t="s">
        <v>26</v>
      </c>
      <c r="G377" s="304" t="s">
        <v>1120</v>
      </c>
      <c r="H377" s="304" t="s">
        <v>28</v>
      </c>
      <c r="I377" s="304" t="s">
        <v>36</v>
      </c>
      <c r="J377" s="304" t="s">
        <v>152</v>
      </c>
      <c r="K377" s="309">
        <v>44686.0</v>
      </c>
      <c r="L377" s="309"/>
      <c r="M377" s="309"/>
      <c r="N377" s="304" t="s">
        <v>42</v>
      </c>
      <c r="O377" s="304">
        <v>14.32</v>
      </c>
      <c r="P377" s="309"/>
      <c r="Q377" s="309">
        <v>44782.0</v>
      </c>
      <c r="R377" s="308">
        <v>44782.0</v>
      </c>
      <c r="S377" s="304" t="s">
        <v>119</v>
      </c>
      <c r="T377" s="304" t="s">
        <v>1121</v>
      </c>
    </row>
    <row r="378">
      <c r="A378" s="306" t="s">
        <v>1122</v>
      </c>
      <c r="B378" s="309">
        <v>44657.0</v>
      </c>
      <c r="C378" s="308">
        <v>44657.0</v>
      </c>
      <c r="D378" s="304" t="s">
        <v>133</v>
      </c>
      <c r="E378" s="304" t="s">
        <v>33</v>
      </c>
      <c r="F378" s="304" t="s">
        <v>26</v>
      </c>
      <c r="G378" s="304" t="s">
        <v>1123</v>
      </c>
      <c r="H378" s="304" t="s">
        <v>49</v>
      </c>
      <c r="I378" s="304" t="s">
        <v>61</v>
      </c>
      <c r="J378" s="304"/>
      <c r="K378" s="309"/>
      <c r="L378" s="309"/>
      <c r="M378" s="309"/>
      <c r="N378" s="304" t="s">
        <v>30</v>
      </c>
      <c r="O378" s="304"/>
      <c r="P378" s="309"/>
      <c r="Q378" s="309"/>
      <c r="R378" s="308"/>
      <c r="S378" s="309"/>
      <c r="T378" s="304"/>
    </row>
    <row r="379">
      <c r="A379" s="306" t="s">
        <v>1124</v>
      </c>
      <c r="B379" s="309">
        <v>44657.0</v>
      </c>
      <c r="C379" s="308">
        <v>44657.0</v>
      </c>
      <c r="D379" s="304" t="s">
        <v>1125</v>
      </c>
      <c r="E379" s="304" t="s">
        <v>25</v>
      </c>
      <c r="F379" s="304" t="s">
        <v>26</v>
      </c>
      <c r="G379" s="304" t="s">
        <v>1126</v>
      </c>
      <c r="H379" s="304" t="s">
        <v>49</v>
      </c>
      <c r="I379" s="304" t="s">
        <v>61</v>
      </c>
      <c r="J379" s="304" t="s">
        <v>1082</v>
      </c>
      <c r="K379" s="309">
        <v>44683.0</v>
      </c>
      <c r="L379" s="309"/>
      <c r="M379" s="309"/>
      <c r="N379" s="304" t="s">
        <v>343</v>
      </c>
      <c r="O379" s="304"/>
      <c r="P379" s="309"/>
      <c r="Q379" s="309"/>
      <c r="R379" s="308"/>
      <c r="S379" s="309"/>
      <c r="T379" s="304" t="s">
        <v>941</v>
      </c>
    </row>
    <row r="380">
      <c r="A380" s="306" t="s">
        <v>1127</v>
      </c>
      <c r="B380" s="309">
        <v>44652.0</v>
      </c>
      <c r="C380" s="308">
        <v>44652.0</v>
      </c>
      <c r="D380" s="304" t="s">
        <v>213</v>
      </c>
      <c r="E380" s="304" t="s">
        <v>25</v>
      </c>
      <c r="F380" s="304" t="s">
        <v>26</v>
      </c>
      <c r="G380" s="304" t="s">
        <v>1128</v>
      </c>
      <c r="H380" s="304" t="s">
        <v>87</v>
      </c>
      <c r="I380" s="304" t="s">
        <v>61</v>
      </c>
      <c r="J380" s="304" t="s">
        <v>152</v>
      </c>
      <c r="K380" s="309">
        <v>44873.0</v>
      </c>
      <c r="L380" s="309"/>
      <c r="M380" s="309"/>
      <c r="N380" s="304" t="s">
        <v>42</v>
      </c>
      <c r="O380" s="304"/>
      <c r="P380" s="309"/>
      <c r="Q380" s="309">
        <v>44676.0</v>
      </c>
      <c r="R380" s="308">
        <v>44676.0</v>
      </c>
      <c r="S380" s="304" t="s">
        <v>124</v>
      </c>
      <c r="T380" s="304" t="s">
        <v>1129</v>
      </c>
    </row>
    <row r="381">
      <c r="A381" s="306" t="s">
        <v>1130</v>
      </c>
      <c r="B381" s="309">
        <v>44645.0</v>
      </c>
      <c r="C381" s="308">
        <v>44645.0</v>
      </c>
      <c r="D381" s="304" t="s">
        <v>32</v>
      </c>
      <c r="E381" s="304" t="s">
        <v>33</v>
      </c>
      <c r="F381" s="304" t="s">
        <v>26</v>
      </c>
      <c r="G381" s="304" t="s">
        <v>1131</v>
      </c>
      <c r="H381" s="304" t="s">
        <v>28</v>
      </c>
      <c r="I381" s="304" t="s">
        <v>61</v>
      </c>
      <c r="J381" s="304" t="s">
        <v>110</v>
      </c>
      <c r="K381" s="309">
        <v>44662.0</v>
      </c>
      <c r="L381" s="309">
        <v>46209.0</v>
      </c>
      <c r="M381" s="309">
        <v>46209.0</v>
      </c>
      <c r="N381" s="304" t="s">
        <v>55</v>
      </c>
      <c r="O381" s="304">
        <v>476.35</v>
      </c>
      <c r="P381" s="309">
        <v>46295.0</v>
      </c>
      <c r="Q381" s="309"/>
      <c r="R381" s="308"/>
      <c r="S381" s="309"/>
      <c r="T381" s="304" t="s">
        <v>1132</v>
      </c>
    </row>
    <row r="382">
      <c r="A382" s="306" t="s">
        <v>1133</v>
      </c>
      <c r="B382" s="309">
        <v>45016.0</v>
      </c>
      <c r="C382" s="308">
        <v>45016.0</v>
      </c>
      <c r="D382" s="304" t="s">
        <v>419</v>
      </c>
      <c r="E382" s="304" t="s">
        <v>33</v>
      </c>
      <c r="F382" s="304" t="s">
        <v>26</v>
      </c>
      <c r="G382" s="304" t="s">
        <v>1134</v>
      </c>
      <c r="H382" s="304" t="s">
        <v>35</v>
      </c>
      <c r="I382" s="304" t="s">
        <v>61</v>
      </c>
      <c r="J382" s="304" t="s">
        <v>128</v>
      </c>
      <c r="K382" s="309">
        <v>45049.0</v>
      </c>
      <c r="L382" s="309"/>
      <c r="M382" s="309"/>
      <c r="N382" s="304" t="s">
        <v>42</v>
      </c>
      <c r="O382" s="304"/>
      <c r="P382" s="309"/>
      <c r="Q382" s="309">
        <v>45057.0</v>
      </c>
      <c r="R382" s="308">
        <v>45057.0</v>
      </c>
      <c r="S382" s="304" t="s">
        <v>43</v>
      </c>
      <c r="T382" s="304" t="s">
        <v>1135</v>
      </c>
    </row>
    <row r="383">
      <c r="A383" s="306" t="s">
        <v>1136</v>
      </c>
      <c r="B383" s="309">
        <v>44651.0</v>
      </c>
      <c r="C383" s="308">
        <v>44651.0</v>
      </c>
      <c r="D383" s="304" t="s">
        <v>46</v>
      </c>
      <c r="E383" s="304" t="s">
        <v>25</v>
      </c>
      <c r="F383" s="304" t="s">
        <v>26</v>
      </c>
      <c r="G383" s="304" t="s">
        <v>1137</v>
      </c>
      <c r="H383" s="304" t="s">
        <v>49</v>
      </c>
      <c r="I383" s="304" t="s">
        <v>36</v>
      </c>
      <c r="J383" s="304" t="s">
        <v>41</v>
      </c>
      <c r="K383" s="309"/>
      <c r="L383" s="309"/>
      <c r="M383" s="309"/>
      <c r="N383" s="304" t="s">
        <v>118</v>
      </c>
      <c r="O383" s="304"/>
      <c r="P383" s="309"/>
      <c r="Q383" s="309">
        <v>44659.0</v>
      </c>
      <c r="R383" s="308">
        <v>44659.0</v>
      </c>
      <c r="S383" s="304" t="s">
        <v>124</v>
      </c>
      <c r="T383" s="304" t="s">
        <v>1138</v>
      </c>
    </row>
    <row r="384">
      <c r="A384" s="306" t="s">
        <v>1139</v>
      </c>
      <c r="B384" s="309">
        <v>44651.0</v>
      </c>
      <c r="C384" s="308">
        <v>44651.0</v>
      </c>
      <c r="D384" s="304" t="s">
        <v>91</v>
      </c>
      <c r="E384" s="304" t="s">
        <v>25</v>
      </c>
      <c r="F384" s="304" t="s">
        <v>26</v>
      </c>
      <c r="G384" s="304" t="s">
        <v>1140</v>
      </c>
      <c r="H384" s="304" t="s">
        <v>35</v>
      </c>
      <c r="I384" s="304" t="s">
        <v>61</v>
      </c>
      <c r="J384" s="304" t="s">
        <v>41</v>
      </c>
      <c r="K384" s="309">
        <v>44651.0</v>
      </c>
      <c r="L384" s="309"/>
      <c r="M384" s="309"/>
      <c r="N384" s="304" t="s">
        <v>42</v>
      </c>
      <c r="O384" s="304"/>
      <c r="P384" s="309"/>
      <c r="Q384" s="309">
        <v>45569.0</v>
      </c>
      <c r="R384" s="308">
        <v>45569.0</v>
      </c>
      <c r="S384" s="304" t="s">
        <v>119</v>
      </c>
      <c r="T384" s="304" t="s">
        <v>1141</v>
      </c>
    </row>
    <row r="385">
      <c r="A385" s="306" t="s">
        <v>1142</v>
      </c>
      <c r="B385" s="309">
        <v>44643.0</v>
      </c>
      <c r="C385" s="308">
        <v>44643.0</v>
      </c>
      <c r="D385" s="304" t="s">
        <v>1143</v>
      </c>
      <c r="E385" s="304" t="s">
        <v>33</v>
      </c>
      <c r="F385" s="304" t="s">
        <v>26</v>
      </c>
      <c r="G385" s="304" t="s">
        <v>1144</v>
      </c>
      <c r="H385" s="304" t="s">
        <v>35</v>
      </c>
      <c r="I385" s="304" t="s">
        <v>61</v>
      </c>
      <c r="J385" s="304"/>
      <c r="K385" s="309"/>
      <c r="L385" s="309"/>
      <c r="M385" s="309"/>
      <c r="N385" s="304" t="s">
        <v>118</v>
      </c>
      <c r="O385" s="304"/>
      <c r="P385" s="309"/>
      <c r="Q385" s="309">
        <v>45659.0</v>
      </c>
      <c r="R385" s="308">
        <v>45659.0</v>
      </c>
      <c r="S385" s="304" t="s">
        <v>124</v>
      </c>
      <c r="T385" s="304" t="s">
        <v>997</v>
      </c>
    </row>
    <row r="386">
      <c r="A386" s="306" t="s">
        <v>1145</v>
      </c>
      <c r="B386" s="309">
        <v>44643.0</v>
      </c>
      <c r="C386" s="308">
        <v>44643.0</v>
      </c>
      <c r="D386" s="304" t="s">
        <v>902</v>
      </c>
      <c r="E386" s="304" t="s">
        <v>25</v>
      </c>
      <c r="F386" s="304" t="s">
        <v>26</v>
      </c>
      <c r="G386" s="304" t="s">
        <v>1146</v>
      </c>
      <c r="H386" s="304" t="s">
        <v>28</v>
      </c>
      <c r="I386" s="304" t="s">
        <v>36</v>
      </c>
      <c r="J386" s="304" t="s">
        <v>152</v>
      </c>
      <c r="K386" s="309">
        <v>44662.0</v>
      </c>
      <c r="L386" s="309"/>
      <c r="M386" s="309"/>
      <c r="N386" s="304" t="s">
        <v>42</v>
      </c>
      <c r="O386" s="304"/>
      <c r="P386" s="309"/>
      <c r="Q386" s="309">
        <v>44686.0</v>
      </c>
      <c r="R386" s="308">
        <v>44686.0</v>
      </c>
      <c r="S386" s="304" t="s">
        <v>96</v>
      </c>
      <c r="T386" s="304" t="s">
        <v>1147</v>
      </c>
    </row>
    <row r="387">
      <c r="A387" s="306" t="s">
        <v>1148</v>
      </c>
      <c r="B387" s="309">
        <v>44636.0</v>
      </c>
      <c r="C387" s="308">
        <v>44636.0</v>
      </c>
      <c r="D387" s="304" t="s">
        <v>116</v>
      </c>
      <c r="E387" s="304" t="s">
        <v>25</v>
      </c>
      <c r="F387" s="304" t="s">
        <v>26</v>
      </c>
      <c r="G387" s="304" t="s">
        <v>1149</v>
      </c>
      <c r="H387" s="304" t="s">
        <v>49</v>
      </c>
      <c r="I387" s="304" t="s">
        <v>36</v>
      </c>
      <c r="J387" s="304" t="s">
        <v>41</v>
      </c>
      <c r="K387" s="309"/>
      <c r="L387" s="309"/>
      <c r="M387" s="309"/>
      <c r="N387" s="304" t="s">
        <v>42</v>
      </c>
      <c r="O387" s="304"/>
      <c r="P387" s="309"/>
      <c r="Q387" s="309">
        <v>44738.0</v>
      </c>
      <c r="R387" s="308">
        <v>44738.0</v>
      </c>
      <c r="S387" s="304" t="s">
        <v>43</v>
      </c>
      <c r="T387" s="304" t="s">
        <v>1150</v>
      </c>
    </row>
    <row r="388">
      <c r="A388" s="306" t="s">
        <v>1151</v>
      </c>
      <c r="B388" s="309">
        <v>44636.0</v>
      </c>
      <c r="C388" s="308">
        <v>44636.0</v>
      </c>
      <c r="D388" s="304" t="s">
        <v>77</v>
      </c>
      <c r="E388" s="304" t="s">
        <v>25</v>
      </c>
      <c r="F388" s="304" t="s">
        <v>26</v>
      </c>
      <c r="G388" s="304" t="s">
        <v>1152</v>
      </c>
      <c r="H388" s="304" t="s">
        <v>28</v>
      </c>
      <c r="I388" s="304" t="s">
        <v>36</v>
      </c>
      <c r="J388" s="304" t="s">
        <v>41</v>
      </c>
      <c r="K388" s="309"/>
      <c r="L388" s="309"/>
      <c r="M388" s="309"/>
      <c r="N388" s="304" t="s">
        <v>42</v>
      </c>
      <c r="O388" s="304"/>
      <c r="P388" s="309"/>
      <c r="Q388" s="309">
        <v>44692.0</v>
      </c>
      <c r="R388" s="308">
        <v>44692.0</v>
      </c>
      <c r="S388" s="304" t="s">
        <v>96</v>
      </c>
      <c r="T388" s="304" t="s">
        <v>1153</v>
      </c>
    </row>
    <row r="389">
      <c r="A389" s="306" t="s">
        <v>1154</v>
      </c>
      <c r="B389" s="309">
        <v>44614.0</v>
      </c>
      <c r="C389" s="308">
        <v>44614.0</v>
      </c>
      <c r="D389" s="304" t="s">
        <v>24</v>
      </c>
      <c r="E389" s="304" t="s">
        <v>25</v>
      </c>
      <c r="F389" s="304" t="s">
        <v>26</v>
      </c>
      <c r="G389" s="304" t="s">
        <v>1155</v>
      </c>
      <c r="H389" s="304" t="s">
        <v>28</v>
      </c>
      <c r="I389" s="304" t="s">
        <v>61</v>
      </c>
      <c r="J389" s="304"/>
      <c r="K389" s="309"/>
      <c r="L389" s="309"/>
      <c r="M389" s="309"/>
      <c r="N389" s="304" t="s">
        <v>30</v>
      </c>
      <c r="O389" s="304"/>
      <c r="P389" s="309"/>
      <c r="Q389" s="309"/>
      <c r="R389" s="308"/>
      <c r="S389" s="304"/>
      <c r="T389" s="304"/>
    </row>
    <row r="390">
      <c r="A390" s="306" t="s">
        <v>1156</v>
      </c>
      <c r="B390" s="309">
        <v>44609.0</v>
      </c>
      <c r="C390" s="308">
        <v>44609.0</v>
      </c>
      <c r="D390" s="304" t="s">
        <v>52</v>
      </c>
      <c r="E390" s="304"/>
      <c r="F390" s="304" t="s">
        <v>26</v>
      </c>
      <c r="G390" s="304" t="s">
        <v>1157</v>
      </c>
      <c r="H390" s="304" t="s">
        <v>54</v>
      </c>
      <c r="I390" s="304" t="s">
        <v>36</v>
      </c>
      <c r="J390" s="304" t="s">
        <v>41</v>
      </c>
      <c r="K390" s="309">
        <v>44609.0</v>
      </c>
      <c r="L390" s="309"/>
      <c r="M390" s="309"/>
      <c r="N390" s="304" t="s">
        <v>42</v>
      </c>
      <c r="O390" s="304"/>
      <c r="P390" s="309"/>
      <c r="Q390" s="309">
        <v>45569.0</v>
      </c>
      <c r="R390" s="308">
        <v>45569.0</v>
      </c>
      <c r="S390" s="304" t="s">
        <v>124</v>
      </c>
      <c r="T390" s="304" t="s">
        <v>1158</v>
      </c>
    </row>
    <row r="391">
      <c r="A391" s="306" t="s">
        <v>1159</v>
      </c>
      <c r="B391" s="309">
        <v>44581.0</v>
      </c>
      <c r="C391" s="308">
        <v>44581.0</v>
      </c>
      <c r="D391" s="304" t="s">
        <v>46</v>
      </c>
      <c r="E391" s="304" t="s">
        <v>25</v>
      </c>
      <c r="F391" s="304" t="s">
        <v>26</v>
      </c>
      <c r="G391" s="304" t="s">
        <v>1160</v>
      </c>
      <c r="H391" s="304" t="s">
        <v>186</v>
      </c>
      <c r="I391" s="304" t="s">
        <v>29</v>
      </c>
      <c r="J391" s="304" t="s">
        <v>41</v>
      </c>
      <c r="K391" s="309">
        <v>44581.0</v>
      </c>
      <c r="L391" s="309"/>
      <c r="M391" s="309"/>
      <c r="N391" s="304" t="s">
        <v>42</v>
      </c>
      <c r="O391" s="304"/>
      <c r="P391" s="309"/>
      <c r="Q391" s="309">
        <v>44833.0</v>
      </c>
      <c r="R391" s="308">
        <v>44833.0</v>
      </c>
      <c r="S391" s="304" t="s">
        <v>119</v>
      </c>
      <c r="T391" s="304" t="s">
        <v>1161</v>
      </c>
    </row>
    <row r="392">
      <c r="A392" s="306" t="s">
        <v>1162</v>
      </c>
      <c r="B392" s="309">
        <v>44533.0</v>
      </c>
      <c r="C392" s="308">
        <v>44533.0</v>
      </c>
      <c r="D392" s="304" t="s">
        <v>24</v>
      </c>
      <c r="E392" s="304" t="s">
        <v>25</v>
      </c>
      <c r="F392" s="304" t="s">
        <v>26</v>
      </c>
      <c r="G392" s="304" t="s">
        <v>1163</v>
      </c>
      <c r="H392" s="304" t="s">
        <v>186</v>
      </c>
      <c r="I392" s="304" t="s">
        <v>61</v>
      </c>
      <c r="J392" s="304"/>
      <c r="K392" s="309"/>
      <c r="L392" s="309"/>
      <c r="M392" s="309"/>
      <c r="N392" s="304" t="s">
        <v>118</v>
      </c>
      <c r="O392" s="304"/>
      <c r="P392" s="309"/>
      <c r="Q392" s="309">
        <v>45659.0</v>
      </c>
      <c r="R392" s="308">
        <v>45659.0</v>
      </c>
      <c r="S392" s="304" t="s">
        <v>124</v>
      </c>
      <c r="T392" s="304" t="s">
        <v>997</v>
      </c>
    </row>
    <row r="393">
      <c r="A393" s="306" t="s">
        <v>1164</v>
      </c>
      <c r="B393" s="309">
        <v>44474.0</v>
      </c>
      <c r="C393" s="308">
        <v>44474.0</v>
      </c>
      <c r="D393" s="304" t="s">
        <v>237</v>
      </c>
      <c r="E393" s="304" t="s">
        <v>33</v>
      </c>
      <c r="F393" s="304" t="s">
        <v>26</v>
      </c>
      <c r="G393" s="304" t="s">
        <v>1165</v>
      </c>
      <c r="H393" s="304" t="s">
        <v>28</v>
      </c>
      <c r="I393" s="304" t="s">
        <v>61</v>
      </c>
      <c r="J393" s="304"/>
      <c r="K393" s="309"/>
      <c r="L393" s="309"/>
      <c r="M393" s="309"/>
      <c r="N393" s="304" t="s">
        <v>118</v>
      </c>
      <c r="O393" s="304"/>
      <c r="P393" s="309"/>
      <c r="Q393" s="309">
        <v>45659.0</v>
      </c>
      <c r="R393" s="308">
        <v>45659.0</v>
      </c>
      <c r="S393" s="304" t="s">
        <v>124</v>
      </c>
      <c r="T393" s="304" t="s">
        <v>997</v>
      </c>
    </row>
    <row r="394">
      <c r="A394" s="306" t="s">
        <v>1166</v>
      </c>
      <c r="B394" s="309">
        <v>44460.0</v>
      </c>
      <c r="C394" s="308">
        <v>44460.0</v>
      </c>
      <c r="D394" s="304" t="s">
        <v>38</v>
      </c>
      <c r="E394" s="304" t="s">
        <v>33</v>
      </c>
      <c r="F394" s="304" t="s">
        <v>26</v>
      </c>
      <c r="G394" s="304" t="s">
        <v>1167</v>
      </c>
      <c r="H394" s="304" t="s">
        <v>60</v>
      </c>
      <c r="I394" s="304" t="s">
        <v>61</v>
      </c>
      <c r="J394" s="304" t="s">
        <v>128</v>
      </c>
      <c r="K394" s="309">
        <v>44533.0</v>
      </c>
      <c r="L394" s="309"/>
      <c r="M394" s="309"/>
      <c r="N394" s="304" t="s">
        <v>118</v>
      </c>
      <c r="O394" s="304"/>
      <c r="P394" s="309"/>
      <c r="Q394" s="309">
        <v>45569.0</v>
      </c>
      <c r="R394" s="308">
        <v>45569.0</v>
      </c>
      <c r="S394" s="304" t="s">
        <v>124</v>
      </c>
      <c r="T394" s="304" t="s">
        <v>1168</v>
      </c>
    </row>
    <row r="395">
      <c r="A395" s="306" t="s">
        <v>1169</v>
      </c>
      <c r="B395" s="309">
        <v>44434.0</v>
      </c>
      <c r="C395" s="308">
        <v>44434.0</v>
      </c>
      <c r="D395" s="304" t="s">
        <v>689</v>
      </c>
      <c r="E395" s="304" t="s">
        <v>25</v>
      </c>
      <c r="F395" s="304" t="s">
        <v>26</v>
      </c>
      <c r="G395" s="304" t="s">
        <v>1170</v>
      </c>
      <c r="H395" s="304" t="s">
        <v>40</v>
      </c>
      <c r="I395" s="304" t="s">
        <v>36</v>
      </c>
      <c r="J395" s="304"/>
      <c r="K395" s="309"/>
      <c r="L395" s="309"/>
      <c r="M395" s="309"/>
      <c r="N395" s="304" t="s">
        <v>118</v>
      </c>
      <c r="O395" s="304"/>
      <c r="P395" s="309"/>
      <c r="Q395" s="309">
        <v>45659.0</v>
      </c>
      <c r="R395" s="308">
        <v>45659.0</v>
      </c>
      <c r="S395" s="304" t="s">
        <v>124</v>
      </c>
      <c r="T395" s="304" t="s">
        <v>997</v>
      </c>
    </row>
    <row r="396">
      <c r="A396" s="306" t="s">
        <v>1171</v>
      </c>
      <c r="B396" s="309">
        <v>44412.0</v>
      </c>
      <c r="C396" s="308">
        <v>44412.0</v>
      </c>
      <c r="D396" s="304" t="s">
        <v>52</v>
      </c>
      <c r="E396" s="304"/>
      <c r="F396" s="304" t="s">
        <v>26</v>
      </c>
      <c r="G396" s="304" t="s">
        <v>1172</v>
      </c>
      <c r="H396" s="304" t="s">
        <v>186</v>
      </c>
      <c r="I396" s="304" t="s">
        <v>36</v>
      </c>
      <c r="J396" s="304" t="s">
        <v>41</v>
      </c>
      <c r="K396" s="309"/>
      <c r="L396" s="309"/>
      <c r="M396" s="309"/>
      <c r="N396" s="304" t="s">
        <v>118</v>
      </c>
      <c r="O396" s="304"/>
      <c r="P396" s="309"/>
      <c r="Q396" s="309">
        <v>45659.0</v>
      </c>
      <c r="R396" s="308">
        <v>45659.0</v>
      </c>
      <c r="S396" s="304" t="s">
        <v>124</v>
      </c>
      <c r="T396" s="304" t="s">
        <v>997</v>
      </c>
    </row>
    <row r="397">
      <c r="A397" s="306" t="s">
        <v>1173</v>
      </c>
      <c r="B397" s="309">
        <v>44369.0</v>
      </c>
      <c r="C397" s="308">
        <v>44369.0</v>
      </c>
      <c r="D397" s="304" t="s">
        <v>52</v>
      </c>
      <c r="E397" s="304" t="s">
        <v>25</v>
      </c>
      <c r="F397" s="304" t="s">
        <v>26</v>
      </c>
      <c r="G397" s="304" t="s">
        <v>1174</v>
      </c>
      <c r="H397" s="304" t="s">
        <v>40</v>
      </c>
      <c r="I397" s="304" t="s">
        <v>61</v>
      </c>
      <c r="J397" s="304" t="s">
        <v>41</v>
      </c>
      <c r="K397" s="309"/>
      <c r="L397" s="309"/>
      <c r="M397" s="309"/>
      <c r="N397" s="304" t="s">
        <v>118</v>
      </c>
      <c r="O397" s="304"/>
      <c r="P397" s="309"/>
      <c r="Q397" s="309">
        <v>45644.0</v>
      </c>
      <c r="R397" s="308">
        <v>45644.0</v>
      </c>
      <c r="S397" s="304" t="s">
        <v>124</v>
      </c>
      <c r="T397" s="304" t="s">
        <v>997</v>
      </c>
    </row>
    <row r="398">
      <c r="A398" s="306" t="s">
        <v>1175</v>
      </c>
      <c r="B398" s="309">
        <v>44369.0</v>
      </c>
      <c r="C398" s="308">
        <v>44369.0</v>
      </c>
      <c r="D398" s="304" t="s">
        <v>52</v>
      </c>
      <c r="E398" s="304" t="s">
        <v>25</v>
      </c>
      <c r="F398" s="304" t="s">
        <v>26</v>
      </c>
      <c r="G398" s="304" t="s">
        <v>1176</v>
      </c>
      <c r="H398" s="304" t="s">
        <v>40</v>
      </c>
      <c r="I398" s="304" t="s">
        <v>61</v>
      </c>
      <c r="J398" s="304" t="s">
        <v>41</v>
      </c>
      <c r="K398" s="309"/>
      <c r="L398" s="309"/>
      <c r="M398" s="309"/>
      <c r="N398" s="304" t="s">
        <v>343</v>
      </c>
      <c r="O398" s="304"/>
      <c r="P398" s="309"/>
      <c r="Q398" s="309"/>
      <c r="R398" s="308"/>
      <c r="S398" s="309"/>
      <c r="T398" s="304"/>
    </row>
    <row r="399">
      <c r="A399" s="306" t="s">
        <v>1177</v>
      </c>
      <c r="B399" s="309">
        <v>44504.0</v>
      </c>
      <c r="C399" s="308">
        <v>44504.0</v>
      </c>
      <c r="D399" s="304" t="s">
        <v>165</v>
      </c>
      <c r="E399" s="304" t="s">
        <v>33</v>
      </c>
      <c r="F399" s="304" t="s">
        <v>26</v>
      </c>
      <c r="G399" s="304" t="s">
        <v>1178</v>
      </c>
      <c r="H399" s="304" t="s">
        <v>35</v>
      </c>
      <c r="I399" s="304" t="s">
        <v>61</v>
      </c>
      <c r="J399" s="304" t="s">
        <v>1082</v>
      </c>
      <c r="K399" s="309">
        <v>44939.0</v>
      </c>
      <c r="L399" s="309"/>
      <c r="M399" s="309"/>
      <c r="N399" s="304" t="s">
        <v>343</v>
      </c>
      <c r="O399" s="304"/>
      <c r="P399" s="309"/>
      <c r="Q399" s="309"/>
      <c r="R399" s="308"/>
      <c r="S399" s="309"/>
      <c r="T399" s="304"/>
    </row>
    <row r="400">
      <c r="A400" s="306" t="s">
        <v>1164</v>
      </c>
      <c r="B400" s="309">
        <v>44505.0</v>
      </c>
      <c r="C400" s="308">
        <v>44505.0</v>
      </c>
      <c r="D400" s="304" t="s">
        <v>1179</v>
      </c>
      <c r="E400" s="304" t="s">
        <v>920</v>
      </c>
      <c r="F400" s="304" t="s">
        <v>26</v>
      </c>
      <c r="G400" s="304" t="s">
        <v>1165</v>
      </c>
      <c r="H400" s="304" t="s">
        <v>28</v>
      </c>
      <c r="I400" s="304" t="s">
        <v>61</v>
      </c>
      <c r="J400" s="304" t="s">
        <v>41</v>
      </c>
      <c r="K400" s="309"/>
      <c r="L400" s="309"/>
      <c r="M400" s="309"/>
      <c r="N400" s="304" t="s">
        <v>343</v>
      </c>
      <c r="O400" s="304"/>
      <c r="P400" s="309"/>
      <c r="Q400" s="309"/>
      <c r="R400" s="308"/>
      <c r="S400" s="309"/>
      <c r="T400" s="304"/>
    </row>
    <row r="401">
      <c r="A401" s="306" t="s">
        <v>1180</v>
      </c>
      <c r="B401" s="309">
        <v>44504.0</v>
      </c>
      <c r="C401" s="308">
        <v>44504.0</v>
      </c>
      <c r="D401" s="304" t="s">
        <v>1181</v>
      </c>
      <c r="E401" s="304" t="s">
        <v>25</v>
      </c>
      <c r="F401" s="304" t="s">
        <v>26</v>
      </c>
      <c r="G401" s="304" t="s">
        <v>1182</v>
      </c>
      <c r="H401" s="304" t="s">
        <v>60</v>
      </c>
      <c r="I401" s="304" t="s">
        <v>36</v>
      </c>
      <c r="J401" s="304" t="s">
        <v>110</v>
      </c>
      <c r="K401" s="309">
        <v>44509.0</v>
      </c>
      <c r="L401" s="309"/>
      <c r="M401" s="309"/>
      <c r="N401" s="304" t="s">
        <v>118</v>
      </c>
      <c r="O401" s="304"/>
      <c r="P401" s="309"/>
      <c r="Q401" s="309">
        <v>45579.0</v>
      </c>
      <c r="R401" s="308">
        <v>45579.0</v>
      </c>
      <c r="S401" s="304" t="s">
        <v>124</v>
      </c>
      <c r="T401" s="304" t="s">
        <v>1183</v>
      </c>
    </row>
    <row r="402">
      <c r="A402" s="306" t="s">
        <v>1184</v>
      </c>
      <c r="B402" s="309">
        <v>44453.0</v>
      </c>
      <c r="C402" s="308">
        <v>44453.0</v>
      </c>
      <c r="D402" s="304" t="s">
        <v>279</v>
      </c>
      <c r="E402" s="304" t="s">
        <v>25</v>
      </c>
      <c r="F402" s="304" t="s">
        <v>26</v>
      </c>
      <c r="G402" s="304" t="s">
        <v>1185</v>
      </c>
      <c r="H402" s="304" t="s">
        <v>49</v>
      </c>
      <c r="I402" s="304" t="s">
        <v>29</v>
      </c>
      <c r="J402" s="304" t="s">
        <v>41</v>
      </c>
      <c r="K402" s="309">
        <v>44453.0</v>
      </c>
      <c r="L402" s="309"/>
      <c r="M402" s="309"/>
      <c r="N402" s="304" t="s">
        <v>42</v>
      </c>
      <c r="O402" s="304"/>
      <c r="P402" s="309"/>
      <c r="Q402" s="309">
        <v>45051.0</v>
      </c>
      <c r="R402" s="308">
        <v>45051.0</v>
      </c>
      <c r="S402" s="304" t="s">
        <v>119</v>
      </c>
      <c r="T402" s="304" t="s">
        <v>1186</v>
      </c>
    </row>
    <row r="403">
      <c r="A403" s="306" t="s">
        <v>1187</v>
      </c>
      <c r="B403" s="309">
        <v>44453.0</v>
      </c>
      <c r="C403" s="308">
        <v>44453.0</v>
      </c>
      <c r="D403" s="304" t="s">
        <v>682</v>
      </c>
      <c r="E403" s="304" t="s">
        <v>25</v>
      </c>
      <c r="F403" s="304" t="s">
        <v>26</v>
      </c>
      <c r="G403" s="304" t="s">
        <v>1188</v>
      </c>
      <c r="H403" s="304" t="s">
        <v>28</v>
      </c>
      <c r="I403" s="304" t="s">
        <v>36</v>
      </c>
      <c r="J403" s="304" t="s">
        <v>152</v>
      </c>
      <c r="K403" s="309"/>
      <c r="L403" s="309"/>
      <c r="M403" s="309"/>
      <c r="N403" s="304" t="s">
        <v>42</v>
      </c>
      <c r="O403" s="304">
        <v>115.0</v>
      </c>
      <c r="P403" s="309"/>
      <c r="Q403" s="309">
        <v>44469.0</v>
      </c>
      <c r="R403" s="308">
        <v>44469.0</v>
      </c>
      <c r="S403" s="304" t="s">
        <v>96</v>
      </c>
      <c r="T403" s="304"/>
    </row>
    <row r="404">
      <c r="A404" s="306" t="s">
        <v>1189</v>
      </c>
      <c r="B404" s="309">
        <v>44214.0</v>
      </c>
      <c r="C404" s="308">
        <v>44214.0</v>
      </c>
      <c r="D404" s="304" t="s">
        <v>52</v>
      </c>
      <c r="E404" s="304"/>
      <c r="F404" s="304" t="s">
        <v>26</v>
      </c>
      <c r="G404" s="304" t="s">
        <v>1190</v>
      </c>
      <c r="H404" s="304" t="s">
        <v>54</v>
      </c>
      <c r="I404" s="304" t="s">
        <v>36</v>
      </c>
      <c r="J404" s="304" t="s">
        <v>41</v>
      </c>
      <c r="K404" s="309"/>
      <c r="L404" s="309"/>
      <c r="M404" s="309"/>
      <c r="N404" s="304" t="s">
        <v>118</v>
      </c>
      <c r="O404" s="304"/>
      <c r="P404" s="309"/>
      <c r="Q404" s="309">
        <v>45644.0</v>
      </c>
      <c r="R404" s="308">
        <v>45644.0</v>
      </c>
      <c r="S404" s="304" t="s">
        <v>124</v>
      </c>
      <c r="T404" s="304" t="s">
        <v>997</v>
      </c>
    </row>
    <row r="405">
      <c r="A405" s="306" t="s">
        <v>1191</v>
      </c>
      <c r="B405" s="309">
        <v>43958.0</v>
      </c>
      <c r="C405" s="308">
        <v>43958.0</v>
      </c>
      <c r="D405" s="304" t="s">
        <v>24</v>
      </c>
      <c r="E405" s="304" t="s">
        <v>25</v>
      </c>
      <c r="F405" s="304" t="s">
        <v>26</v>
      </c>
      <c r="G405" s="304" t="s">
        <v>1192</v>
      </c>
      <c r="H405" s="304" t="s">
        <v>28</v>
      </c>
      <c r="I405" s="304" t="s">
        <v>36</v>
      </c>
      <c r="J405" s="304" t="s">
        <v>41</v>
      </c>
      <c r="K405" s="309"/>
      <c r="L405" s="309"/>
      <c r="M405" s="309"/>
      <c r="N405" s="304" t="s">
        <v>118</v>
      </c>
      <c r="O405" s="304"/>
      <c r="P405" s="309"/>
      <c r="Q405" s="309">
        <v>45644.0</v>
      </c>
      <c r="R405" s="308">
        <v>45644.0</v>
      </c>
      <c r="S405" s="304" t="s">
        <v>124</v>
      </c>
      <c r="T405" s="304" t="s">
        <v>1193</v>
      </c>
    </row>
    <row r="406">
      <c r="A406" s="306" t="s">
        <v>1194</v>
      </c>
      <c r="B406" s="309">
        <v>43740.0</v>
      </c>
      <c r="C406" s="308">
        <v>43740.0</v>
      </c>
      <c r="D406" s="304" t="s">
        <v>81</v>
      </c>
      <c r="E406" s="304" t="s">
        <v>25</v>
      </c>
      <c r="F406" s="304" t="s">
        <v>26</v>
      </c>
      <c r="G406" s="304" t="s">
        <v>1195</v>
      </c>
      <c r="H406" s="304" t="s">
        <v>28</v>
      </c>
      <c r="I406" s="304" t="s">
        <v>36</v>
      </c>
      <c r="J406" s="304"/>
      <c r="K406" s="309"/>
      <c r="L406" s="309"/>
      <c r="M406" s="309"/>
      <c r="N406" s="304" t="s">
        <v>118</v>
      </c>
      <c r="O406" s="304"/>
      <c r="P406" s="309"/>
      <c r="Q406" s="309">
        <v>45636.0</v>
      </c>
      <c r="R406" s="308">
        <v>45636.0</v>
      </c>
      <c r="S406" s="304" t="s">
        <v>124</v>
      </c>
      <c r="T406" s="304" t="s">
        <v>997</v>
      </c>
    </row>
    <row r="407">
      <c r="A407" s="306" t="s">
        <v>1196</v>
      </c>
      <c r="B407" s="309">
        <v>43734.0</v>
      </c>
      <c r="C407" s="308">
        <v>43734.0</v>
      </c>
      <c r="D407" s="304" t="s">
        <v>147</v>
      </c>
      <c r="E407" s="304" t="s">
        <v>25</v>
      </c>
      <c r="F407" s="304" t="s">
        <v>26</v>
      </c>
      <c r="G407" s="304" t="s">
        <v>1197</v>
      </c>
      <c r="H407" s="304" t="s">
        <v>28</v>
      </c>
      <c r="I407" s="304" t="s">
        <v>61</v>
      </c>
      <c r="J407" s="304"/>
      <c r="K407" s="309"/>
      <c r="L407" s="309"/>
      <c r="M407" s="309"/>
      <c r="N407" s="304" t="s">
        <v>118</v>
      </c>
      <c r="O407" s="304"/>
      <c r="P407" s="309"/>
      <c r="Q407" s="309">
        <v>45636.0</v>
      </c>
      <c r="R407" s="308">
        <v>45636.0</v>
      </c>
      <c r="S407" s="304" t="s">
        <v>124</v>
      </c>
      <c r="T407" s="304" t="s">
        <v>997</v>
      </c>
    </row>
    <row r="408">
      <c r="A408" s="306" t="s">
        <v>1198</v>
      </c>
      <c r="B408" s="309">
        <v>43761.0</v>
      </c>
      <c r="C408" s="308">
        <v>43761.0</v>
      </c>
      <c r="D408" s="304" t="s">
        <v>116</v>
      </c>
      <c r="E408" s="304" t="s">
        <v>25</v>
      </c>
      <c r="F408" s="304" t="s">
        <v>26</v>
      </c>
      <c r="G408" s="304" t="s">
        <v>1199</v>
      </c>
      <c r="H408" s="304" t="s">
        <v>35</v>
      </c>
      <c r="I408" s="304" t="s">
        <v>61</v>
      </c>
      <c r="J408" s="304"/>
      <c r="K408" s="309"/>
      <c r="L408" s="309"/>
      <c r="M408" s="309"/>
      <c r="N408" s="304" t="s">
        <v>118</v>
      </c>
      <c r="O408" s="304"/>
      <c r="P408" s="309"/>
      <c r="Q408" s="309">
        <v>45636.0</v>
      </c>
      <c r="R408" s="308">
        <v>45636.0</v>
      </c>
      <c r="S408" s="304" t="s">
        <v>124</v>
      </c>
      <c r="T408" s="304" t="s">
        <v>997</v>
      </c>
    </row>
    <row r="409">
      <c r="A409" s="306" t="s">
        <v>1200</v>
      </c>
      <c r="B409" s="309">
        <v>43700.0</v>
      </c>
      <c r="C409" s="308">
        <v>43700.0</v>
      </c>
      <c r="D409" s="304" t="s">
        <v>1143</v>
      </c>
      <c r="E409" s="304" t="s">
        <v>33</v>
      </c>
      <c r="F409" s="304" t="s">
        <v>26</v>
      </c>
      <c r="G409" s="304" t="s">
        <v>1201</v>
      </c>
      <c r="H409" s="304" t="s">
        <v>87</v>
      </c>
      <c r="I409" s="304" t="s">
        <v>61</v>
      </c>
      <c r="J409" s="304"/>
      <c r="K409" s="309"/>
      <c r="L409" s="309"/>
      <c r="M409" s="309"/>
      <c r="N409" s="304" t="s">
        <v>30</v>
      </c>
      <c r="O409" s="304"/>
      <c r="P409" s="309"/>
      <c r="Q409" s="309"/>
      <c r="R409" s="308"/>
      <c r="S409" s="309"/>
      <c r="T409" s="304"/>
    </row>
    <row r="410">
      <c r="A410" s="306" t="s">
        <v>1202</v>
      </c>
      <c r="B410" s="309">
        <v>43585.0</v>
      </c>
      <c r="C410" s="308">
        <v>43585.0</v>
      </c>
      <c r="D410" s="304" t="s">
        <v>1203</v>
      </c>
      <c r="E410" s="304" t="s">
        <v>25</v>
      </c>
      <c r="F410" s="304" t="s">
        <v>26</v>
      </c>
      <c r="G410" s="304" t="s">
        <v>1204</v>
      </c>
      <c r="H410" s="304" t="s">
        <v>49</v>
      </c>
      <c r="I410" s="304" t="s">
        <v>61</v>
      </c>
      <c r="J410" s="304" t="s">
        <v>41</v>
      </c>
      <c r="K410" s="309"/>
      <c r="L410" s="309"/>
      <c r="M410" s="309"/>
      <c r="N410" s="304" t="s">
        <v>118</v>
      </c>
      <c r="O410" s="304"/>
      <c r="P410" s="309"/>
      <c r="Q410" s="309">
        <v>45127.0</v>
      </c>
      <c r="R410" s="308">
        <v>45127.0</v>
      </c>
      <c r="S410" s="304" t="s">
        <v>124</v>
      </c>
      <c r="T410" s="304"/>
    </row>
    <row r="411">
      <c r="A411" s="304"/>
      <c r="B411" s="304"/>
      <c r="C411" s="304"/>
      <c r="D411" s="304"/>
      <c r="E411" s="304"/>
      <c r="F411" s="304"/>
      <c r="G411" s="304"/>
      <c r="H411" s="304"/>
      <c r="I411" s="304"/>
      <c r="J411" s="304"/>
      <c r="K411" s="304"/>
      <c r="L411" s="304"/>
      <c r="M411" s="304"/>
      <c r="N411" s="304"/>
      <c r="O411" s="304"/>
      <c r="P411" s="304"/>
      <c r="Q411" s="304"/>
      <c r="R411" s="304"/>
      <c r="S411" s="304"/>
      <c r="T411" s="304"/>
    </row>
    <row r="412">
      <c r="A412" s="304"/>
      <c r="B412" s="304"/>
      <c r="C412" s="304"/>
      <c r="D412" s="304"/>
      <c r="E412" s="304"/>
      <c r="F412" s="304"/>
      <c r="G412" s="304"/>
      <c r="H412" s="304"/>
      <c r="I412" s="304"/>
      <c r="J412" s="304"/>
      <c r="K412" s="304"/>
      <c r="L412" s="304"/>
      <c r="M412" s="304"/>
      <c r="N412" s="304"/>
      <c r="O412" s="304"/>
      <c r="P412" s="304"/>
      <c r="Q412" s="304"/>
      <c r="R412" s="304"/>
      <c r="S412" s="304"/>
      <c r="T412" s="304"/>
    </row>
    <row r="413">
      <c r="A413" s="304"/>
      <c r="B413" s="304"/>
      <c r="C413" s="304"/>
      <c r="D413" s="304"/>
      <c r="E413" s="304"/>
      <c r="F413" s="304"/>
      <c r="G413" s="304"/>
      <c r="H413" s="304"/>
      <c r="I413" s="304"/>
      <c r="J413" s="304"/>
      <c r="K413" s="304"/>
      <c r="L413" s="304"/>
      <c r="M413" s="304"/>
      <c r="N413" s="304"/>
      <c r="O413" s="304"/>
      <c r="P413" s="304"/>
      <c r="Q413" s="304"/>
      <c r="R413" s="304"/>
      <c r="S413" s="304"/>
      <c r="T413" s="304"/>
    </row>
    <row r="414">
      <c r="A414" s="304"/>
      <c r="B414" s="304"/>
      <c r="C414" s="304"/>
      <c r="D414" s="304"/>
      <c r="E414" s="304"/>
      <c r="F414" s="304"/>
      <c r="G414" s="304"/>
      <c r="H414" s="304"/>
      <c r="I414" s="304"/>
      <c r="J414" s="304"/>
      <c r="K414" s="304"/>
      <c r="L414" s="304"/>
      <c r="M414" s="304"/>
      <c r="N414" s="304"/>
      <c r="O414" s="304"/>
      <c r="P414" s="304"/>
      <c r="Q414" s="304"/>
      <c r="R414" s="304"/>
      <c r="S414" s="304"/>
      <c r="T414" s="304"/>
    </row>
    <row r="415">
      <c r="A415" s="304"/>
      <c r="B415" s="304"/>
      <c r="C415" s="304"/>
      <c r="D415" s="304"/>
      <c r="E415" s="304"/>
      <c r="F415" s="304"/>
      <c r="G415" s="304"/>
      <c r="H415" s="304"/>
      <c r="I415" s="304"/>
      <c r="J415" s="304"/>
      <c r="K415" s="304"/>
      <c r="L415" s="304"/>
      <c r="M415" s="304"/>
      <c r="N415" s="304"/>
      <c r="O415" s="304"/>
      <c r="P415" s="304"/>
      <c r="Q415" s="304"/>
      <c r="R415" s="304"/>
      <c r="S415" s="304"/>
      <c r="T415" s="304"/>
    </row>
    <row r="416">
      <c r="A416" s="304"/>
      <c r="B416" s="304"/>
      <c r="C416" s="304"/>
      <c r="D416" s="304"/>
      <c r="E416" s="304"/>
      <c r="F416" s="304"/>
      <c r="G416" s="304"/>
      <c r="H416" s="304"/>
      <c r="I416" s="304"/>
      <c r="J416" s="304"/>
      <c r="K416" s="304"/>
      <c r="L416" s="304"/>
      <c r="M416" s="304"/>
      <c r="N416" s="304"/>
      <c r="O416" s="304"/>
      <c r="P416" s="304"/>
      <c r="Q416" s="304"/>
      <c r="R416" s="304"/>
      <c r="S416" s="304"/>
      <c r="T416" s="304"/>
    </row>
    <row r="417">
      <c r="A417" s="304"/>
      <c r="B417" s="304"/>
      <c r="C417" s="304"/>
      <c r="D417" s="304"/>
      <c r="E417" s="304"/>
      <c r="F417" s="304"/>
      <c r="G417" s="304"/>
      <c r="H417" s="304"/>
      <c r="I417" s="304"/>
      <c r="J417" s="304"/>
      <c r="K417" s="304"/>
      <c r="L417" s="304"/>
      <c r="M417" s="304"/>
      <c r="N417" s="304"/>
      <c r="O417" s="304"/>
      <c r="P417" s="304"/>
      <c r="Q417" s="304"/>
      <c r="R417" s="304"/>
      <c r="S417" s="304"/>
      <c r="T417" s="304"/>
    </row>
    <row r="418">
      <c r="A418" s="304"/>
      <c r="B418" s="304"/>
      <c r="C418" s="304"/>
      <c r="D418" s="304"/>
      <c r="E418" s="304"/>
      <c r="F418" s="304"/>
      <c r="G418" s="304"/>
      <c r="H418" s="304"/>
      <c r="I418" s="304"/>
      <c r="J418" s="304"/>
      <c r="K418" s="304"/>
      <c r="L418" s="304"/>
      <c r="M418" s="304"/>
      <c r="N418" s="304"/>
      <c r="O418" s="304"/>
      <c r="P418" s="304"/>
      <c r="Q418" s="304"/>
      <c r="R418" s="304"/>
      <c r="S418" s="304"/>
      <c r="T418" s="304"/>
    </row>
    <row r="419">
      <c r="A419" s="304"/>
      <c r="B419" s="304"/>
      <c r="C419" s="304"/>
      <c r="D419" s="304"/>
      <c r="E419" s="304"/>
      <c r="F419" s="304"/>
      <c r="G419" s="304"/>
      <c r="H419" s="304"/>
      <c r="I419" s="304"/>
      <c r="J419" s="304"/>
      <c r="K419" s="304"/>
      <c r="L419" s="304"/>
      <c r="M419" s="304"/>
      <c r="N419" s="304"/>
      <c r="O419" s="304"/>
      <c r="P419" s="304"/>
      <c r="Q419" s="304"/>
      <c r="R419" s="304"/>
      <c r="S419" s="304"/>
      <c r="T419" s="304"/>
    </row>
    <row r="420">
      <c r="A420" s="304"/>
      <c r="B420" s="304"/>
      <c r="C420" s="304"/>
      <c r="D420" s="304"/>
      <c r="E420" s="304"/>
      <c r="F420" s="304"/>
      <c r="G420" s="304"/>
      <c r="H420" s="304"/>
      <c r="I420" s="304"/>
      <c r="J420" s="304"/>
      <c r="K420" s="304"/>
      <c r="L420" s="304"/>
      <c r="M420" s="304"/>
      <c r="N420" s="304"/>
      <c r="O420" s="304"/>
      <c r="P420" s="304"/>
      <c r="Q420" s="304"/>
      <c r="R420" s="304"/>
      <c r="S420" s="304"/>
      <c r="T420" s="304"/>
    </row>
    <row r="421">
      <c r="A421" s="304"/>
      <c r="B421" s="304"/>
      <c r="C421" s="304"/>
      <c r="D421" s="304"/>
      <c r="E421" s="304"/>
      <c r="F421" s="304"/>
      <c r="G421" s="304"/>
      <c r="H421" s="304"/>
      <c r="I421" s="304"/>
      <c r="J421" s="304"/>
      <c r="K421" s="304"/>
      <c r="L421" s="304"/>
      <c r="M421" s="304"/>
      <c r="N421" s="304"/>
      <c r="O421" s="304"/>
      <c r="P421" s="304"/>
      <c r="Q421" s="304"/>
      <c r="R421" s="304"/>
      <c r="S421" s="304"/>
      <c r="T421" s="304"/>
    </row>
    <row r="422">
      <c r="A422" s="304"/>
      <c r="B422" s="304"/>
      <c r="C422" s="304"/>
      <c r="D422" s="304"/>
      <c r="E422" s="304"/>
      <c r="F422" s="304"/>
      <c r="G422" s="304"/>
      <c r="H422" s="304"/>
      <c r="I422" s="304"/>
      <c r="J422" s="304"/>
      <c r="K422" s="304"/>
      <c r="L422" s="304"/>
      <c r="M422" s="304"/>
      <c r="N422" s="304"/>
      <c r="O422" s="304"/>
      <c r="P422" s="304"/>
      <c r="Q422" s="304"/>
      <c r="R422" s="304"/>
      <c r="S422" s="304"/>
      <c r="T422" s="304"/>
    </row>
    <row r="423">
      <c r="A423" s="304"/>
      <c r="B423" s="304"/>
      <c r="C423" s="304"/>
      <c r="D423" s="304"/>
      <c r="E423" s="304"/>
      <c r="F423" s="304"/>
      <c r="G423" s="304"/>
      <c r="H423" s="304"/>
      <c r="I423" s="304"/>
      <c r="J423" s="304"/>
      <c r="K423" s="304"/>
      <c r="L423" s="304"/>
      <c r="M423" s="304"/>
      <c r="N423" s="304"/>
      <c r="O423" s="304"/>
      <c r="P423" s="304"/>
      <c r="Q423" s="304"/>
      <c r="R423" s="304"/>
      <c r="S423" s="304"/>
      <c r="T423" s="304"/>
    </row>
    <row r="424">
      <c r="A424" s="304"/>
      <c r="B424" s="304"/>
      <c r="C424" s="304"/>
      <c r="D424" s="304"/>
      <c r="E424" s="304"/>
      <c r="F424" s="304"/>
      <c r="G424" s="304"/>
      <c r="H424" s="304"/>
      <c r="I424" s="304"/>
      <c r="J424" s="304"/>
      <c r="K424" s="304"/>
      <c r="L424" s="304"/>
      <c r="M424" s="304"/>
      <c r="N424" s="304"/>
      <c r="O424" s="304"/>
      <c r="P424" s="304"/>
      <c r="Q424" s="304"/>
      <c r="R424" s="304"/>
      <c r="S424" s="304"/>
      <c r="T424" s="304"/>
    </row>
    <row r="425">
      <c r="A425" s="304"/>
      <c r="B425" s="304"/>
      <c r="C425" s="304"/>
      <c r="D425" s="304"/>
      <c r="E425" s="304"/>
      <c r="F425" s="304"/>
      <c r="G425" s="304"/>
      <c r="H425" s="304"/>
      <c r="I425" s="304"/>
      <c r="J425" s="304"/>
      <c r="K425" s="304"/>
      <c r="L425" s="304"/>
      <c r="M425" s="304"/>
      <c r="N425" s="304"/>
      <c r="O425" s="304"/>
      <c r="P425" s="304"/>
      <c r="Q425" s="304"/>
      <c r="R425" s="304"/>
      <c r="S425" s="304"/>
      <c r="T425" s="304"/>
    </row>
    <row r="426">
      <c r="A426" s="304"/>
      <c r="B426" s="304"/>
      <c r="C426" s="304"/>
      <c r="D426" s="304"/>
      <c r="E426" s="304"/>
      <c r="F426" s="304"/>
      <c r="G426" s="304"/>
      <c r="H426" s="304"/>
      <c r="I426" s="304"/>
      <c r="J426" s="304"/>
      <c r="K426" s="304"/>
      <c r="L426" s="304"/>
      <c r="M426" s="304"/>
      <c r="N426" s="304"/>
      <c r="O426" s="304"/>
      <c r="P426" s="304"/>
      <c r="Q426" s="304"/>
      <c r="R426" s="304"/>
      <c r="S426" s="304"/>
      <c r="T426" s="304"/>
    </row>
    <row r="427">
      <c r="A427" s="304"/>
      <c r="B427" s="304"/>
      <c r="C427" s="304"/>
      <c r="D427" s="304"/>
      <c r="E427" s="304"/>
      <c r="F427" s="304"/>
      <c r="G427" s="304"/>
      <c r="H427" s="304"/>
      <c r="I427" s="304"/>
      <c r="J427" s="304"/>
      <c r="K427" s="304"/>
      <c r="L427" s="304"/>
      <c r="M427" s="304"/>
      <c r="N427" s="304"/>
      <c r="O427" s="304"/>
      <c r="P427" s="304"/>
      <c r="Q427" s="304"/>
      <c r="R427" s="304"/>
      <c r="S427" s="304"/>
      <c r="T427" s="304"/>
    </row>
    <row r="428">
      <c r="A428" s="304"/>
      <c r="B428" s="304"/>
      <c r="C428" s="304"/>
      <c r="D428" s="304"/>
      <c r="E428" s="304"/>
      <c r="F428" s="304"/>
      <c r="G428" s="304"/>
      <c r="H428" s="304"/>
      <c r="I428" s="304"/>
      <c r="J428" s="304"/>
      <c r="K428" s="304"/>
      <c r="L428" s="304"/>
      <c r="M428" s="304"/>
      <c r="N428" s="304"/>
      <c r="O428" s="304"/>
      <c r="P428" s="304"/>
      <c r="Q428" s="304"/>
      <c r="R428" s="304"/>
      <c r="S428" s="304"/>
      <c r="T428" s="304"/>
    </row>
    <row r="429">
      <c r="A429" s="304"/>
      <c r="B429" s="304"/>
      <c r="C429" s="304"/>
      <c r="D429" s="304"/>
      <c r="E429" s="304"/>
      <c r="F429" s="304"/>
      <c r="G429" s="304"/>
      <c r="H429" s="304"/>
      <c r="I429" s="304"/>
      <c r="J429" s="304"/>
      <c r="K429" s="304"/>
      <c r="L429" s="304"/>
      <c r="M429" s="304"/>
      <c r="N429" s="304"/>
      <c r="O429" s="304"/>
      <c r="P429" s="304"/>
      <c r="Q429" s="304"/>
      <c r="R429" s="304"/>
      <c r="S429" s="304"/>
      <c r="T429" s="304"/>
    </row>
    <row r="430">
      <c r="A430" s="304"/>
      <c r="B430" s="304"/>
      <c r="C430" s="304"/>
      <c r="D430" s="304"/>
      <c r="E430" s="304"/>
      <c r="F430" s="304"/>
      <c r="G430" s="304"/>
      <c r="H430" s="304"/>
      <c r="I430" s="304"/>
      <c r="J430" s="304"/>
      <c r="K430" s="304"/>
      <c r="L430" s="304"/>
      <c r="M430" s="304"/>
      <c r="N430" s="304"/>
      <c r="O430" s="304"/>
      <c r="P430" s="304"/>
      <c r="Q430" s="304"/>
      <c r="R430" s="304"/>
      <c r="S430" s="304"/>
      <c r="T430" s="304"/>
    </row>
    <row r="431">
      <c r="A431" s="304"/>
      <c r="B431" s="304"/>
      <c r="C431" s="304"/>
      <c r="D431" s="304"/>
      <c r="E431" s="304"/>
      <c r="F431" s="304"/>
      <c r="G431" s="304"/>
      <c r="H431" s="304"/>
      <c r="I431" s="304"/>
      <c r="J431" s="304"/>
      <c r="K431" s="304"/>
      <c r="L431" s="304"/>
      <c r="M431" s="304"/>
      <c r="N431" s="304"/>
      <c r="O431" s="304"/>
      <c r="P431" s="304"/>
      <c r="Q431" s="304"/>
      <c r="R431" s="304"/>
      <c r="S431" s="304"/>
      <c r="T431" s="304"/>
    </row>
    <row r="432">
      <c r="A432" s="304"/>
      <c r="B432" s="304"/>
      <c r="C432" s="304"/>
      <c r="D432" s="304"/>
      <c r="E432" s="304"/>
      <c r="F432" s="304"/>
      <c r="G432" s="304"/>
      <c r="H432" s="304"/>
      <c r="I432" s="304"/>
      <c r="J432" s="304"/>
      <c r="K432" s="304"/>
      <c r="L432" s="304"/>
      <c r="M432" s="304"/>
      <c r="N432" s="304"/>
      <c r="O432" s="304"/>
      <c r="P432" s="304"/>
      <c r="Q432" s="304"/>
      <c r="R432" s="304"/>
      <c r="S432" s="304"/>
      <c r="T432" s="304"/>
    </row>
    <row r="433">
      <c r="A433" s="304"/>
      <c r="B433" s="304"/>
      <c r="C433" s="304"/>
      <c r="D433" s="304"/>
      <c r="E433" s="304"/>
      <c r="F433" s="304"/>
      <c r="G433" s="304"/>
      <c r="H433" s="304"/>
      <c r="I433" s="304"/>
      <c r="J433" s="304"/>
      <c r="K433" s="304"/>
      <c r="L433" s="304"/>
      <c r="M433" s="304"/>
      <c r="N433" s="304"/>
      <c r="O433" s="304"/>
      <c r="P433" s="304"/>
      <c r="Q433" s="304"/>
      <c r="R433" s="304"/>
      <c r="S433" s="304"/>
      <c r="T433" s="304"/>
    </row>
    <row r="434">
      <c r="A434" s="304"/>
      <c r="B434" s="304"/>
      <c r="C434" s="304"/>
      <c r="D434" s="304"/>
      <c r="E434" s="304"/>
      <c r="F434" s="304"/>
      <c r="G434" s="304"/>
      <c r="H434" s="304"/>
      <c r="I434" s="304"/>
      <c r="J434" s="304"/>
      <c r="K434" s="304"/>
      <c r="L434" s="304"/>
      <c r="M434" s="304"/>
      <c r="N434" s="304"/>
      <c r="O434" s="304"/>
      <c r="P434" s="304"/>
      <c r="Q434" s="304"/>
      <c r="R434" s="304"/>
      <c r="S434" s="304"/>
      <c r="T434" s="304"/>
    </row>
    <row r="435">
      <c r="A435" s="304"/>
      <c r="B435" s="304"/>
      <c r="C435" s="304"/>
      <c r="D435" s="304"/>
      <c r="E435" s="304"/>
      <c r="F435" s="304"/>
      <c r="G435" s="304"/>
      <c r="H435" s="304"/>
      <c r="I435" s="304"/>
      <c r="J435" s="304"/>
      <c r="K435" s="304"/>
      <c r="L435" s="304"/>
      <c r="M435" s="304"/>
      <c r="N435" s="304"/>
      <c r="O435" s="304"/>
      <c r="P435" s="304"/>
      <c r="Q435" s="304"/>
      <c r="R435" s="304"/>
      <c r="S435" s="304"/>
      <c r="T435" s="304"/>
    </row>
    <row r="436">
      <c r="A436" s="304"/>
      <c r="B436" s="304"/>
      <c r="C436" s="304"/>
      <c r="D436" s="304"/>
      <c r="E436" s="304"/>
      <c r="F436" s="304"/>
      <c r="G436" s="304"/>
      <c r="H436" s="304"/>
      <c r="I436" s="304"/>
      <c r="J436" s="304"/>
      <c r="K436" s="304"/>
      <c r="L436" s="304"/>
      <c r="M436" s="304"/>
      <c r="N436" s="304"/>
      <c r="O436" s="304"/>
      <c r="P436" s="304"/>
      <c r="Q436" s="304"/>
      <c r="R436" s="304"/>
      <c r="S436" s="304"/>
      <c r="T436" s="304"/>
    </row>
    <row r="437">
      <c r="A437" s="304"/>
      <c r="B437" s="304"/>
      <c r="C437" s="304"/>
      <c r="D437" s="304"/>
      <c r="E437" s="304"/>
      <c r="F437" s="304"/>
      <c r="G437" s="304"/>
      <c r="H437" s="304"/>
      <c r="I437" s="304"/>
      <c r="J437" s="304"/>
      <c r="K437" s="304"/>
      <c r="L437" s="304"/>
      <c r="M437" s="304"/>
      <c r="N437" s="304"/>
      <c r="O437" s="304"/>
      <c r="P437" s="304"/>
      <c r="Q437" s="304"/>
      <c r="R437" s="304"/>
      <c r="S437" s="304"/>
      <c r="T437" s="304"/>
    </row>
    <row r="438">
      <c r="A438" s="304"/>
      <c r="B438" s="304"/>
      <c r="C438" s="304"/>
      <c r="D438" s="304"/>
      <c r="E438" s="304"/>
      <c r="F438" s="304"/>
      <c r="G438" s="304"/>
      <c r="H438" s="304"/>
      <c r="I438" s="304"/>
      <c r="J438" s="304"/>
      <c r="K438" s="304"/>
      <c r="L438" s="304"/>
      <c r="M438" s="304"/>
      <c r="N438" s="304"/>
      <c r="O438" s="304"/>
      <c r="P438" s="304"/>
      <c r="Q438" s="304"/>
      <c r="R438" s="304"/>
      <c r="S438" s="304"/>
      <c r="T438" s="304"/>
    </row>
    <row r="439">
      <c r="A439" s="304"/>
      <c r="B439" s="304"/>
      <c r="C439" s="304"/>
      <c r="D439" s="304"/>
      <c r="E439" s="304"/>
      <c r="F439" s="304"/>
      <c r="G439" s="304"/>
      <c r="H439" s="304"/>
      <c r="I439" s="304"/>
      <c r="J439" s="304"/>
      <c r="K439" s="304"/>
      <c r="L439" s="304"/>
      <c r="M439" s="304"/>
      <c r="N439" s="304"/>
      <c r="O439" s="304"/>
      <c r="P439" s="304"/>
      <c r="Q439" s="304"/>
      <c r="R439" s="304"/>
      <c r="S439" s="304"/>
      <c r="T439" s="304"/>
    </row>
    <row r="440">
      <c r="A440" s="304"/>
      <c r="B440" s="304"/>
      <c r="C440" s="304"/>
      <c r="D440" s="304"/>
      <c r="E440" s="304"/>
      <c r="F440" s="304"/>
      <c r="G440" s="304"/>
      <c r="H440" s="304"/>
      <c r="I440" s="304"/>
      <c r="J440" s="304"/>
      <c r="K440" s="304"/>
      <c r="L440" s="304"/>
      <c r="M440" s="304"/>
      <c r="N440" s="304"/>
      <c r="O440" s="304"/>
      <c r="P440" s="304"/>
      <c r="Q440" s="304"/>
      <c r="R440" s="304"/>
      <c r="S440" s="304"/>
      <c r="T440" s="304"/>
    </row>
    <row r="441">
      <c r="A441" s="304"/>
      <c r="B441" s="304"/>
      <c r="C441" s="304"/>
      <c r="D441" s="304"/>
      <c r="E441" s="304"/>
      <c r="F441" s="304"/>
      <c r="G441" s="304"/>
      <c r="H441" s="304"/>
      <c r="I441" s="304"/>
      <c r="J441" s="304"/>
      <c r="K441" s="304"/>
      <c r="L441" s="304"/>
      <c r="M441" s="304"/>
      <c r="N441" s="304"/>
      <c r="O441" s="304"/>
      <c r="P441" s="304"/>
      <c r="Q441" s="304"/>
      <c r="R441" s="304"/>
      <c r="S441" s="304"/>
      <c r="T441" s="304"/>
    </row>
    <row r="442">
      <c r="A442" s="304"/>
      <c r="B442" s="304"/>
      <c r="C442" s="304"/>
      <c r="D442" s="304"/>
      <c r="E442" s="304"/>
      <c r="F442" s="304"/>
      <c r="G442" s="304"/>
      <c r="H442" s="304"/>
      <c r="I442" s="304"/>
      <c r="J442" s="304"/>
      <c r="K442" s="304"/>
      <c r="L442" s="304"/>
      <c r="M442" s="304"/>
      <c r="N442" s="304"/>
      <c r="O442" s="304"/>
      <c r="P442" s="304"/>
      <c r="Q442" s="304"/>
      <c r="R442" s="304"/>
      <c r="S442" s="304"/>
      <c r="T442" s="304"/>
    </row>
    <row r="443">
      <c r="A443" s="304"/>
      <c r="B443" s="304"/>
      <c r="C443" s="304"/>
      <c r="D443" s="304"/>
      <c r="E443" s="304"/>
      <c r="F443" s="304"/>
      <c r="G443" s="304"/>
      <c r="H443" s="304"/>
      <c r="I443" s="304"/>
      <c r="J443" s="304"/>
      <c r="K443" s="304"/>
      <c r="L443" s="304"/>
      <c r="M443" s="304"/>
      <c r="N443" s="304"/>
      <c r="O443" s="304"/>
      <c r="P443" s="304"/>
      <c r="Q443" s="304"/>
      <c r="R443" s="304"/>
      <c r="S443" s="304"/>
      <c r="T443" s="304"/>
    </row>
    <row r="444">
      <c r="A444" s="304"/>
      <c r="B444" s="304"/>
      <c r="C444" s="304"/>
      <c r="D444" s="304"/>
      <c r="E444" s="304"/>
      <c r="F444" s="304"/>
      <c r="G444" s="304"/>
      <c r="H444" s="304"/>
      <c r="I444" s="304"/>
      <c r="J444" s="304"/>
      <c r="K444" s="304"/>
      <c r="L444" s="304"/>
      <c r="M444" s="304"/>
      <c r="N444" s="304"/>
      <c r="O444" s="304"/>
      <c r="P444" s="304"/>
      <c r="Q444" s="304"/>
      <c r="R444" s="304"/>
      <c r="S444" s="304"/>
      <c r="T444" s="304"/>
    </row>
    <row r="445">
      <c r="A445" s="304"/>
      <c r="B445" s="304"/>
      <c r="C445" s="304"/>
      <c r="D445" s="304"/>
      <c r="E445" s="304"/>
      <c r="F445" s="304"/>
      <c r="G445" s="304"/>
      <c r="H445" s="304"/>
      <c r="I445" s="304"/>
      <c r="J445" s="304"/>
      <c r="K445" s="304"/>
      <c r="L445" s="304"/>
      <c r="M445" s="304"/>
      <c r="N445" s="304"/>
      <c r="O445" s="304"/>
      <c r="P445" s="304"/>
      <c r="Q445" s="304"/>
      <c r="R445" s="304"/>
      <c r="S445" s="304"/>
      <c r="T445" s="304"/>
    </row>
    <row r="446">
      <c r="A446" s="304"/>
      <c r="B446" s="304"/>
      <c r="C446" s="304"/>
      <c r="D446" s="304"/>
      <c r="E446" s="304"/>
      <c r="F446" s="304"/>
      <c r="G446" s="304"/>
      <c r="H446" s="304"/>
      <c r="I446" s="304"/>
      <c r="J446" s="304"/>
      <c r="K446" s="304"/>
      <c r="L446" s="304"/>
      <c r="M446" s="304"/>
      <c r="N446" s="304"/>
      <c r="O446" s="304"/>
      <c r="P446" s="304"/>
      <c r="Q446" s="304"/>
      <c r="R446" s="304"/>
      <c r="S446" s="304"/>
      <c r="T446" s="304"/>
    </row>
    <row r="447">
      <c r="A447" s="304"/>
      <c r="B447" s="304"/>
      <c r="C447" s="304"/>
      <c r="D447" s="304"/>
      <c r="E447" s="304"/>
      <c r="F447" s="304"/>
      <c r="G447" s="304"/>
      <c r="H447" s="304"/>
      <c r="I447" s="304"/>
      <c r="J447" s="304"/>
      <c r="K447" s="304"/>
      <c r="L447" s="304"/>
      <c r="M447" s="304"/>
      <c r="N447" s="304"/>
      <c r="O447" s="304"/>
      <c r="P447" s="304"/>
      <c r="Q447" s="304"/>
      <c r="R447" s="304"/>
      <c r="S447" s="304"/>
      <c r="T447" s="304"/>
    </row>
    <row r="448">
      <c r="A448" s="304"/>
      <c r="B448" s="304"/>
      <c r="C448" s="304"/>
      <c r="D448" s="304"/>
      <c r="E448" s="304"/>
      <c r="F448" s="304"/>
      <c r="G448" s="304"/>
      <c r="H448" s="304"/>
      <c r="I448" s="304"/>
      <c r="J448" s="304"/>
      <c r="K448" s="304"/>
      <c r="L448" s="304"/>
      <c r="M448" s="304"/>
      <c r="N448" s="304"/>
      <c r="O448" s="304"/>
      <c r="P448" s="304"/>
      <c r="Q448" s="304"/>
      <c r="R448" s="304"/>
      <c r="S448" s="304"/>
      <c r="T448" s="304"/>
    </row>
    <row r="449">
      <c r="A449" s="304"/>
      <c r="B449" s="304"/>
      <c r="C449" s="304"/>
      <c r="D449" s="304"/>
      <c r="E449" s="304"/>
      <c r="F449" s="304"/>
      <c r="G449" s="304"/>
      <c r="H449" s="304"/>
      <c r="I449" s="304"/>
      <c r="J449" s="304"/>
      <c r="K449" s="304"/>
      <c r="L449" s="304"/>
      <c r="M449" s="304"/>
      <c r="N449" s="304"/>
      <c r="O449" s="304"/>
      <c r="P449" s="304"/>
      <c r="Q449" s="304"/>
      <c r="R449" s="304"/>
      <c r="S449" s="304"/>
      <c r="T449" s="304"/>
    </row>
    <row r="450">
      <c r="A450" s="304"/>
      <c r="B450" s="304"/>
      <c r="C450" s="304"/>
      <c r="D450" s="304"/>
      <c r="E450" s="304"/>
      <c r="F450" s="304"/>
      <c r="G450" s="304"/>
      <c r="H450" s="304"/>
      <c r="I450" s="304"/>
      <c r="J450" s="304"/>
      <c r="K450" s="304"/>
      <c r="L450" s="304"/>
      <c r="M450" s="304"/>
      <c r="N450" s="304"/>
      <c r="O450" s="304"/>
      <c r="P450" s="304"/>
      <c r="Q450" s="304"/>
      <c r="R450" s="304"/>
      <c r="S450" s="304"/>
      <c r="T450" s="304"/>
    </row>
    <row r="451">
      <c r="A451" s="304"/>
      <c r="B451" s="304"/>
      <c r="C451" s="304"/>
      <c r="D451" s="304"/>
      <c r="E451" s="304"/>
      <c r="F451" s="304"/>
      <c r="G451" s="304"/>
      <c r="H451" s="304"/>
      <c r="I451" s="304"/>
      <c r="J451" s="304"/>
      <c r="K451" s="304"/>
      <c r="L451" s="304"/>
      <c r="M451" s="304"/>
      <c r="N451" s="304"/>
      <c r="O451" s="304"/>
      <c r="P451" s="304"/>
      <c r="Q451" s="304"/>
      <c r="R451" s="304"/>
      <c r="S451" s="304"/>
      <c r="T451" s="304"/>
    </row>
    <row r="452">
      <c r="A452" s="304"/>
      <c r="B452" s="304"/>
      <c r="C452" s="304"/>
      <c r="D452" s="304"/>
      <c r="E452" s="304"/>
      <c r="F452" s="304"/>
      <c r="G452" s="304"/>
      <c r="H452" s="304"/>
      <c r="I452" s="304"/>
      <c r="J452" s="304"/>
      <c r="K452" s="304"/>
      <c r="L452" s="304"/>
      <c r="M452" s="304"/>
      <c r="N452" s="304"/>
      <c r="O452" s="304"/>
      <c r="P452" s="304"/>
      <c r="Q452" s="304"/>
      <c r="R452" s="304"/>
      <c r="S452" s="304"/>
      <c r="T452" s="304"/>
    </row>
    <row r="453">
      <c r="A453" s="304"/>
      <c r="B453" s="304"/>
      <c r="C453" s="304"/>
      <c r="D453" s="304"/>
      <c r="E453" s="304"/>
      <c r="F453" s="304"/>
      <c r="G453" s="304"/>
      <c r="H453" s="304"/>
      <c r="I453" s="304"/>
      <c r="J453" s="304"/>
      <c r="K453" s="304"/>
      <c r="L453" s="304"/>
      <c r="M453" s="304"/>
      <c r="N453" s="304"/>
      <c r="O453" s="304"/>
      <c r="P453" s="304"/>
      <c r="Q453" s="304"/>
      <c r="R453" s="304"/>
      <c r="S453" s="304"/>
      <c r="T453" s="304"/>
    </row>
    <row r="454">
      <c r="A454" s="304"/>
      <c r="B454" s="304"/>
      <c r="C454" s="304"/>
      <c r="D454" s="304"/>
      <c r="E454" s="304"/>
      <c r="F454" s="304"/>
      <c r="G454" s="304"/>
      <c r="H454" s="304"/>
      <c r="I454" s="304"/>
      <c r="J454" s="304"/>
      <c r="K454" s="304"/>
      <c r="L454" s="304"/>
      <c r="M454" s="304"/>
      <c r="N454" s="304"/>
      <c r="O454" s="304"/>
      <c r="P454" s="304"/>
      <c r="Q454" s="304"/>
      <c r="R454" s="304"/>
      <c r="S454" s="304"/>
      <c r="T454" s="304"/>
    </row>
    <row r="455">
      <c r="A455" s="304"/>
      <c r="B455" s="304"/>
      <c r="C455" s="304"/>
      <c r="D455" s="304"/>
      <c r="E455" s="304"/>
      <c r="F455" s="304"/>
      <c r="G455" s="304"/>
      <c r="H455" s="304"/>
      <c r="I455" s="304"/>
      <c r="J455" s="304"/>
      <c r="K455" s="304"/>
      <c r="L455" s="304"/>
      <c r="M455" s="304"/>
      <c r="N455" s="304"/>
      <c r="O455" s="304"/>
      <c r="P455" s="304"/>
      <c r="Q455" s="304"/>
      <c r="R455" s="304"/>
      <c r="S455" s="304"/>
      <c r="T455" s="304"/>
    </row>
    <row r="456">
      <c r="A456" s="304"/>
      <c r="B456" s="304"/>
      <c r="C456" s="304"/>
      <c r="D456" s="304"/>
      <c r="E456" s="304"/>
      <c r="F456" s="304"/>
      <c r="G456" s="304"/>
      <c r="H456" s="304"/>
      <c r="I456" s="304"/>
      <c r="J456" s="304"/>
      <c r="K456" s="304"/>
      <c r="L456" s="304"/>
      <c r="M456" s="304"/>
      <c r="N456" s="304"/>
      <c r="O456" s="304"/>
      <c r="P456" s="304"/>
      <c r="Q456" s="304"/>
      <c r="R456" s="304"/>
      <c r="S456" s="304"/>
      <c r="T456" s="304"/>
    </row>
    <row r="457">
      <c r="A457" s="304"/>
      <c r="B457" s="304"/>
      <c r="C457" s="304"/>
      <c r="D457" s="304"/>
      <c r="E457" s="304"/>
      <c r="F457" s="304"/>
      <c r="G457" s="304"/>
      <c r="H457" s="304"/>
      <c r="I457" s="304"/>
      <c r="J457" s="304"/>
      <c r="K457" s="304"/>
      <c r="L457" s="304"/>
      <c r="M457" s="304"/>
      <c r="N457" s="304"/>
      <c r="O457" s="304"/>
      <c r="P457" s="304"/>
      <c r="Q457" s="304"/>
      <c r="R457" s="304"/>
      <c r="S457" s="304"/>
      <c r="T457" s="304"/>
    </row>
    <row r="458">
      <c r="A458" s="304"/>
      <c r="B458" s="304"/>
      <c r="C458" s="304"/>
      <c r="D458" s="304"/>
      <c r="E458" s="304"/>
      <c r="F458" s="304"/>
      <c r="G458" s="304"/>
      <c r="H458" s="304"/>
      <c r="I458" s="304"/>
      <c r="J458" s="304"/>
      <c r="K458" s="304"/>
      <c r="L458" s="304"/>
      <c r="M458" s="304"/>
      <c r="N458" s="304"/>
      <c r="O458" s="304"/>
      <c r="P458" s="304"/>
      <c r="Q458" s="304"/>
      <c r="R458" s="304"/>
      <c r="S458" s="304"/>
      <c r="T458" s="304"/>
    </row>
    <row r="459">
      <c r="A459" s="304"/>
      <c r="B459" s="304"/>
      <c r="C459" s="304"/>
      <c r="D459" s="304"/>
      <c r="E459" s="304"/>
      <c r="F459" s="304"/>
      <c r="G459" s="304"/>
      <c r="H459" s="304"/>
      <c r="I459" s="304"/>
      <c r="J459" s="304"/>
      <c r="K459" s="304"/>
      <c r="L459" s="304"/>
      <c r="M459" s="304"/>
      <c r="N459" s="304"/>
      <c r="O459" s="304"/>
      <c r="P459" s="304"/>
      <c r="Q459" s="304"/>
      <c r="R459" s="304"/>
      <c r="S459" s="304"/>
      <c r="T459" s="304"/>
    </row>
    <row r="460">
      <c r="A460" s="304"/>
      <c r="B460" s="304"/>
      <c r="C460" s="304"/>
      <c r="D460" s="304"/>
      <c r="E460" s="304"/>
      <c r="F460" s="304"/>
      <c r="G460" s="304"/>
      <c r="H460" s="304"/>
      <c r="I460" s="304"/>
      <c r="J460" s="304"/>
      <c r="K460" s="304"/>
      <c r="L460" s="304"/>
      <c r="M460" s="304"/>
      <c r="N460" s="304"/>
      <c r="O460" s="304"/>
      <c r="P460" s="304"/>
      <c r="Q460" s="304"/>
      <c r="R460" s="304"/>
      <c r="S460" s="304"/>
      <c r="T460" s="304"/>
    </row>
    <row r="461">
      <c r="A461" s="304"/>
      <c r="B461" s="304"/>
      <c r="C461" s="304"/>
      <c r="D461" s="304"/>
      <c r="E461" s="304"/>
      <c r="F461" s="304"/>
      <c r="G461" s="304"/>
      <c r="H461" s="304"/>
      <c r="I461" s="304"/>
      <c r="J461" s="304"/>
      <c r="K461" s="304"/>
      <c r="L461" s="304"/>
      <c r="M461" s="304"/>
      <c r="N461" s="304"/>
      <c r="O461" s="304"/>
      <c r="P461" s="304"/>
      <c r="Q461" s="304"/>
      <c r="R461" s="304"/>
      <c r="S461" s="304"/>
      <c r="T461" s="304"/>
    </row>
    <row r="462">
      <c r="A462" s="304"/>
      <c r="B462" s="304"/>
      <c r="C462" s="304"/>
      <c r="D462" s="304"/>
      <c r="E462" s="304"/>
      <c r="F462" s="304"/>
      <c r="G462" s="304"/>
      <c r="H462" s="304"/>
      <c r="I462" s="304"/>
      <c r="J462" s="304"/>
      <c r="K462" s="304"/>
      <c r="L462" s="304"/>
      <c r="M462" s="304"/>
      <c r="N462" s="304"/>
      <c r="O462" s="304"/>
      <c r="P462" s="304"/>
      <c r="Q462" s="304"/>
      <c r="R462" s="304"/>
      <c r="S462" s="304"/>
      <c r="T462" s="304"/>
    </row>
    <row r="463">
      <c r="A463" s="304"/>
      <c r="B463" s="304"/>
      <c r="C463" s="304"/>
      <c r="D463" s="304"/>
      <c r="E463" s="304"/>
      <c r="F463" s="304"/>
      <c r="G463" s="304"/>
      <c r="H463" s="304"/>
      <c r="I463" s="304"/>
      <c r="J463" s="304"/>
      <c r="K463" s="304"/>
      <c r="L463" s="304"/>
      <c r="M463" s="304"/>
      <c r="N463" s="304"/>
      <c r="O463" s="304"/>
      <c r="P463" s="304"/>
      <c r="Q463" s="304"/>
      <c r="R463" s="304"/>
      <c r="S463" s="304"/>
      <c r="T463" s="304"/>
    </row>
    <row r="464">
      <c r="A464" s="304"/>
      <c r="B464" s="304"/>
      <c r="C464" s="304"/>
      <c r="D464" s="304"/>
      <c r="E464" s="304"/>
      <c r="F464" s="304"/>
      <c r="G464" s="304"/>
      <c r="H464" s="304"/>
      <c r="I464" s="304"/>
      <c r="J464" s="304"/>
      <c r="K464" s="304"/>
      <c r="L464" s="304"/>
      <c r="M464" s="304"/>
      <c r="N464" s="304"/>
      <c r="O464" s="304"/>
      <c r="P464" s="304"/>
      <c r="Q464" s="304"/>
      <c r="R464" s="304"/>
      <c r="S464" s="304"/>
      <c r="T464" s="304"/>
    </row>
    <row r="465">
      <c r="A465" s="304"/>
      <c r="B465" s="304"/>
      <c r="C465" s="304"/>
      <c r="D465" s="304"/>
      <c r="E465" s="304"/>
      <c r="F465" s="304"/>
      <c r="G465" s="304"/>
      <c r="H465" s="304"/>
      <c r="I465" s="304"/>
      <c r="J465" s="304"/>
      <c r="K465" s="304"/>
      <c r="L465" s="304"/>
      <c r="M465" s="304"/>
      <c r="N465" s="304"/>
      <c r="O465" s="304"/>
      <c r="P465" s="304"/>
      <c r="Q465" s="304"/>
      <c r="R465" s="304"/>
      <c r="S465" s="304"/>
      <c r="T465" s="304"/>
    </row>
    <row r="466">
      <c r="A466" s="304"/>
      <c r="B466" s="304"/>
      <c r="C466" s="304"/>
      <c r="D466" s="304"/>
      <c r="E466" s="304"/>
      <c r="F466" s="304"/>
      <c r="G466" s="304"/>
      <c r="H466" s="304"/>
      <c r="I466" s="304"/>
      <c r="J466" s="304"/>
      <c r="K466" s="304"/>
      <c r="L466" s="304"/>
      <c r="M466" s="304"/>
      <c r="N466" s="304"/>
      <c r="O466" s="304"/>
      <c r="P466" s="304"/>
      <c r="Q466" s="304"/>
      <c r="R466" s="304"/>
      <c r="S466" s="304"/>
      <c r="T466" s="304"/>
    </row>
    <row r="467">
      <c r="A467" s="304"/>
      <c r="B467" s="304"/>
      <c r="C467" s="304"/>
      <c r="D467" s="304"/>
      <c r="E467" s="304"/>
      <c r="F467" s="304"/>
      <c r="G467" s="304"/>
      <c r="H467" s="304"/>
      <c r="I467" s="304"/>
      <c r="J467" s="304"/>
      <c r="K467" s="304"/>
      <c r="L467" s="304"/>
      <c r="M467" s="304"/>
      <c r="N467" s="304"/>
      <c r="O467" s="304"/>
      <c r="P467" s="304"/>
      <c r="Q467" s="304"/>
      <c r="R467" s="304"/>
      <c r="S467" s="304"/>
      <c r="T467" s="304"/>
    </row>
    <row r="468">
      <c r="A468" s="304"/>
      <c r="B468" s="304"/>
      <c r="C468" s="304"/>
      <c r="D468" s="304"/>
      <c r="E468" s="304"/>
      <c r="F468" s="304"/>
      <c r="G468" s="304"/>
      <c r="H468" s="304"/>
      <c r="I468" s="304"/>
      <c r="J468" s="304"/>
      <c r="K468" s="304"/>
      <c r="L468" s="304"/>
      <c r="M468" s="304"/>
      <c r="N468" s="304"/>
      <c r="O468" s="304"/>
      <c r="P468" s="304"/>
      <c r="Q468" s="304"/>
      <c r="R468" s="304"/>
      <c r="S468" s="304"/>
      <c r="T468" s="304"/>
    </row>
    <row r="469">
      <c r="A469" s="304"/>
      <c r="B469" s="304"/>
      <c r="C469" s="304"/>
      <c r="D469" s="304"/>
      <c r="E469" s="304"/>
      <c r="F469" s="304"/>
      <c r="G469" s="304"/>
      <c r="H469" s="304"/>
      <c r="I469" s="304"/>
      <c r="J469" s="304"/>
      <c r="K469" s="304"/>
      <c r="L469" s="304"/>
      <c r="M469" s="304"/>
      <c r="N469" s="304"/>
      <c r="O469" s="304"/>
      <c r="P469" s="304"/>
      <c r="Q469" s="304"/>
      <c r="R469" s="304"/>
      <c r="S469" s="304"/>
      <c r="T469" s="304"/>
    </row>
    <row r="470">
      <c r="A470" s="304"/>
      <c r="B470" s="304"/>
      <c r="C470" s="304"/>
      <c r="D470" s="304"/>
      <c r="E470" s="304"/>
      <c r="F470" s="304"/>
      <c r="G470" s="304"/>
      <c r="H470" s="304"/>
      <c r="I470" s="304"/>
      <c r="J470" s="304"/>
      <c r="K470" s="304"/>
      <c r="L470" s="304"/>
      <c r="M470" s="304"/>
      <c r="N470" s="304"/>
      <c r="O470" s="304"/>
      <c r="P470" s="304"/>
      <c r="Q470" s="304"/>
      <c r="R470" s="304"/>
      <c r="S470" s="304"/>
      <c r="T470" s="304"/>
    </row>
    <row r="471">
      <c r="A471" s="304"/>
      <c r="B471" s="304"/>
      <c r="C471" s="304"/>
      <c r="D471" s="304"/>
      <c r="E471" s="304"/>
      <c r="F471" s="304"/>
      <c r="G471" s="304"/>
      <c r="H471" s="304"/>
      <c r="I471" s="304"/>
      <c r="J471" s="304"/>
      <c r="K471" s="304"/>
      <c r="L471" s="304"/>
      <c r="M471" s="304"/>
      <c r="N471" s="304"/>
      <c r="O471" s="304"/>
      <c r="P471" s="304"/>
      <c r="Q471" s="304"/>
      <c r="R471" s="304"/>
      <c r="S471" s="304"/>
      <c r="T471" s="304"/>
    </row>
    <row r="472">
      <c r="A472" s="304"/>
      <c r="B472" s="304"/>
      <c r="C472" s="304"/>
      <c r="D472" s="304"/>
      <c r="E472" s="304"/>
      <c r="F472" s="304"/>
      <c r="G472" s="304"/>
      <c r="H472" s="304"/>
      <c r="I472" s="304"/>
      <c r="J472" s="304"/>
      <c r="K472" s="304"/>
      <c r="L472" s="304"/>
      <c r="M472" s="304"/>
      <c r="N472" s="304"/>
      <c r="O472" s="304"/>
      <c r="P472" s="304"/>
      <c r="Q472" s="304"/>
      <c r="R472" s="304"/>
      <c r="S472" s="304"/>
      <c r="T472" s="304"/>
    </row>
    <row r="473">
      <c r="A473" s="304"/>
      <c r="B473" s="304"/>
      <c r="C473" s="304"/>
      <c r="D473" s="304"/>
      <c r="E473" s="304"/>
      <c r="F473" s="304"/>
      <c r="G473" s="304"/>
      <c r="H473" s="304"/>
      <c r="I473" s="304"/>
      <c r="J473" s="304"/>
      <c r="K473" s="304"/>
      <c r="L473" s="304"/>
      <c r="M473" s="304"/>
      <c r="N473" s="304"/>
      <c r="O473" s="304"/>
      <c r="P473" s="304"/>
      <c r="Q473" s="304"/>
      <c r="R473" s="304"/>
      <c r="S473" s="304"/>
      <c r="T473" s="304"/>
    </row>
    <row r="474">
      <c r="A474" s="304"/>
      <c r="B474" s="304"/>
      <c r="C474" s="304"/>
      <c r="D474" s="304"/>
      <c r="E474" s="304"/>
      <c r="F474" s="304"/>
      <c r="G474" s="304"/>
      <c r="H474" s="304"/>
      <c r="I474" s="304"/>
      <c r="J474" s="304"/>
      <c r="K474" s="304"/>
      <c r="L474" s="304"/>
      <c r="M474" s="304"/>
      <c r="N474" s="304"/>
      <c r="O474" s="304"/>
      <c r="P474" s="304"/>
      <c r="Q474" s="304"/>
      <c r="R474" s="304"/>
      <c r="S474" s="304"/>
      <c r="T474" s="304"/>
    </row>
    <row r="475">
      <c r="A475" s="304"/>
      <c r="B475" s="304"/>
      <c r="C475" s="304"/>
      <c r="D475" s="304"/>
      <c r="E475" s="304"/>
      <c r="F475" s="304"/>
      <c r="G475" s="304"/>
      <c r="H475" s="304"/>
      <c r="I475" s="304"/>
      <c r="J475" s="304"/>
      <c r="K475" s="304"/>
      <c r="L475" s="304"/>
      <c r="M475" s="304"/>
      <c r="N475" s="304"/>
      <c r="O475" s="304"/>
      <c r="P475" s="304"/>
      <c r="Q475" s="304"/>
      <c r="R475" s="304"/>
      <c r="S475" s="304"/>
      <c r="T475" s="304"/>
    </row>
    <row r="476">
      <c r="A476" s="304"/>
      <c r="B476" s="304"/>
      <c r="C476" s="304"/>
      <c r="D476" s="304"/>
      <c r="E476" s="304"/>
      <c r="F476" s="304"/>
      <c r="G476" s="304"/>
      <c r="H476" s="304"/>
      <c r="I476" s="304"/>
      <c r="J476" s="304"/>
      <c r="K476" s="304"/>
      <c r="L476" s="304"/>
      <c r="M476" s="304"/>
      <c r="N476" s="304"/>
      <c r="O476" s="304"/>
      <c r="P476" s="304"/>
      <c r="Q476" s="304"/>
      <c r="R476" s="304"/>
      <c r="S476" s="304"/>
      <c r="T476" s="304"/>
    </row>
    <row r="477">
      <c r="A477" s="304"/>
      <c r="B477" s="304"/>
      <c r="C477" s="304"/>
      <c r="D477" s="304"/>
      <c r="E477" s="304"/>
      <c r="F477" s="304"/>
      <c r="G477" s="304"/>
      <c r="H477" s="304"/>
      <c r="I477" s="304"/>
      <c r="J477" s="304"/>
      <c r="K477" s="304"/>
      <c r="L477" s="304"/>
      <c r="M477" s="304"/>
      <c r="N477" s="304"/>
      <c r="O477" s="304"/>
      <c r="P477" s="304"/>
      <c r="Q477" s="304"/>
      <c r="R477" s="304"/>
      <c r="S477" s="304"/>
      <c r="T477" s="304"/>
    </row>
    <row r="478">
      <c r="A478" s="304"/>
      <c r="B478" s="304"/>
      <c r="C478" s="304"/>
      <c r="D478" s="304"/>
      <c r="E478" s="304"/>
      <c r="F478" s="304"/>
      <c r="G478" s="304"/>
      <c r="H478" s="304"/>
      <c r="I478" s="304"/>
      <c r="J478" s="304"/>
      <c r="K478" s="304"/>
      <c r="L478" s="304"/>
      <c r="M478" s="304"/>
      <c r="N478" s="304"/>
      <c r="O478" s="304"/>
      <c r="P478" s="304"/>
      <c r="Q478" s="304"/>
      <c r="R478" s="304"/>
      <c r="S478" s="304"/>
      <c r="T478" s="304"/>
    </row>
    <row r="479">
      <c r="A479" s="304"/>
      <c r="B479" s="304"/>
      <c r="C479" s="304"/>
      <c r="D479" s="304"/>
      <c r="E479" s="304"/>
      <c r="F479" s="304"/>
      <c r="G479" s="304"/>
      <c r="H479" s="304"/>
      <c r="I479" s="304"/>
      <c r="J479" s="304"/>
      <c r="K479" s="304"/>
      <c r="L479" s="304"/>
      <c r="M479" s="304"/>
      <c r="N479" s="304"/>
      <c r="O479" s="304"/>
      <c r="P479" s="304"/>
      <c r="Q479" s="304"/>
      <c r="R479" s="304"/>
      <c r="S479" s="304"/>
      <c r="T479" s="304"/>
    </row>
    <row r="480">
      <c r="A480" s="304"/>
      <c r="B480" s="304"/>
      <c r="C480" s="304"/>
      <c r="D480" s="304"/>
      <c r="E480" s="304"/>
      <c r="F480" s="304"/>
      <c r="G480" s="304"/>
      <c r="H480" s="304"/>
      <c r="I480" s="304"/>
      <c r="J480" s="304"/>
      <c r="K480" s="304"/>
      <c r="L480" s="304"/>
      <c r="M480" s="304"/>
      <c r="N480" s="304"/>
      <c r="O480" s="304"/>
      <c r="P480" s="304"/>
      <c r="Q480" s="304"/>
      <c r="R480" s="304"/>
      <c r="S480" s="304"/>
      <c r="T480" s="304"/>
    </row>
    <row r="481">
      <c r="A481" s="304"/>
      <c r="B481" s="304"/>
      <c r="C481" s="304"/>
      <c r="D481" s="304"/>
      <c r="E481" s="304"/>
      <c r="F481" s="304"/>
      <c r="G481" s="304"/>
      <c r="H481" s="304"/>
      <c r="I481" s="304"/>
      <c r="J481" s="304"/>
      <c r="K481" s="304"/>
      <c r="L481" s="304"/>
      <c r="M481" s="304"/>
      <c r="N481" s="304"/>
      <c r="O481" s="304"/>
      <c r="P481" s="304"/>
      <c r="Q481" s="304"/>
      <c r="R481" s="304"/>
      <c r="S481" s="304"/>
      <c r="T481" s="304"/>
    </row>
    <row r="482">
      <c r="A482" s="304"/>
      <c r="B482" s="304"/>
      <c r="C482" s="304"/>
      <c r="D482" s="304"/>
      <c r="E482" s="304"/>
      <c r="F482" s="304"/>
      <c r="G482" s="304"/>
      <c r="H482" s="304"/>
      <c r="I482" s="304"/>
      <c r="J482" s="304"/>
      <c r="K482" s="304"/>
      <c r="L482" s="304"/>
      <c r="M482" s="304"/>
      <c r="N482" s="304"/>
      <c r="O482" s="304"/>
      <c r="P482" s="304"/>
      <c r="Q482" s="304"/>
      <c r="R482" s="304"/>
      <c r="S482" s="304"/>
      <c r="T482" s="304"/>
    </row>
    <row r="483">
      <c r="A483" s="304"/>
      <c r="B483" s="304"/>
      <c r="C483" s="304"/>
      <c r="D483" s="304"/>
      <c r="E483" s="304"/>
      <c r="F483" s="304"/>
      <c r="G483" s="304"/>
      <c r="H483" s="304"/>
      <c r="I483" s="304"/>
      <c r="J483" s="304"/>
      <c r="K483" s="304"/>
      <c r="L483" s="304"/>
      <c r="M483" s="304"/>
      <c r="N483" s="304"/>
      <c r="O483" s="304"/>
      <c r="P483" s="304"/>
      <c r="Q483" s="304"/>
      <c r="R483" s="304"/>
      <c r="S483" s="304"/>
      <c r="T483" s="304"/>
    </row>
    <row r="484">
      <c r="A484" s="304"/>
      <c r="B484" s="304"/>
      <c r="C484" s="304"/>
      <c r="D484" s="304"/>
      <c r="E484" s="304"/>
      <c r="F484" s="304"/>
      <c r="G484" s="304"/>
      <c r="H484" s="304"/>
      <c r="I484" s="304"/>
      <c r="J484" s="304"/>
      <c r="K484" s="304"/>
      <c r="L484" s="304"/>
      <c r="M484" s="304"/>
      <c r="N484" s="304"/>
      <c r="O484" s="304"/>
      <c r="P484" s="304"/>
      <c r="Q484" s="304"/>
      <c r="R484" s="304"/>
      <c r="S484" s="304"/>
      <c r="T484" s="304"/>
    </row>
    <row r="485">
      <c r="A485" s="304"/>
      <c r="B485" s="304"/>
      <c r="C485" s="304"/>
      <c r="D485" s="304"/>
      <c r="E485" s="304"/>
      <c r="F485" s="304"/>
      <c r="G485" s="304"/>
      <c r="H485" s="304"/>
      <c r="I485" s="304"/>
      <c r="J485" s="304"/>
      <c r="K485" s="304"/>
      <c r="L485" s="304"/>
      <c r="M485" s="304"/>
      <c r="N485" s="304"/>
      <c r="O485" s="304"/>
      <c r="P485" s="304"/>
      <c r="Q485" s="304"/>
      <c r="R485" s="304"/>
      <c r="S485" s="304"/>
      <c r="T485" s="304"/>
    </row>
    <row r="486">
      <c r="A486" s="304"/>
      <c r="B486" s="304"/>
      <c r="C486" s="304"/>
      <c r="D486" s="304"/>
      <c r="E486" s="304"/>
      <c r="F486" s="304"/>
      <c r="G486" s="304"/>
      <c r="H486" s="304"/>
      <c r="I486" s="304"/>
      <c r="J486" s="304"/>
      <c r="K486" s="304"/>
      <c r="L486" s="304"/>
      <c r="M486" s="304"/>
      <c r="N486" s="304"/>
      <c r="O486" s="304"/>
      <c r="P486" s="304"/>
      <c r="Q486" s="304"/>
      <c r="R486" s="304"/>
      <c r="S486" s="304"/>
      <c r="T486" s="304"/>
    </row>
    <row r="487">
      <c r="A487" s="304"/>
      <c r="B487" s="304"/>
      <c r="C487" s="304"/>
      <c r="D487" s="304"/>
      <c r="E487" s="304"/>
      <c r="F487" s="304"/>
      <c r="G487" s="304"/>
      <c r="H487" s="304"/>
      <c r="I487" s="304"/>
      <c r="J487" s="304"/>
      <c r="K487" s="304"/>
      <c r="L487" s="304"/>
      <c r="M487" s="304"/>
      <c r="N487" s="304"/>
      <c r="O487" s="304"/>
      <c r="P487" s="304"/>
      <c r="Q487" s="304"/>
      <c r="R487" s="304"/>
      <c r="S487" s="304"/>
      <c r="T487" s="304"/>
    </row>
    <row r="488">
      <c r="A488" s="304"/>
      <c r="B488" s="304"/>
      <c r="C488" s="304"/>
      <c r="D488" s="304"/>
      <c r="E488" s="304"/>
      <c r="F488" s="304"/>
      <c r="G488" s="304"/>
      <c r="H488" s="304"/>
      <c r="I488" s="304"/>
      <c r="J488" s="304"/>
      <c r="K488" s="304"/>
      <c r="L488" s="304"/>
      <c r="M488" s="304"/>
      <c r="N488" s="304"/>
      <c r="O488" s="304"/>
      <c r="P488" s="304"/>
      <c r="Q488" s="304"/>
      <c r="R488" s="304"/>
      <c r="S488" s="304"/>
      <c r="T488" s="304"/>
    </row>
    <row r="489">
      <c r="A489" s="304"/>
      <c r="B489" s="304"/>
      <c r="C489" s="304"/>
      <c r="D489" s="304"/>
      <c r="E489" s="304"/>
      <c r="F489" s="304"/>
      <c r="G489" s="304"/>
      <c r="H489" s="304"/>
      <c r="I489" s="304"/>
      <c r="J489" s="304"/>
      <c r="K489" s="304"/>
      <c r="L489" s="304"/>
      <c r="M489" s="304"/>
      <c r="N489" s="304"/>
      <c r="O489" s="304"/>
      <c r="P489" s="304"/>
      <c r="Q489" s="304"/>
      <c r="R489" s="304"/>
      <c r="S489" s="304"/>
      <c r="T489" s="304"/>
    </row>
    <row r="490">
      <c r="A490" s="304"/>
      <c r="B490" s="304"/>
      <c r="C490" s="304"/>
      <c r="D490" s="304"/>
      <c r="E490" s="304"/>
      <c r="F490" s="304"/>
      <c r="G490" s="304"/>
      <c r="H490" s="304"/>
      <c r="I490" s="304"/>
      <c r="J490" s="304"/>
      <c r="K490" s="304"/>
      <c r="L490" s="304"/>
      <c r="M490" s="304"/>
      <c r="N490" s="304"/>
      <c r="O490" s="304"/>
      <c r="P490" s="304"/>
      <c r="Q490" s="304"/>
      <c r="R490" s="304"/>
      <c r="S490" s="304"/>
      <c r="T490" s="304"/>
    </row>
    <row r="491">
      <c r="A491" s="304"/>
      <c r="B491" s="304"/>
      <c r="C491" s="304"/>
      <c r="D491" s="304"/>
      <c r="E491" s="304"/>
      <c r="F491" s="304"/>
      <c r="G491" s="304"/>
      <c r="H491" s="304"/>
      <c r="I491" s="304"/>
      <c r="J491" s="304"/>
      <c r="K491" s="304"/>
      <c r="L491" s="304"/>
      <c r="M491" s="304"/>
      <c r="N491" s="304"/>
      <c r="O491" s="304"/>
      <c r="P491" s="304"/>
      <c r="Q491" s="304"/>
      <c r="R491" s="304"/>
      <c r="S491" s="304"/>
      <c r="T491" s="304"/>
    </row>
    <row r="492">
      <c r="A492" s="304"/>
      <c r="B492" s="304"/>
      <c r="C492" s="304"/>
      <c r="D492" s="304"/>
      <c r="E492" s="304"/>
      <c r="F492" s="304"/>
      <c r="G492" s="304"/>
      <c r="H492" s="304"/>
      <c r="I492" s="304"/>
      <c r="J492" s="304"/>
      <c r="K492" s="304"/>
      <c r="L492" s="304"/>
      <c r="M492" s="304"/>
      <c r="N492" s="304"/>
      <c r="O492" s="304"/>
      <c r="P492" s="304"/>
      <c r="Q492" s="304"/>
      <c r="R492" s="304"/>
      <c r="S492" s="304"/>
      <c r="T492" s="304"/>
    </row>
    <row r="493">
      <c r="A493" s="304"/>
      <c r="B493" s="304"/>
      <c r="C493" s="304"/>
      <c r="D493" s="304"/>
      <c r="E493" s="304"/>
      <c r="F493" s="304"/>
      <c r="G493" s="304"/>
      <c r="H493" s="304"/>
      <c r="I493" s="304"/>
      <c r="J493" s="304"/>
      <c r="K493" s="304"/>
      <c r="L493" s="304"/>
      <c r="M493" s="304"/>
      <c r="N493" s="304"/>
      <c r="O493" s="304"/>
      <c r="P493" s="304"/>
      <c r="Q493" s="304"/>
      <c r="R493" s="304"/>
      <c r="S493" s="304"/>
      <c r="T493" s="304"/>
    </row>
    <row r="494">
      <c r="A494" s="304"/>
      <c r="B494" s="304"/>
      <c r="C494" s="304"/>
      <c r="D494" s="304"/>
      <c r="E494" s="304"/>
      <c r="F494" s="304"/>
      <c r="G494" s="304"/>
      <c r="H494" s="304"/>
      <c r="I494" s="304"/>
      <c r="J494" s="304"/>
      <c r="K494" s="304"/>
      <c r="L494" s="304"/>
      <c r="M494" s="304"/>
      <c r="N494" s="304"/>
      <c r="O494" s="304"/>
      <c r="P494" s="304"/>
      <c r="Q494" s="304"/>
      <c r="R494" s="304"/>
      <c r="S494" s="304"/>
      <c r="T494" s="304"/>
    </row>
    <row r="495">
      <c r="A495" s="304"/>
      <c r="B495" s="304"/>
      <c r="C495" s="304"/>
      <c r="D495" s="304"/>
      <c r="E495" s="304"/>
      <c r="F495" s="304"/>
      <c r="G495" s="304"/>
      <c r="H495" s="304"/>
      <c r="I495" s="304"/>
      <c r="J495" s="304"/>
      <c r="K495" s="304"/>
      <c r="L495" s="304"/>
      <c r="M495" s="304"/>
      <c r="N495" s="304"/>
      <c r="O495" s="304"/>
      <c r="P495" s="304"/>
      <c r="Q495" s="304"/>
      <c r="R495" s="304"/>
      <c r="S495" s="304"/>
      <c r="T495" s="304"/>
    </row>
    <row r="496">
      <c r="A496" s="304"/>
      <c r="B496" s="304"/>
      <c r="C496" s="304"/>
      <c r="D496" s="304"/>
      <c r="E496" s="304"/>
      <c r="F496" s="304"/>
      <c r="G496" s="304"/>
      <c r="H496" s="304"/>
      <c r="I496" s="304"/>
      <c r="J496" s="304"/>
      <c r="K496" s="304"/>
      <c r="L496" s="304"/>
      <c r="M496" s="304"/>
      <c r="N496" s="304"/>
      <c r="O496" s="304"/>
      <c r="P496" s="304"/>
      <c r="Q496" s="304"/>
      <c r="R496" s="304"/>
      <c r="S496" s="304"/>
      <c r="T496" s="304"/>
    </row>
    <row r="497">
      <c r="A497" s="304"/>
      <c r="B497" s="304"/>
      <c r="C497" s="304"/>
      <c r="D497" s="304"/>
      <c r="E497" s="304"/>
      <c r="F497" s="304"/>
      <c r="G497" s="304"/>
      <c r="H497" s="304"/>
      <c r="I497" s="304"/>
      <c r="J497" s="304"/>
      <c r="K497" s="304"/>
      <c r="L497" s="304"/>
      <c r="M497" s="304"/>
      <c r="N497" s="304"/>
      <c r="O497" s="304"/>
      <c r="P497" s="304"/>
      <c r="Q497" s="304"/>
      <c r="R497" s="304"/>
      <c r="S497" s="304"/>
      <c r="T497" s="304"/>
    </row>
    <row r="498">
      <c r="A498" s="304"/>
      <c r="B498" s="304"/>
      <c r="C498" s="304"/>
      <c r="D498" s="304"/>
      <c r="E498" s="304"/>
      <c r="F498" s="304"/>
      <c r="G498" s="304"/>
      <c r="H498" s="304"/>
      <c r="I498" s="304"/>
      <c r="J498" s="304"/>
      <c r="K498" s="304"/>
      <c r="L498" s="304"/>
      <c r="M498" s="304"/>
      <c r="N498" s="304"/>
      <c r="O498" s="304"/>
      <c r="P498" s="304"/>
      <c r="Q498" s="304"/>
      <c r="R498" s="304"/>
      <c r="S498" s="304"/>
      <c r="T498" s="304"/>
    </row>
    <row r="499">
      <c r="A499" s="304"/>
      <c r="B499" s="304"/>
      <c r="C499" s="304"/>
      <c r="D499" s="304"/>
      <c r="E499" s="304"/>
      <c r="F499" s="304"/>
      <c r="G499" s="304"/>
      <c r="H499" s="304"/>
      <c r="I499" s="304"/>
      <c r="J499" s="304"/>
      <c r="K499" s="304"/>
      <c r="L499" s="304"/>
      <c r="M499" s="304"/>
      <c r="N499" s="304"/>
      <c r="O499" s="304"/>
      <c r="P499" s="304"/>
      <c r="Q499" s="304"/>
      <c r="R499" s="304"/>
      <c r="S499" s="304"/>
      <c r="T499" s="304"/>
    </row>
    <row r="500">
      <c r="A500" s="304"/>
      <c r="B500" s="304"/>
      <c r="C500" s="304"/>
      <c r="D500" s="304"/>
      <c r="E500" s="304"/>
      <c r="F500" s="304"/>
      <c r="G500" s="304"/>
      <c r="H500" s="304"/>
      <c r="I500" s="304"/>
      <c r="J500" s="304"/>
      <c r="K500" s="304"/>
      <c r="L500" s="304"/>
      <c r="M500" s="304"/>
      <c r="N500" s="304"/>
      <c r="O500" s="304"/>
      <c r="P500" s="304"/>
      <c r="Q500" s="304"/>
      <c r="R500" s="304"/>
      <c r="S500" s="304"/>
      <c r="T500" s="304"/>
    </row>
    <row r="501">
      <c r="A501" s="304"/>
      <c r="B501" s="304"/>
      <c r="C501" s="304"/>
      <c r="D501" s="304"/>
      <c r="E501" s="304"/>
      <c r="F501" s="304"/>
      <c r="G501" s="304"/>
      <c r="H501" s="304"/>
      <c r="I501" s="304"/>
      <c r="J501" s="304"/>
      <c r="K501" s="304"/>
      <c r="L501" s="304"/>
      <c r="M501" s="304"/>
      <c r="N501" s="304"/>
      <c r="O501" s="304"/>
      <c r="P501" s="304"/>
      <c r="Q501" s="304"/>
      <c r="R501" s="304"/>
      <c r="S501" s="304"/>
      <c r="T501" s="304"/>
    </row>
    <row r="502">
      <c r="A502" s="304"/>
      <c r="B502" s="304"/>
      <c r="C502" s="304"/>
      <c r="D502" s="304"/>
      <c r="E502" s="304"/>
      <c r="F502" s="304"/>
      <c r="G502" s="304"/>
      <c r="H502" s="304"/>
      <c r="I502" s="304"/>
      <c r="J502" s="304"/>
      <c r="K502" s="304"/>
      <c r="L502" s="304"/>
      <c r="M502" s="304"/>
      <c r="N502" s="304"/>
      <c r="O502" s="304"/>
      <c r="P502" s="304"/>
      <c r="Q502" s="304"/>
      <c r="R502" s="304"/>
      <c r="S502" s="304"/>
      <c r="T502" s="304"/>
    </row>
    <row r="503">
      <c r="A503" s="304"/>
      <c r="B503" s="304"/>
      <c r="C503" s="304"/>
      <c r="D503" s="304"/>
      <c r="E503" s="304"/>
      <c r="F503" s="304"/>
      <c r="G503" s="304"/>
      <c r="H503" s="304"/>
      <c r="I503" s="304"/>
      <c r="J503" s="304"/>
      <c r="K503" s="304"/>
      <c r="L503" s="304"/>
      <c r="M503" s="304"/>
      <c r="N503" s="304"/>
      <c r="O503" s="304"/>
      <c r="P503" s="304"/>
      <c r="Q503" s="304"/>
      <c r="R503" s="304"/>
      <c r="S503" s="304"/>
      <c r="T503" s="304"/>
    </row>
    <row r="504">
      <c r="A504" s="304"/>
      <c r="B504" s="304"/>
      <c r="C504" s="304"/>
      <c r="D504" s="304"/>
      <c r="E504" s="304"/>
      <c r="F504" s="304"/>
      <c r="G504" s="304"/>
      <c r="H504" s="304"/>
      <c r="I504" s="304"/>
      <c r="J504" s="304"/>
      <c r="K504" s="304"/>
      <c r="L504" s="304"/>
      <c r="M504" s="304"/>
      <c r="N504" s="304"/>
      <c r="O504" s="304"/>
      <c r="P504" s="304"/>
      <c r="Q504" s="304"/>
      <c r="R504" s="304"/>
      <c r="S504" s="304"/>
      <c r="T504" s="304"/>
    </row>
    <row r="505">
      <c r="A505" s="304"/>
      <c r="B505" s="304"/>
      <c r="C505" s="304"/>
      <c r="D505" s="304"/>
      <c r="E505" s="304"/>
      <c r="F505" s="304"/>
      <c r="G505" s="304"/>
      <c r="H505" s="304"/>
      <c r="I505" s="304"/>
      <c r="J505" s="304"/>
      <c r="K505" s="304"/>
      <c r="L505" s="304"/>
      <c r="M505" s="304"/>
      <c r="N505" s="304"/>
      <c r="O505" s="304"/>
      <c r="P505" s="304"/>
      <c r="Q505" s="304"/>
      <c r="R505" s="304"/>
      <c r="S505" s="304"/>
      <c r="T505" s="304"/>
    </row>
    <row r="506">
      <c r="A506" s="304"/>
      <c r="B506" s="304"/>
      <c r="C506" s="304"/>
      <c r="D506" s="304"/>
      <c r="E506" s="304"/>
      <c r="F506" s="304"/>
      <c r="G506" s="304"/>
      <c r="H506" s="304"/>
      <c r="I506" s="304"/>
      <c r="J506" s="304"/>
      <c r="K506" s="304"/>
      <c r="L506" s="304"/>
      <c r="M506" s="304"/>
      <c r="N506" s="304"/>
      <c r="O506" s="304"/>
      <c r="P506" s="304"/>
      <c r="Q506" s="304"/>
      <c r="R506" s="304"/>
      <c r="S506" s="304"/>
      <c r="T506" s="304"/>
    </row>
    <row r="507">
      <c r="A507" s="304"/>
      <c r="B507" s="304"/>
      <c r="C507" s="304"/>
      <c r="D507" s="304"/>
      <c r="E507" s="304"/>
      <c r="F507" s="304"/>
      <c r="G507" s="304"/>
      <c r="H507" s="304"/>
      <c r="I507" s="304"/>
      <c r="J507" s="304"/>
      <c r="K507" s="304"/>
      <c r="L507" s="304"/>
      <c r="M507" s="304"/>
      <c r="N507" s="304"/>
      <c r="O507" s="304"/>
      <c r="P507" s="304"/>
      <c r="Q507" s="304"/>
      <c r="R507" s="304"/>
      <c r="S507" s="304"/>
      <c r="T507" s="304"/>
    </row>
    <row r="508">
      <c r="A508" s="304"/>
      <c r="B508" s="304"/>
      <c r="C508" s="304"/>
      <c r="D508" s="304"/>
      <c r="E508" s="304"/>
      <c r="F508" s="304"/>
      <c r="G508" s="304"/>
      <c r="H508" s="304"/>
      <c r="I508" s="304"/>
      <c r="J508" s="304"/>
      <c r="K508" s="304"/>
      <c r="L508" s="304"/>
      <c r="M508" s="304"/>
      <c r="N508" s="304"/>
      <c r="O508" s="304"/>
      <c r="P508" s="304"/>
      <c r="Q508" s="304"/>
      <c r="R508" s="304"/>
      <c r="S508" s="304"/>
      <c r="T508" s="304"/>
    </row>
    <row r="509">
      <c r="A509" s="304"/>
      <c r="B509" s="304"/>
      <c r="C509" s="304"/>
      <c r="D509" s="304"/>
      <c r="E509" s="304"/>
      <c r="F509" s="304"/>
      <c r="G509" s="304"/>
      <c r="H509" s="304"/>
      <c r="I509" s="304"/>
      <c r="J509" s="304"/>
      <c r="K509" s="304"/>
      <c r="L509" s="304"/>
      <c r="M509" s="304"/>
      <c r="N509" s="304"/>
      <c r="O509" s="304"/>
      <c r="P509" s="304"/>
      <c r="Q509" s="304"/>
      <c r="R509" s="304"/>
      <c r="S509" s="304"/>
      <c r="T509" s="304"/>
    </row>
    <row r="510">
      <c r="A510" s="304"/>
      <c r="B510" s="304"/>
      <c r="C510" s="304"/>
      <c r="D510" s="304"/>
      <c r="E510" s="304"/>
      <c r="F510" s="304"/>
      <c r="G510" s="304"/>
      <c r="H510" s="304"/>
      <c r="I510" s="304"/>
      <c r="J510" s="304"/>
      <c r="K510" s="304"/>
      <c r="L510" s="304"/>
      <c r="M510" s="304"/>
      <c r="N510" s="304"/>
      <c r="O510" s="304"/>
      <c r="P510" s="304"/>
      <c r="Q510" s="304"/>
      <c r="R510" s="304"/>
      <c r="S510" s="304"/>
      <c r="T510" s="304"/>
    </row>
    <row r="511">
      <c r="A511" s="304"/>
      <c r="B511" s="304"/>
      <c r="C511" s="304"/>
      <c r="D511" s="304"/>
      <c r="E511" s="304"/>
      <c r="F511" s="304"/>
      <c r="G511" s="304"/>
      <c r="H511" s="304"/>
      <c r="I511" s="304"/>
      <c r="J511" s="304"/>
      <c r="K511" s="304"/>
      <c r="L511" s="304"/>
      <c r="M511" s="304"/>
      <c r="N511" s="304"/>
      <c r="O511" s="304"/>
      <c r="P511" s="304"/>
      <c r="Q511" s="304"/>
      <c r="R511" s="304"/>
      <c r="S511" s="304"/>
      <c r="T511" s="304"/>
    </row>
    <row r="512">
      <c r="A512" s="304"/>
      <c r="B512" s="304"/>
      <c r="C512" s="304"/>
      <c r="D512" s="304"/>
      <c r="E512" s="304"/>
      <c r="F512" s="304"/>
      <c r="G512" s="304"/>
      <c r="H512" s="304"/>
      <c r="I512" s="304"/>
      <c r="J512" s="304"/>
      <c r="K512" s="304"/>
      <c r="L512" s="304"/>
      <c r="M512" s="304"/>
      <c r="N512" s="304"/>
      <c r="O512" s="304"/>
      <c r="P512" s="304"/>
      <c r="Q512" s="304"/>
      <c r="R512" s="304"/>
      <c r="S512" s="304"/>
      <c r="T512" s="304"/>
    </row>
    <row r="513">
      <c r="A513" s="304"/>
      <c r="B513" s="304"/>
      <c r="C513" s="304"/>
      <c r="D513" s="304"/>
      <c r="E513" s="304"/>
      <c r="F513" s="304"/>
      <c r="G513" s="304"/>
      <c r="H513" s="304"/>
      <c r="I513" s="304"/>
      <c r="J513" s="304"/>
      <c r="K513" s="304"/>
      <c r="L513" s="304"/>
      <c r="M513" s="304"/>
      <c r="N513" s="304"/>
      <c r="O513" s="304"/>
      <c r="P513" s="304"/>
      <c r="Q513" s="304"/>
      <c r="R513" s="304"/>
      <c r="S513" s="304"/>
      <c r="T513" s="304"/>
    </row>
    <row r="514">
      <c r="A514" s="304"/>
      <c r="B514" s="304"/>
      <c r="C514" s="304"/>
      <c r="D514" s="304"/>
      <c r="E514" s="304"/>
      <c r="F514" s="304"/>
      <c r="G514" s="304"/>
      <c r="H514" s="304"/>
      <c r="I514" s="304"/>
      <c r="J514" s="304"/>
      <c r="K514" s="304"/>
      <c r="L514" s="304"/>
      <c r="M514" s="304"/>
      <c r="N514" s="304"/>
      <c r="O514" s="304"/>
      <c r="P514" s="304"/>
      <c r="Q514" s="304"/>
      <c r="R514" s="304"/>
      <c r="S514" s="304"/>
      <c r="T514" s="304"/>
    </row>
    <row r="515">
      <c r="A515" s="304"/>
      <c r="B515" s="304"/>
      <c r="C515" s="304"/>
      <c r="D515" s="304"/>
      <c r="E515" s="304"/>
      <c r="F515" s="304"/>
      <c r="G515" s="304"/>
      <c r="H515" s="304"/>
      <c r="I515" s="304"/>
      <c r="J515" s="304"/>
      <c r="K515" s="304"/>
      <c r="L515" s="304"/>
      <c r="M515" s="304"/>
      <c r="N515" s="304"/>
      <c r="O515" s="304"/>
      <c r="P515" s="304"/>
      <c r="Q515" s="304"/>
      <c r="R515" s="304"/>
      <c r="S515" s="304"/>
      <c r="T515" s="304"/>
    </row>
    <row r="516">
      <c r="A516" s="304"/>
      <c r="B516" s="304"/>
      <c r="C516" s="304"/>
      <c r="D516" s="304"/>
      <c r="E516" s="304"/>
      <c r="F516" s="304"/>
      <c r="G516" s="304"/>
      <c r="H516" s="304"/>
      <c r="I516" s="304"/>
      <c r="J516" s="304"/>
      <c r="K516" s="304"/>
      <c r="L516" s="304"/>
      <c r="M516" s="304"/>
      <c r="N516" s="304"/>
      <c r="O516" s="304"/>
      <c r="P516" s="304"/>
      <c r="Q516" s="304"/>
      <c r="R516" s="304"/>
      <c r="S516" s="304"/>
      <c r="T516" s="304"/>
    </row>
    <row r="517">
      <c r="A517" s="304"/>
      <c r="B517" s="304"/>
      <c r="C517" s="304"/>
      <c r="D517" s="304"/>
      <c r="E517" s="304"/>
      <c r="F517" s="304"/>
      <c r="G517" s="304"/>
      <c r="H517" s="304"/>
      <c r="I517" s="304"/>
      <c r="J517" s="304"/>
      <c r="K517" s="304"/>
      <c r="L517" s="304"/>
      <c r="M517" s="304"/>
      <c r="N517" s="304"/>
      <c r="O517" s="304"/>
      <c r="P517" s="304"/>
      <c r="Q517" s="304"/>
      <c r="R517" s="304"/>
      <c r="S517" s="304"/>
      <c r="T517" s="304"/>
    </row>
    <row r="518">
      <c r="A518" s="304"/>
      <c r="B518" s="304"/>
      <c r="C518" s="304"/>
      <c r="D518" s="304"/>
      <c r="E518" s="304"/>
      <c r="F518" s="304"/>
      <c r="G518" s="304"/>
      <c r="H518" s="304"/>
      <c r="I518" s="304"/>
      <c r="J518" s="304"/>
      <c r="K518" s="304"/>
      <c r="L518" s="304"/>
      <c r="M518" s="304"/>
      <c r="N518" s="304"/>
      <c r="O518" s="304"/>
      <c r="P518" s="304"/>
      <c r="Q518" s="304"/>
      <c r="R518" s="304"/>
      <c r="S518" s="304"/>
      <c r="T518" s="304"/>
    </row>
    <row r="519">
      <c r="A519" s="304"/>
      <c r="B519" s="304"/>
      <c r="C519" s="304"/>
      <c r="D519" s="304"/>
      <c r="E519" s="304"/>
      <c r="F519" s="304"/>
      <c r="G519" s="304"/>
      <c r="H519" s="304"/>
      <c r="I519" s="304"/>
      <c r="J519" s="304"/>
      <c r="K519" s="304"/>
      <c r="L519" s="304"/>
      <c r="M519" s="304"/>
      <c r="N519" s="304"/>
      <c r="O519" s="304"/>
      <c r="P519" s="304"/>
      <c r="Q519" s="304"/>
      <c r="R519" s="304"/>
      <c r="S519" s="304"/>
      <c r="T519" s="304"/>
    </row>
    <row r="520">
      <c r="A520" s="304"/>
      <c r="B520" s="304"/>
      <c r="C520" s="304"/>
      <c r="D520" s="304"/>
      <c r="E520" s="304"/>
      <c r="F520" s="304"/>
      <c r="G520" s="304"/>
      <c r="H520" s="304"/>
      <c r="I520" s="304"/>
      <c r="J520" s="304"/>
      <c r="K520" s="304"/>
      <c r="L520" s="304"/>
      <c r="M520" s="304"/>
      <c r="N520" s="304"/>
      <c r="O520" s="304"/>
      <c r="P520" s="304"/>
      <c r="Q520" s="304"/>
      <c r="R520" s="304"/>
      <c r="S520" s="304"/>
      <c r="T520" s="304"/>
    </row>
    <row r="521">
      <c r="A521" s="304"/>
      <c r="B521" s="304"/>
      <c r="C521" s="304"/>
      <c r="D521" s="304"/>
      <c r="E521" s="304"/>
      <c r="F521" s="304"/>
      <c r="G521" s="304"/>
      <c r="H521" s="304"/>
      <c r="I521" s="304"/>
      <c r="J521" s="304"/>
      <c r="K521" s="304"/>
      <c r="L521" s="304"/>
      <c r="M521" s="304"/>
      <c r="N521" s="304"/>
      <c r="O521" s="304"/>
      <c r="P521" s="304"/>
      <c r="Q521" s="304"/>
      <c r="R521" s="304"/>
      <c r="S521" s="304"/>
      <c r="T521" s="304"/>
    </row>
    <row r="522">
      <c r="A522" s="304"/>
      <c r="B522" s="304"/>
      <c r="C522" s="304"/>
      <c r="D522" s="304"/>
      <c r="E522" s="304"/>
      <c r="F522" s="304"/>
      <c r="G522" s="304"/>
      <c r="H522" s="304"/>
      <c r="I522" s="304"/>
      <c r="J522" s="304"/>
      <c r="K522" s="304"/>
      <c r="L522" s="304"/>
      <c r="M522" s="304"/>
      <c r="N522" s="304"/>
      <c r="O522" s="304"/>
      <c r="P522" s="304"/>
      <c r="Q522" s="304"/>
      <c r="R522" s="304"/>
      <c r="S522" s="304"/>
      <c r="T522" s="304"/>
    </row>
    <row r="523">
      <c r="A523" s="304"/>
      <c r="B523" s="304"/>
      <c r="C523" s="304"/>
      <c r="D523" s="304"/>
      <c r="E523" s="304"/>
      <c r="F523" s="304"/>
      <c r="G523" s="304"/>
      <c r="H523" s="304"/>
      <c r="I523" s="304"/>
      <c r="J523" s="304"/>
      <c r="K523" s="304"/>
      <c r="L523" s="304"/>
      <c r="M523" s="304"/>
      <c r="N523" s="304"/>
      <c r="O523" s="304"/>
      <c r="P523" s="304"/>
      <c r="Q523" s="304"/>
      <c r="R523" s="304"/>
      <c r="S523" s="304"/>
      <c r="T523" s="304"/>
    </row>
    <row r="524">
      <c r="A524" s="304"/>
      <c r="B524" s="304"/>
      <c r="C524" s="304"/>
      <c r="D524" s="304"/>
      <c r="E524" s="304"/>
      <c r="F524" s="304"/>
      <c r="G524" s="304"/>
      <c r="H524" s="304"/>
      <c r="I524" s="304"/>
      <c r="J524" s="304"/>
      <c r="K524" s="304"/>
      <c r="L524" s="304"/>
      <c r="M524" s="304"/>
      <c r="N524" s="304"/>
      <c r="O524" s="304"/>
      <c r="P524" s="304"/>
      <c r="Q524" s="304"/>
      <c r="R524" s="304"/>
      <c r="S524" s="304"/>
      <c r="T524" s="304"/>
    </row>
    <row r="525">
      <c r="A525" s="304"/>
      <c r="B525" s="304"/>
      <c r="C525" s="304"/>
      <c r="D525" s="304"/>
      <c r="E525" s="304"/>
      <c r="F525" s="304"/>
      <c r="G525" s="304"/>
      <c r="H525" s="304"/>
      <c r="I525" s="304"/>
      <c r="J525" s="304"/>
      <c r="K525" s="304"/>
      <c r="L525" s="304"/>
      <c r="M525" s="304"/>
      <c r="N525" s="304"/>
      <c r="O525" s="304"/>
      <c r="P525" s="304"/>
      <c r="Q525" s="304"/>
      <c r="R525" s="304"/>
      <c r="S525" s="304"/>
      <c r="T525" s="304"/>
    </row>
    <row r="526">
      <c r="A526" s="304"/>
      <c r="B526" s="304"/>
      <c r="C526" s="304"/>
      <c r="D526" s="304"/>
      <c r="E526" s="304"/>
      <c r="F526" s="304"/>
      <c r="G526" s="304"/>
      <c r="H526" s="304"/>
      <c r="I526" s="304"/>
      <c r="J526" s="304"/>
      <c r="K526" s="304"/>
      <c r="L526" s="304"/>
      <c r="M526" s="304"/>
      <c r="N526" s="304"/>
      <c r="O526" s="304"/>
      <c r="P526" s="304"/>
      <c r="Q526" s="304"/>
      <c r="R526" s="304"/>
      <c r="S526" s="304"/>
      <c r="T526" s="304"/>
    </row>
    <row r="527">
      <c r="A527" s="304"/>
      <c r="B527" s="304"/>
      <c r="C527" s="304"/>
      <c r="D527" s="304"/>
      <c r="E527" s="304"/>
      <c r="F527" s="304"/>
      <c r="G527" s="304"/>
      <c r="H527" s="304"/>
      <c r="I527" s="304"/>
      <c r="J527" s="304"/>
      <c r="K527" s="304"/>
      <c r="L527" s="304"/>
      <c r="M527" s="304"/>
      <c r="N527" s="304"/>
      <c r="O527" s="304"/>
      <c r="P527" s="304"/>
      <c r="Q527" s="304"/>
      <c r="R527" s="304"/>
      <c r="S527" s="304"/>
      <c r="T527" s="304"/>
    </row>
    <row r="528">
      <c r="A528" s="304"/>
      <c r="B528" s="304"/>
      <c r="C528" s="304"/>
      <c r="D528" s="304"/>
      <c r="E528" s="304"/>
      <c r="F528" s="304"/>
      <c r="G528" s="304"/>
      <c r="H528" s="304"/>
      <c r="I528" s="304"/>
      <c r="J528" s="304"/>
      <c r="K528" s="304"/>
      <c r="L528" s="304"/>
      <c r="M528" s="304"/>
      <c r="N528" s="304"/>
      <c r="O528" s="304"/>
      <c r="P528" s="304"/>
      <c r="Q528" s="304"/>
      <c r="R528" s="304"/>
      <c r="S528" s="304"/>
      <c r="T528" s="304"/>
    </row>
    <row r="529">
      <c r="A529" s="304"/>
      <c r="B529" s="304"/>
      <c r="C529" s="304"/>
      <c r="D529" s="304"/>
      <c r="E529" s="304"/>
      <c r="F529" s="304"/>
      <c r="G529" s="304"/>
      <c r="H529" s="304"/>
      <c r="I529" s="304"/>
      <c r="J529" s="304"/>
      <c r="K529" s="304"/>
      <c r="L529" s="304"/>
      <c r="M529" s="304"/>
      <c r="N529" s="304"/>
      <c r="O529" s="304"/>
      <c r="P529" s="304"/>
      <c r="Q529" s="304"/>
      <c r="R529" s="304"/>
      <c r="S529" s="304"/>
      <c r="T529" s="304"/>
    </row>
    <row r="530">
      <c r="A530" s="304"/>
      <c r="B530" s="304"/>
      <c r="C530" s="304"/>
      <c r="D530" s="304"/>
      <c r="E530" s="304"/>
      <c r="F530" s="304"/>
      <c r="G530" s="304"/>
      <c r="H530" s="304"/>
      <c r="I530" s="304"/>
      <c r="J530" s="304"/>
      <c r="K530" s="304"/>
      <c r="L530" s="304"/>
      <c r="M530" s="304"/>
      <c r="N530" s="304"/>
      <c r="O530" s="304"/>
      <c r="P530" s="304"/>
      <c r="Q530" s="304"/>
      <c r="R530" s="304"/>
      <c r="S530" s="304"/>
      <c r="T530" s="304"/>
    </row>
    <row r="531">
      <c r="A531" s="304"/>
      <c r="B531" s="304"/>
      <c r="C531" s="304"/>
      <c r="D531" s="304"/>
      <c r="E531" s="304"/>
      <c r="F531" s="304"/>
      <c r="G531" s="304"/>
      <c r="H531" s="304"/>
      <c r="I531" s="304"/>
      <c r="J531" s="304"/>
      <c r="K531" s="304"/>
      <c r="L531" s="304"/>
      <c r="M531" s="304"/>
      <c r="N531" s="304"/>
      <c r="O531" s="304"/>
      <c r="P531" s="304"/>
      <c r="Q531" s="304"/>
      <c r="R531" s="304"/>
      <c r="S531" s="304"/>
      <c r="T531" s="304"/>
    </row>
    <row r="532">
      <c r="A532" s="304"/>
      <c r="B532" s="304"/>
      <c r="C532" s="304"/>
      <c r="D532" s="304"/>
      <c r="E532" s="304"/>
      <c r="F532" s="304"/>
      <c r="G532" s="304"/>
      <c r="H532" s="304"/>
      <c r="I532" s="304"/>
      <c r="J532" s="304"/>
      <c r="K532" s="304"/>
      <c r="L532" s="304"/>
      <c r="M532" s="304"/>
      <c r="N532" s="304"/>
      <c r="O532" s="304"/>
      <c r="P532" s="304"/>
      <c r="Q532" s="304"/>
      <c r="R532" s="304"/>
      <c r="S532" s="304"/>
      <c r="T532" s="304"/>
    </row>
    <row r="533">
      <c r="A533" s="304"/>
      <c r="B533" s="304"/>
      <c r="C533" s="304"/>
      <c r="D533" s="304"/>
      <c r="E533" s="304"/>
      <c r="F533" s="304"/>
      <c r="G533" s="304"/>
      <c r="H533" s="304"/>
      <c r="I533" s="304"/>
      <c r="J533" s="304"/>
      <c r="K533" s="304"/>
      <c r="L533" s="304"/>
      <c r="M533" s="304"/>
      <c r="N533" s="304"/>
      <c r="O533" s="304"/>
      <c r="P533" s="304"/>
      <c r="Q533" s="304"/>
      <c r="R533" s="304"/>
      <c r="S533" s="304"/>
      <c r="T533" s="304"/>
    </row>
    <row r="534">
      <c r="A534" s="304"/>
      <c r="B534" s="304"/>
      <c r="C534" s="304"/>
      <c r="D534" s="304"/>
      <c r="E534" s="304"/>
      <c r="F534" s="304"/>
      <c r="G534" s="304"/>
      <c r="H534" s="304"/>
      <c r="I534" s="304"/>
      <c r="J534" s="304"/>
      <c r="K534" s="304"/>
      <c r="L534" s="304"/>
      <c r="M534" s="304"/>
      <c r="N534" s="304"/>
      <c r="O534" s="304"/>
      <c r="P534" s="304"/>
      <c r="Q534" s="304"/>
      <c r="R534" s="304"/>
      <c r="S534" s="304"/>
      <c r="T534" s="304"/>
    </row>
    <row r="535">
      <c r="A535" s="304"/>
      <c r="B535" s="304"/>
      <c r="C535" s="304"/>
      <c r="D535" s="304"/>
      <c r="E535" s="304"/>
      <c r="F535" s="304"/>
      <c r="G535" s="304"/>
      <c r="H535" s="304"/>
      <c r="I535" s="304"/>
      <c r="J535" s="304"/>
      <c r="K535" s="304"/>
      <c r="L535" s="304"/>
      <c r="M535" s="304"/>
      <c r="N535" s="304"/>
      <c r="O535" s="304"/>
      <c r="P535" s="304"/>
      <c r="Q535" s="304"/>
      <c r="R535" s="304"/>
      <c r="S535" s="304"/>
      <c r="T535" s="304"/>
    </row>
    <row r="536">
      <c r="A536" s="304"/>
      <c r="B536" s="304"/>
      <c r="C536" s="304"/>
      <c r="D536" s="304"/>
      <c r="E536" s="304"/>
      <c r="F536" s="304"/>
      <c r="G536" s="304"/>
      <c r="H536" s="304"/>
      <c r="I536" s="304"/>
      <c r="J536" s="304"/>
      <c r="K536" s="304"/>
      <c r="L536" s="304"/>
      <c r="M536" s="304"/>
      <c r="N536" s="304"/>
      <c r="O536" s="304"/>
      <c r="P536" s="304"/>
      <c r="Q536" s="304"/>
      <c r="R536" s="304"/>
      <c r="S536" s="304"/>
      <c r="T536" s="304"/>
    </row>
    <row r="537">
      <c r="A537" s="304"/>
      <c r="B537" s="304"/>
      <c r="C537" s="304"/>
      <c r="D537" s="304"/>
      <c r="E537" s="304"/>
      <c r="F537" s="304"/>
      <c r="G537" s="304"/>
      <c r="H537" s="304"/>
      <c r="I537" s="304"/>
      <c r="J537" s="304"/>
      <c r="K537" s="304"/>
      <c r="L537" s="304"/>
      <c r="M537" s="304"/>
      <c r="N537" s="304"/>
      <c r="O537" s="304"/>
      <c r="P537" s="304"/>
      <c r="Q537" s="304"/>
      <c r="R537" s="304"/>
      <c r="S537" s="304"/>
      <c r="T537" s="304"/>
    </row>
    <row r="538">
      <c r="A538" s="304"/>
      <c r="B538" s="304"/>
      <c r="C538" s="304"/>
      <c r="D538" s="304"/>
      <c r="E538" s="304"/>
      <c r="F538" s="304"/>
      <c r="G538" s="304"/>
      <c r="H538" s="304"/>
      <c r="I538" s="304"/>
      <c r="J538" s="304"/>
      <c r="K538" s="304"/>
      <c r="L538" s="304"/>
      <c r="M538" s="304"/>
      <c r="N538" s="304"/>
      <c r="O538" s="304"/>
      <c r="P538" s="304"/>
      <c r="Q538" s="304"/>
      <c r="R538" s="304"/>
      <c r="S538" s="304"/>
      <c r="T538" s="304"/>
    </row>
    <row r="539">
      <c r="A539" s="304"/>
      <c r="B539" s="304"/>
      <c r="C539" s="304"/>
      <c r="D539" s="304"/>
      <c r="E539" s="304"/>
      <c r="F539" s="304"/>
      <c r="G539" s="304"/>
      <c r="H539" s="304"/>
      <c r="I539" s="304"/>
      <c r="J539" s="304"/>
      <c r="K539" s="304"/>
      <c r="L539" s="304"/>
      <c r="M539" s="304"/>
      <c r="N539" s="304"/>
      <c r="O539" s="304"/>
      <c r="P539" s="304"/>
      <c r="Q539" s="304"/>
      <c r="R539" s="304"/>
      <c r="S539" s="304"/>
      <c r="T539" s="304"/>
    </row>
    <row r="540">
      <c r="A540" s="304"/>
      <c r="B540" s="304"/>
      <c r="C540" s="304"/>
      <c r="D540" s="304"/>
      <c r="E540" s="304"/>
      <c r="F540" s="304"/>
      <c r="G540" s="304"/>
      <c r="H540" s="304"/>
      <c r="I540" s="304"/>
      <c r="J540" s="304"/>
      <c r="K540" s="304"/>
      <c r="L540" s="304"/>
      <c r="M540" s="304"/>
      <c r="N540" s="304"/>
      <c r="O540" s="304"/>
      <c r="P540" s="304"/>
      <c r="Q540" s="304"/>
      <c r="R540" s="304"/>
      <c r="S540" s="304"/>
      <c r="T540" s="304"/>
    </row>
    <row r="541">
      <c r="A541" s="304"/>
      <c r="B541" s="304"/>
      <c r="C541" s="304"/>
      <c r="D541" s="304"/>
      <c r="E541" s="304"/>
      <c r="F541" s="304"/>
      <c r="G541" s="304"/>
      <c r="H541" s="304"/>
      <c r="I541" s="304"/>
      <c r="J541" s="304"/>
      <c r="K541" s="304"/>
      <c r="L541" s="304"/>
      <c r="M541" s="304"/>
      <c r="N541" s="304"/>
      <c r="O541" s="304"/>
      <c r="P541" s="304"/>
      <c r="Q541" s="304"/>
      <c r="R541" s="304"/>
      <c r="S541" s="304"/>
      <c r="T541" s="304"/>
    </row>
    <row r="542">
      <c r="A542" s="304"/>
      <c r="B542" s="304"/>
      <c r="C542" s="304"/>
      <c r="D542" s="304"/>
      <c r="E542" s="304"/>
      <c r="F542" s="304"/>
      <c r="G542" s="304"/>
      <c r="H542" s="304"/>
      <c r="I542" s="304"/>
      <c r="J542" s="304"/>
      <c r="K542" s="304"/>
      <c r="L542" s="304"/>
      <c r="M542" s="304"/>
      <c r="N542" s="304"/>
      <c r="O542" s="304"/>
      <c r="P542" s="304"/>
      <c r="Q542" s="304"/>
      <c r="R542" s="304"/>
      <c r="S542" s="304"/>
      <c r="T542" s="304"/>
    </row>
    <row r="543">
      <c r="A543" s="304"/>
      <c r="B543" s="304"/>
      <c r="C543" s="304"/>
      <c r="D543" s="304"/>
      <c r="E543" s="304"/>
      <c r="F543" s="304"/>
      <c r="G543" s="304"/>
      <c r="H543" s="304"/>
      <c r="I543" s="304"/>
      <c r="J543" s="304"/>
      <c r="K543" s="304"/>
      <c r="L543" s="304"/>
      <c r="M543" s="304"/>
      <c r="N543" s="304"/>
      <c r="O543" s="304"/>
      <c r="P543" s="304"/>
      <c r="Q543" s="304"/>
      <c r="R543" s="304"/>
      <c r="S543" s="304"/>
      <c r="T543" s="304"/>
    </row>
    <row r="544">
      <c r="A544" s="304"/>
      <c r="B544" s="304"/>
      <c r="C544" s="304"/>
      <c r="D544" s="304"/>
      <c r="E544" s="304"/>
      <c r="F544" s="304"/>
      <c r="G544" s="304"/>
      <c r="H544" s="304"/>
      <c r="I544" s="304"/>
      <c r="J544" s="304"/>
      <c r="K544" s="304"/>
      <c r="L544" s="304"/>
      <c r="M544" s="304"/>
      <c r="N544" s="304"/>
      <c r="O544" s="304"/>
      <c r="P544" s="304"/>
      <c r="Q544" s="304"/>
      <c r="R544" s="304"/>
      <c r="S544" s="304"/>
      <c r="T544" s="304"/>
    </row>
    <row r="545">
      <c r="A545" s="304"/>
      <c r="B545" s="304"/>
      <c r="C545" s="304"/>
      <c r="D545" s="304"/>
      <c r="E545" s="304"/>
      <c r="F545" s="304"/>
      <c r="G545" s="304"/>
      <c r="H545" s="304"/>
      <c r="I545" s="304"/>
      <c r="J545" s="304"/>
      <c r="K545" s="304"/>
      <c r="L545" s="304"/>
      <c r="M545" s="304"/>
      <c r="N545" s="304"/>
      <c r="O545" s="304"/>
      <c r="P545" s="304"/>
      <c r="Q545" s="304"/>
      <c r="R545" s="304"/>
      <c r="S545" s="304"/>
      <c r="T545" s="304"/>
    </row>
    <row r="546">
      <c r="A546" s="304"/>
      <c r="B546" s="304"/>
      <c r="C546" s="304"/>
      <c r="D546" s="304"/>
      <c r="E546" s="304"/>
      <c r="F546" s="304"/>
      <c r="G546" s="304"/>
      <c r="H546" s="304"/>
      <c r="I546" s="304"/>
      <c r="J546" s="304"/>
      <c r="K546" s="304"/>
      <c r="L546" s="304"/>
      <c r="M546" s="304"/>
      <c r="N546" s="304"/>
      <c r="O546" s="304"/>
      <c r="P546" s="304"/>
      <c r="Q546" s="304"/>
      <c r="R546" s="304"/>
      <c r="S546" s="304"/>
      <c r="T546" s="304"/>
    </row>
    <row r="547">
      <c r="A547" s="304"/>
      <c r="B547" s="304"/>
      <c r="C547" s="304"/>
      <c r="D547" s="304"/>
      <c r="E547" s="304"/>
      <c r="F547" s="304"/>
      <c r="G547" s="304"/>
      <c r="H547" s="304"/>
      <c r="I547" s="304"/>
      <c r="J547" s="304"/>
      <c r="K547" s="304"/>
      <c r="L547" s="304"/>
      <c r="M547" s="304"/>
      <c r="N547" s="304"/>
      <c r="O547" s="304"/>
      <c r="P547" s="304"/>
      <c r="Q547" s="304"/>
      <c r="R547" s="304"/>
      <c r="S547" s="304"/>
      <c r="T547" s="304"/>
    </row>
    <row r="548">
      <c r="A548" s="304"/>
      <c r="B548" s="304"/>
      <c r="C548" s="304"/>
      <c r="D548" s="304"/>
      <c r="E548" s="304"/>
      <c r="F548" s="304"/>
      <c r="G548" s="304"/>
      <c r="H548" s="304"/>
      <c r="I548" s="304"/>
      <c r="J548" s="304"/>
      <c r="K548" s="304"/>
      <c r="L548" s="304"/>
      <c r="M548" s="304"/>
      <c r="N548" s="304"/>
      <c r="O548" s="304"/>
      <c r="P548" s="304"/>
      <c r="Q548" s="304"/>
      <c r="R548" s="304"/>
      <c r="S548" s="304"/>
      <c r="T548" s="304"/>
    </row>
    <row r="549">
      <c r="A549" s="304"/>
      <c r="B549" s="304"/>
      <c r="C549" s="304"/>
      <c r="D549" s="304"/>
      <c r="E549" s="304"/>
      <c r="F549" s="304"/>
      <c r="G549" s="304"/>
      <c r="H549" s="304"/>
      <c r="I549" s="304"/>
      <c r="J549" s="304"/>
      <c r="K549" s="304"/>
      <c r="L549" s="304"/>
      <c r="M549" s="304"/>
      <c r="N549" s="304"/>
      <c r="O549" s="304"/>
      <c r="P549" s="304"/>
      <c r="Q549" s="304"/>
      <c r="R549" s="304"/>
      <c r="S549" s="304"/>
      <c r="T549" s="304"/>
    </row>
    <row r="550">
      <c r="A550" s="304"/>
      <c r="B550" s="304"/>
      <c r="C550" s="304"/>
      <c r="D550" s="304"/>
      <c r="E550" s="304"/>
      <c r="F550" s="304"/>
      <c r="G550" s="304"/>
      <c r="H550" s="304"/>
      <c r="I550" s="304"/>
      <c r="J550" s="304"/>
      <c r="K550" s="304"/>
      <c r="L550" s="304"/>
      <c r="M550" s="304"/>
      <c r="N550" s="304"/>
      <c r="O550" s="304"/>
      <c r="P550" s="304"/>
      <c r="Q550" s="304"/>
      <c r="R550" s="304"/>
      <c r="S550" s="304"/>
      <c r="T550" s="304"/>
    </row>
    <row r="551">
      <c r="A551" s="304"/>
      <c r="B551" s="304"/>
      <c r="C551" s="304"/>
      <c r="D551" s="304"/>
      <c r="E551" s="304"/>
      <c r="F551" s="304"/>
      <c r="G551" s="304"/>
      <c r="H551" s="304"/>
      <c r="I551" s="304"/>
      <c r="J551" s="304"/>
      <c r="K551" s="304"/>
      <c r="L551" s="304"/>
      <c r="M551" s="304"/>
      <c r="N551" s="304"/>
      <c r="O551" s="304"/>
      <c r="P551" s="304"/>
      <c r="Q551" s="304"/>
      <c r="R551" s="304"/>
      <c r="S551" s="304"/>
      <c r="T551" s="304"/>
    </row>
    <row r="552">
      <c r="A552" s="304"/>
      <c r="B552" s="304"/>
      <c r="C552" s="304"/>
      <c r="D552" s="304"/>
      <c r="E552" s="304"/>
      <c r="F552" s="304"/>
      <c r="G552" s="304"/>
      <c r="H552" s="304"/>
      <c r="I552" s="304"/>
      <c r="J552" s="304"/>
      <c r="K552" s="304"/>
      <c r="L552" s="304"/>
      <c r="M552" s="304"/>
      <c r="N552" s="304"/>
      <c r="O552" s="304"/>
      <c r="P552" s="304"/>
      <c r="Q552" s="304"/>
      <c r="R552" s="304"/>
      <c r="S552" s="304"/>
      <c r="T552" s="304"/>
    </row>
    <row r="553">
      <c r="A553" s="304"/>
      <c r="B553" s="304"/>
      <c r="C553" s="304"/>
      <c r="D553" s="304"/>
      <c r="E553" s="304"/>
      <c r="F553" s="304"/>
      <c r="G553" s="304"/>
      <c r="H553" s="304"/>
      <c r="I553" s="304"/>
      <c r="J553" s="304"/>
      <c r="K553" s="304"/>
      <c r="L553" s="304"/>
      <c r="M553" s="304"/>
      <c r="N553" s="304"/>
      <c r="O553" s="304"/>
      <c r="P553" s="304"/>
      <c r="Q553" s="304"/>
      <c r="R553" s="304"/>
      <c r="S553" s="304"/>
      <c r="T553" s="304"/>
    </row>
    <row r="554">
      <c r="A554" s="304"/>
      <c r="B554" s="304"/>
      <c r="C554" s="304"/>
      <c r="D554" s="304"/>
      <c r="E554" s="304"/>
      <c r="F554" s="304"/>
      <c r="G554" s="304"/>
      <c r="H554" s="304"/>
      <c r="I554" s="304"/>
      <c r="J554" s="304"/>
      <c r="K554" s="304"/>
      <c r="L554" s="304"/>
      <c r="M554" s="304"/>
      <c r="N554" s="304"/>
      <c r="O554" s="304"/>
      <c r="P554" s="304"/>
      <c r="Q554" s="304"/>
      <c r="R554" s="304"/>
      <c r="S554" s="304"/>
      <c r="T554" s="304"/>
    </row>
    <row r="555">
      <c r="A555" s="304"/>
      <c r="B555" s="304"/>
      <c r="C555" s="304"/>
      <c r="D555" s="304"/>
      <c r="E555" s="304"/>
      <c r="F555" s="304"/>
      <c r="G555" s="304"/>
      <c r="H555" s="304"/>
      <c r="I555" s="304"/>
      <c r="J555" s="304"/>
      <c r="K555" s="304"/>
      <c r="L555" s="304"/>
      <c r="M555" s="304"/>
      <c r="N555" s="304"/>
      <c r="O555" s="304"/>
      <c r="P555" s="304"/>
      <c r="Q555" s="304"/>
      <c r="R555" s="304"/>
      <c r="S555" s="304"/>
      <c r="T555" s="304"/>
    </row>
    <row r="556">
      <c r="A556" s="304"/>
      <c r="B556" s="304"/>
      <c r="C556" s="304"/>
      <c r="D556" s="304"/>
      <c r="E556" s="304"/>
      <c r="F556" s="304"/>
      <c r="G556" s="304"/>
      <c r="H556" s="304"/>
      <c r="I556" s="304"/>
      <c r="J556" s="304"/>
      <c r="K556" s="304"/>
      <c r="L556" s="304"/>
      <c r="M556" s="304"/>
      <c r="N556" s="304"/>
      <c r="O556" s="304"/>
      <c r="P556" s="304"/>
      <c r="Q556" s="304"/>
      <c r="R556" s="304"/>
      <c r="S556" s="304"/>
      <c r="T556" s="304"/>
    </row>
    <row r="557">
      <c r="A557" s="304"/>
      <c r="B557" s="304"/>
      <c r="C557" s="304"/>
      <c r="D557" s="304"/>
      <c r="E557" s="304"/>
      <c r="F557" s="304"/>
      <c r="G557" s="304"/>
      <c r="H557" s="304"/>
      <c r="I557" s="304"/>
      <c r="J557" s="304"/>
      <c r="K557" s="304"/>
      <c r="L557" s="304"/>
      <c r="M557" s="304"/>
      <c r="N557" s="304"/>
      <c r="O557" s="304"/>
      <c r="P557" s="304"/>
      <c r="Q557" s="304"/>
      <c r="R557" s="304"/>
      <c r="S557" s="304"/>
      <c r="T557" s="304"/>
    </row>
    <row r="558">
      <c r="A558" s="304"/>
      <c r="B558" s="304"/>
      <c r="C558" s="304"/>
      <c r="D558" s="304"/>
      <c r="E558" s="304"/>
      <c r="F558" s="304"/>
      <c r="G558" s="304"/>
      <c r="H558" s="304"/>
      <c r="I558" s="304"/>
      <c r="J558" s="304"/>
      <c r="K558" s="304"/>
      <c r="L558" s="304"/>
      <c r="M558" s="304"/>
      <c r="N558" s="304"/>
      <c r="O558" s="304"/>
      <c r="P558" s="304"/>
      <c r="Q558" s="304"/>
      <c r="R558" s="304"/>
      <c r="S558" s="304"/>
      <c r="T558" s="304"/>
    </row>
    <row r="559">
      <c r="A559" s="304"/>
      <c r="B559" s="304"/>
      <c r="C559" s="304"/>
      <c r="D559" s="304"/>
      <c r="E559" s="304"/>
      <c r="F559" s="304"/>
      <c r="G559" s="304"/>
      <c r="H559" s="304"/>
      <c r="I559" s="304"/>
      <c r="J559" s="304"/>
      <c r="K559" s="304"/>
      <c r="L559" s="304"/>
      <c r="M559" s="304"/>
      <c r="N559" s="304"/>
      <c r="O559" s="304"/>
      <c r="P559" s="304"/>
      <c r="Q559" s="304"/>
      <c r="R559" s="304"/>
      <c r="S559" s="304"/>
      <c r="T559" s="304"/>
    </row>
    <row r="560">
      <c r="A560" s="304"/>
      <c r="B560" s="304"/>
      <c r="C560" s="304"/>
      <c r="D560" s="304"/>
      <c r="E560" s="304"/>
      <c r="F560" s="304"/>
      <c r="G560" s="304"/>
      <c r="H560" s="304"/>
      <c r="I560" s="304"/>
      <c r="J560" s="304"/>
      <c r="K560" s="304"/>
      <c r="L560" s="304"/>
      <c r="M560" s="304"/>
      <c r="N560" s="304"/>
      <c r="O560" s="304"/>
      <c r="P560" s="304"/>
      <c r="Q560" s="304"/>
      <c r="R560" s="304"/>
      <c r="S560" s="304"/>
      <c r="T560" s="304"/>
    </row>
    <row r="561">
      <c r="A561" s="304"/>
      <c r="B561" s="304"/>
      <c r="C561" s="304"/>
      <c r="D561" s="304"/>
      <c r="E561" s="304"/>
      <c r="F561" s="304"/>
      <c r="G561" s="304"/>
      <c r="H561" s="304"/>
      <c r="I561" s="304"/>
      <c r="J561" s="304"/>
      <c r="K561" s="304"/>
      <c r="L561" s="304"/>
      <c r="M561" s="304"/>
      <c r="N561" s="304"/>
      <c r="O561" s="304"/>
      <c r="P561" s="304"/>
      <c r="Q561" s="304"/>
      <c r="R561" s="304"/>
      <c r="S561" s="304"/>
      <c r="T561" s="304"/>
    </row>
    <row r="562">
      <c r="A562" s="304"/>
      <c r="B562" s="304"/>
      <c r="C562" s="304"/>
      <c r="D562" s="304"/>
      <c r="E562" s="304"/>
      <c r="F562" s="304"/>
      <c r="G562" s="304"/>
      <c r="H562" s="304"/>
      <c r="I562" s="304"/>
      <c r="J562" s="304"/>
      <c r="K562" s="304"/>
      <c r="L562" s="304"/>
      <c r="M562" s="304"/>
      <c r="N562" s="304"/>
      <c r="O562" s="304"/>
      <c r="P562" s="304"/>
      <c r="Q562" s="304"/>
      <c r="R562" s="304"/>
      <c r="S562" s="304"/>
      <c r="T562" s="304"/>
    </row>
    <row r="563">
      <c r="A563" s="304"/>
      <c r="B563" s="304"/>
      <c r="C563" s="304"/>
      <c r="D563" s="304"/>
      <c r="E563" s="304"/>
      <c r="F563" s="304"/>
      <c r="G563" s="304"/>
      <c r="H563" s="304"/>
      <c r="I563" s="304"/>
      <c r="J563" s="304"/>
      <c r="K563" s="304"/>
      <c r="L563" s="304"/>
      <c r="M563" s="304"/>
      <c r="N563" s="304"/>
      <c r="O563" s="304"/>
      <c r="P563" s="304"/>
      <c r="Q563" s="304"/>
      <c r="R563" s="304"/>
      <c r="S563" s="304"/>
      <c r="T563" s="304"/>
    </row>
    <row r="564">
      <c r="A564" s="304"/>
      <c r="B564" s="304"/>
      <c r="C564" s="304"/>
      <c r="D564" s="304"/>
      <c r="E564" s="304"/>
      <c r="F564" s="304"/>
      <c r="G564" s="304"/>
      <c r="H564" s="304"/>
      <c r="I564" s="304"/>
      <c r="J564" s="304"/>
      <c r="K564" s="304"/>
      <c r="L564" s="304"/>
      <c r="M564" s="304"/>
      <c r="N564" s="304"/>
      <c r="O564" s="304"/>
      <c r="P564" s="304"/>
      <c r="Q564" s="304"/>
      <c r="R564" s="304"/>
      <c r="S564" s="304"/>
      <c r="T564" s="304"/>
    </row>
    <row r="565">
      <c r="A565" s="304"/>
      <c r="B565" s="304"/>
      <c r="C565" s="304"/>
      <c r="D565" s="304"/>
      <c r="E565" s="304"/>
      <c r="F565" s="304"/>
      <c r="G565" s="304"/>
      <c r="H565" s="304"/>
      <c r="I565" s="304"/>
      <c r="J565" s="304"/>
      <c r="K565" s="304"/>
      <c r="L565" s="304"/>
      <c r="M565" s="304"/>
      <c r="N565" s="304"/>
      <c r="O565" s="304"/>
      <c r="P565" s="304"/>
      <c r="Q565" s="304"/>
      <c r="R565" s="304"/>
      <c r="S565" s="304"/>
      <c r="T565" s="304"/>
    </row>
    <row r="566">
      <c r="A566" s="304"/>
      <c r="B566" s="304"/>
      <c r="C566" s="304"/>
      <c r="D566" s="304"/>
      <c r="E566" s="304"/>
      <c r="F566" s="304"/>
      <c r="G566" s="304"/>
      <c r="H566" s="304"/>
      <c r="I566" s="304"/>
      <c r="J566" s="304"/>
      <c r="K566" s="304"/>
      <c r="L566" s="304"/>
      <c r="M566" s="304"/>
      <c r="N566" s="304"/>
      <c r="O566" s="304"/>
      <c r="P566" s="304"/>
      <c r="Q566" s="304"/>
      <c r="R566" s="304"/>
      <c r="S566" s="304"/>
      <c r="T566" s="304"/>
    </row>
    <row r="567">
      <c r="A567" s="304"/>
      <c r="B567" s="304"/>
      <c r="C567" s="304"/>
      <c r="D567" s="304"/>
      <c r="E567" s="304"/>
      <c r="F567" s="304"/>
      <c r="G567" s="304"/>
      <c r="H567" s="304"/>
      <c r="I567" s="304"/>
      <c r="J567" s="304"/>
      <c r="K567" s="304"/>
      <c r="L567" s="304"/>
      <c r="M567" s="304"/>
      <c r="N567" s="304"/>
      <c r="O567" s="304"/>
      <c r="P567" s="304"/>
      <c r="Q567" s="304"/>
      <c r="R567" s="304"/>
      <c r="S567" s="304"/>
      <c r="T567" s="304"/>
    </row>
    <row r="568">
      <c r="A568" s="304"/>
      <c r="B568" s="304"/>
      <c r="C568" s="304"/>
      <c r="D568" s="304"/>
      <c r="E568" s="304"/>
      <c r="F568" s="304"/>
      <c r="G568" s="304"/>
      <c r="H568" s="304"/>
      <c r="I568" s="304"/>
      <c r="J568" s="304"/>
      <c r="K568" s="304"/>
      <c r="L568" s="304"/>
      <c r="M568" s="304"/>
      <c r="N568" s="304"/>
      <c r="O568" s="304"/>
      <c r="P568" s="304"/>
      <c r="Q568" s="304"/>
      <c r="R568" s="304"/>
      <c r="S568" s="304"/>
      <c r="T568" s="304"/>
    </row>
    <row r="569">
      <c r="A569" s="304"/>
      <c r="B569" s="304"/>
      <c r="C569" s="304"/>
      <c r="D569" s="304"/>
      <c r="E569" s="304"/>
      <c r="F569" s="304"/>
      <c r="G569" s="304"/>
      <c r="H569" s="304"/>
      <c r="I569" s="304"/>
      <c r="J569" s="304"/>
      <c r="K569" s="304"/>
      <c r="L569" s="304"/>
      <c r="M569" s="304"/>
      <c r="N569" s="304"/>
      <c r="O569" s="304"/>
      <c r="P569" s="304"/>
      <c r="Q569" s="304"/>
      <c r="R569" s="304"/>
      <c r="S569" s="304"/>
      <c r="T569" s="304"/>
    </row>
    <row r="570">
      <c r="A570" s="304"/>
      <c r="B570" s="304"/>
      <c r="C570" s="304"/>
      <c r="D570" s="304"/>
      <c r="E570" s="304"/>
      <c r="F570" s="304"/>
      <c r="G570" s="304"/>
      <c r="H570" s="304"/>
      <c r="I570" s="304"/>
      <c r="J570" s="304"/>
      <c r="K570" s="304"/>
      <c r="L570" s="304"/>
      <c r="M570" s="304"/>
      <c r="N570" s="304"/>
      <c r="O570" s="304"/>
      <c r="P570" s="304"/>
      <c r="Q570" s="304"/>
      <c r="R570" s="304"/>
      <c r="S570" s="304"/>
      <c r="T570" s="304"/>
    </row>
    <row r="571">
      <c r="A571" s="304"/>
      <c r="B571" s="304"/>
      <c r="C571" s="304"/>
      <c r="D571" s="304"/>
      <c r="E571" s="304"/>
      <c r="F571" s="304"/>
      <c r="G571" s="304"/>
      <c r="H571" s="304"/>
      <c r="I571" s="304"/>
      <c r="J571" s="304"/>
      <c r="K571" s="304"/>
      <c r="L571" s="304"/>
      <c r="M571" s="304"/>
      <c r="N571" s="304"/>
      <c r="O571" s="304"/>
      <c r="P571" s="304"/>
      <c r="Q571" s="304"/>
      <c r="R571" s="304"/>
      <c r="S571" s="304"/>
      <c r="T571" s="304"/>
    </row>
    <row r="572">
      <c r="A572" s="304"/>
      <c r="B572" s="304"/>
      <c r="C572" s="304"/>
      <c r="D572" s="304"/>
      <c r="E572" s="304"/>
      <c r="F572" s="304"/>
      <c r="G572" s="304"/>
      <c r="H572" s="304"/>
      <c r="I572" s="304"/>
      <c r="J572" s="304"/>
      <c r="K572" s="304"/>
      <c r="L572" s="304"/>
      <c r="M572" s="304"/>
      <c r="N572" s="304"/>
      <c r="O572" s="304"/>
      <c r="P572" s="304"/>
      <c r="Q572" s="304"/>
      <c r="R572" s="304"/>
      <c r="S572" s="304"/>
      <c r="T572" s="304"/>
    </row>
    <row r="573">
      <c r="A573" s="304"/>
      <c r="B573" s="304"/>
      <c r="C573" s="304"/>
      <c r="D573" s="304"/>
      <c r="E573" s="304"/>
      <c r="F573" s="304"/>
      <c r="G573" s="304"/>
      <c r="H573" s="304"/>
      <c r="I573" s="304"/>
      <c r="J573" s="304"/>
      <c r="K573" s="304"/>
      <c r="L573" s="304"/>
      <c r="M573" s="304"/>
      <c r="N573" s="304"/>
      <c r="O573" s="304"/>
      <c r="P573" s="304"/>
      <c r="Q573" s="304"/>
      <c r="R573" s="304"/>
      <c r="S573" s="304"/>
      <c r="T573" s="304"/>
    </row>
    <row r="574">
      <c r="A574" s="304"/>
      <c r="B574" s="304"/>
      <c r="C574" s="304"/>
      <c r="D574" s="304"/>
      <c r="E574" s="304"/>
      <c r="F574" s="304"/>
      <c r="G574" s="304"/>
      <c r="H574" s="304"/>
      <c r="I574" s="304"/>
      <c r="J574" s="304"/>
      <c r="K574" s="304"/>
      <c r="L574" s="304"/>
      <c r="M574" s="304"/>
      <c r="N574" s="304"/>
      <c r="O574" s="304"/>
      <c r="P574" s="304"/>
      <c r="Q574" s="304"/>
      <c r="R574" s="304"/>
      <c r="S574" s="304"/>
      <c r="T574" s="304"/>
    </row>
    <row r="575">
      <c r="A575" s="304"/>
      <c r="B575" s="304"/>
      <c r="C575" s="304"/>
      <c r="D575" s="304"/>
      <c r="E575" s="304"/>
      <c r="F575" s="304"/>
      <c r="G575" s="304"/>
      <c r="H575" s="304"/>
      <c r="I575" s="304"/>
      <c r="J575" s="304"/>
      <c r="K575" s="304"/>
      <c r="L575" s="304"/>
      <c r="M575" s="304"/>
      <c r="N575" s="304"/>
      <c r="O575" s="304"/>
      <c r="P575" s="304"/>
      <c r="Q575" s="304"/>
      <c r="R575" s="304"/>
      <c r="S575" s="304"/>
      <c r="T575" s="304"/>
    </row>
    <row r="576">
      <c r="A576" s="304"/>
      <c r="B576" s="304"/>
      <c r="C576" s="304"/>
      <c r="D576" s="304"/>
      <c r="E576" s="304"/>
      <c r="F576" s="304"/>
      <c r="G576" s="304"/>
      <c r="H576" s="304"/>
      <c r="I576" s="304"/>
      <c r="J576" s="304"/>
      <c r="K576" s="304"/>
      <c r="L576" s="304"/>
      <c r="M576" s="304"/>
      <c r="N576" s="304"/>
      <c r="O576" s="304"/>
      <c r="P576" s="304"/>
      <c r="Q576" s="304"/>
      <c r="R576" s="304"/>
      <c r="S576" s="304"/>
      <c r="T576" s="304"/>
    </row>
    <row r="577">
      <c r="A577" s="304"/>
      <c r="B577" s="304"/>
      <c r="C577" s="304"/>
      <c r="D577" s="304"/>
      <c r="E577" s="304"/>
      <c r="F577" s="304"/>
      <c r="G577" s="304"/>
      <c r="H577" s="304"/>
      <c r="I577" s="304"/>
      <c r="J577" s="304"/>
      <c r="K577" s="304"/>
      <c r="L577" s="304"/>
      <c r="M577" s="304"/>
      <c r="N577" s="304"/>
      <c r="O577" s="304"/>
      <c r="P577" s="304"/>
      <c r="Q577" s="304"/>
      <c r="R577" s="304"/>
      <c r="S577" s="304"/>
      <c r="T577" s="304"/>
    </row>
    <row r="578">
      <c r="A578" s="304"/>
      <c r="B578" s="304"/>
      <c r="C578" s="304"/>
      <c r="D578" s="304"/>
      <c r="E578" s="304"/>
      <c r="F578" s="304"/>
      <c r="G578" s="304"/>
      <c r="H578" s="304"/>
      <c r="I578" s="304"/>
      <c r="J578" s="304"/>
      <c r="K578" s="304"/>
      <c r="L578" s="304"/>
      <c r="M578" s="304"/>
      <c r="N578" s="304"/>
      <c r="O578" s="304"/>
      <c r="P578" s="304"/>
      <c r="Q578" s="304"/>
      <c r="R578" s="304"/>
      <c r="S578" s="304"/>
      <c r="T578" s="304"/>
    </row>
    <row r="579">
      <c r="A579" s="304"/>
      <c r="B579" s="304"/>
      <c r="C579" s="304"/>
      <c r="D579" s="304"/>
      <c r="E579" s="304"/>
      <c r="F579" s="304"/>
      <c r="G579" s="304"/>
      <c r="H579" s="304"/>
      <c r="I579" s="304"/>
      <c r="J579" s="304"/>
      <c r="K579" s="304"/>
      <c r="L579" s="304"/>
      <c r="M579" s="304"/>
      <c r="N579" s="304"/>
      <c r="O579" s="304"/>
      <c r="P579" s="304"/>
      <c r="Q579" s="304"/>
      <c r="R579" s="304"/>
      <c r="S579" s="304"/>
      <c r="T579" s="304"/>
    </row>
    <row r="580">
      <c r="A580" s="304"/>
      <c r="B580" s="304"/>
      <c r="C580" s="304"/>
      <c r="D580" s="304"/>
      <c r="E580" s="304"/>
      <c r="F580" s="304"/>
      <c r="G580" s="304"/>
      <c r="H580" s="304"/>
      <c r="I580" s="304"/>
      <c r="J580" s="304"/>
      <c r="K580" s="304"/>
      <c r="L580" s="304"/>
      <c r="M580" s="304"/>
      <c r="N580" s="304"/>
      <c r="O580" s="304"/>
      <c r="P580" s="304"/>
      <c r="Q580" s="304"/>
      <c r="R580" s="304"/>
      <c r="S580" s="304"/>
      <c r="T580" s="304"/>
    </row>
    <row r="581">
      <c r="A581" s="304"/>
      <c r="B581" s="304"/>
      <c r="C581" s="304"/>
      <c r="D581" s="304"/>
      <c r="E581" s="304"/>
      <c r="F581" s="304"/>
      <c r="G581" s="304"/>
      <c r="H581" s="304"/>
      <c r="I581" s="304"/>
      <c r="J581" s="304"/>
      <c r="K581" s="304"/>
      <c r="L581" s="304"/>
      <c r="M581" s="304"/>
      <c r="N581" s="304"/>
      <c r="O581" s="304"/>
      <c r="P581" s="304"/>
      <c r="Q581" s="304"/>
      <c r="R581" s="304"/>
      <c r="S581" s="304"/>
      <c r="T581" s="304"/>
    </row>
    <row r="582">
      <c r="A582" s="304"/>
      <c r="B582" s="304"/>
      <c r="C582" s="304"/>
      <c r="D582" s="304"/>
      <c r="E582" s="304"/>
      <c r="F582" s="304"/>
      <c r="G582" s="304"/>
      <c r="H582" s="304"/>
      <c r="I582" s="304"/>
      <c r="J582" s="304"/>
      <c r="K582" s="304"/>
      <c r="L582" s="304"/>
      <c r="M582" s="304"/>
      <c r="N582" s="304"/>
      <c r="O582" s="304"/>
      <c r="P582" s="304"/>
      <c r="Q582" s="304"/>
      <c r="R582" s="304"/>
      <c r="S582" s="304"/>
      <c r="T582" s="304"/>
    </row>
    <row r="583">
      <c r="A583" s="304"/>
      <c r="B583" s="304"/>
      <c r="C583" s="304"/>
      <c r="D583" s="304"/>
      <c r="E583" s="304"/>
      <c r="F583" s="304"/>
      <c r="G583" s="304"/>
      <c r="H583" s="304"/>
      <c r="I583" s="304"/>
      <c r="J583" s="304"/>
      <c r="K583" s="304"/>
      <c r="L583" s="304"/>
      <c r="M583" s="304"/>
      <c r="N583" s="304"/>
      <c r="O583" s="304"/>
      <c r="P583" s="304"/>
      <c r="Q583" s="304"/>
      <c r="R583" s="304"/>
      <c r="S583" s="304"/>
      <c r="T583" s="304"/>
    </row>
    <row r="584">
      <c r="A584" s="304"/>
      <c r="B584" s="304"/>
      <c r="C584" s="304"/>
      <c r="D584" s="304"/>
      <c r="E584" s="304"/>
      <c r="F584" s="304"/>
      <c r="G584" s="304"/>
      <c r="H584" s="304"/>
      <c r="I584" s="304"/>
      <c r="J584" s="304"/>
      <c r="K584" s="304"/>
      <c r="L584" s="304"/>
      <c r="M584" s="304"/>
      <c r="N584" s="304"/>
      <c r="O584" s="304"/>
      <c r="P584" s="304"/>
      <c r="Q584" s="304"/>
      <c r="R584" s="304"/>
      <c r="S584" s="304"/>
      <c r="T584" s="304"/>
    </row>
    <row r="585">
      <c r="A585" s="304"/>
      <c r="B585" s="304"/>
      <c r="C585" s="304"/>
      <c r="D585" s="304"/>
      <c r="E585" s="304"/>
      <c r="F585" s="304"/>
      <c r="G585" s="304"/>
      <c r="H585" s="304"/>
      <c r="I585" s="304"/>
      <c r="J585" s="304"/>
      <c r="K585" s="304"/>
      <c r="L585" s="304"/>
      <c r="M585" s="304"/>
      <c r="N585" s="304"/>
      <c r="O585" s="304"/>
      <c r="P585" s="304"/>
      <c r="Q585" s="304"/>
      <c r="R585" s="304"/>
      <c r="S585" s="304"/>
      <c r="T585" s="304"/>
    </row>
    <row r="586">
      <c r="A586" s="304"/>
      <c r="B586" s="304"/>
      <c r="C586" s="304"/>
      <c r="D586" s="304"/>
      <c r="E586" s="304"/>
      <c r="F586" s="304"/>
      <c r="G586" s="304"/>
      <c r="H586" s="304"/>
      <c r="I586" s="304"/>
      <c r="J586" s="304"/>
      <c r="K586" s="304"/>
      <c r="L586" s="304"/>
      <c r="M586" s="304"/>
      <c r="N586" s="304"/>
      <c r="O586" s="304"/>
      <c r="P586" s="304"/>
      <c r="Q586" s="304"/>
      <c r="R586" s="304"/>
      <c r="S586" s="304"/>
      <c r="T586" s="304"/>
    </row>
    <row r="587">
      <c r="A587" s="304"/>
      <c r="B587" s="304"/>
      <c r="C587" s="304"/>
      <c r="D587" s="304"/>
      <c r="E587" s="304"/>
      <c r="F587" s="304"/>
      <c r="G587" s="304"/>
      <c r="H587" s="304"/>
      <c r="I587" s="304"/>
      <c r="J587" s="304"/>
      <c r="K587" s="304"/>
      <c r="L587" s="304"/>
      <c r="M587" s="304"/>
      <c r="N587" s="304"/>
      <c r="O587" s="304"/>
      <c r="P587" s="304"/>
      <c r="Q587" s="304"/>
      <c r="R587" s="304"/>
      <c r="S587" s="304"/>
      <c r="T587" s="304"/>
    </row>
    <row r="588">
      <c r="A588" s="304"/>
      <c r="B588" s="304"/>
      <c r="C588" s="304"/>
      <c r="D588" s="304"/>
      <c r="E588" s="304"/>
      <c r="F588" s="304"/>
      <c r="G588" s="304"/>
      <c r="H588" s="304"/>
      <c r="I588" s="304"/>
      <c r="J588" s="304"/>
      <c r="K588" s="304"/>
      <c r="L588" s="304"/>
      <c r="M588" s="304"/>
      <c r="N588" s="304"/>
      <c r="O588" s="304"/>
      <c r="P588" s="304"/>
      <c r="Q588" s="304"/>
      <c r="R588" s="304"/>
      <c r="S588" s="304"/>
      <c r="T588" s="304"/>
    </row>
    <row r="589">
      <c r="A589" s="304"/>
      <c r="B589" s="304"/>
      <c r="C589" s="304"/>
      <c r="D589" s="304"/>
      <c r="E589" s="304"/>
      <c r="F589" s="304"/>
      <c r="G589" s="304"/>
      <c r="H589" s="304"/>
      <c r="I589" s="304"/>
      <c r="J589" s="304"/>
      <c r="K589" s="304"/>
      <c r="L589" s="304"/>
      <c r="M589" s="304"/>
      <c r="N589" s="304"/>
      <c r="O589" s="304"/>
      <c r="P589" s="304"/>
      <c r="Q589" s="304"/>
      <c r="R589" s="304"/>
      <c r="S589" s="304"/>
      <c r="T589" s="304"/>
    </row>
    <row r="590">
      <c r="A590" s="304"/>
      <c r="B590" s="304"/>
      <c r="C590" s="304"/>
      <c r="D590" s="304"/>
      <c r="E590" s="304"/>
      <c r="F590" s="304"/>
      <c r="G590" s="304"/>
      <c r="H590" s="304"/>
      <c r="I590" s="304"/>
      <c r="J590" s="304"/>
      <c r="K590" s="304"/>
      <c r="L590" s="304"/>
      <c r="M590" s="304"/>
      <c r="N590" s="304"/>
      <c r="O590" s="304"/>
      <c r="P590" s="304"/>
      <c r="Q590" s="304"/>
      <c r="R590" s="304"/>
      <c r="S590" s="304"/>
      <c r="T590" s="304"/>
    </row>
    <row r="591">
      <c r="A591" s="304"/>
      <c r="B591" s="304"/>
      <c r="C591" s="304"/>
      <c r="D591" s="304"/>
      <c r="E591" s="304"/>
      <c r="F591" s="304"/>
      <c r="G591" s="304"/>
      <c r="H591" s="304"/>
      <c r="I591" s="304"/>
      <c r="J591" s="304"/>
      <c r="K591" s="304"/>
      <c r="L591" s="304"/>
      <c r="M591" s="304"/>
      <c r="N591" s="304"/>
      <c r="O591" s="304"/>
      <c r="P591" s="304"/>
      <c r="Q591" s="304"/>
      <c r="R591" s="304"/>
      <c r="S591" s="304"/>
      <c r="T591" s="304"/>
    </row>
    <row r="592">
      <c r="A592" s="304"/>
      <c r="B592" s="304"/>
      <c r="C592" s="304"/>
      <c r="D592" s="304"/>
      <c r="E592" s="304"/>
      <c r="F592" s="304"/>
      <c r="G592" s="304"/>
      <c r="H592" s="304"/>
      <c r="I592" s="304"/>
      <c r="J592" s="304"/>
      <c r="K592" s="304"/>
      <c r="L592" s="304"/>
      <c r="M592" s="304"/>
      <c r="N592" s="304"/>
      <c r="O592" s="304"/>
      <c r="P592" s="304"/>
      <c r="Q592" s="304"/>
      <c r="R592" s="304"/>
      <c r="S592" s="304"/>
      <c r="T592" s="304"/>
    </row>
    <row r="593">
      <c r="A593" s="304"/>
      <c r="B593" s="304"/>
      <c r="C593" s="304"/>
      <c r="D593" s="304"/>
      <c r="E593" s="304"/>
      <c r="F593" s="304"/>
      <c r="G593" s="304"/>
      <c r="H593" s="304"/>
      <c r="I593" s="304"/>
      <c r="J593" s="304"/>
      <c r="K593" s="304"/>
      <c r="L593" s="304"/>
      <c r="M593" s="304"/>
      <c r="N593" s="304"/>
      <c r="O593" s="304"/>
      <c r="P593" s="304"/>
      <c r="Q593" s="304"/>
      <c r="R593" s="304"/>
      <c r="S593" s="304"/>
      <c r="T593" s="304"/>
    </row>
    <row r="594">
      <c r="A594" s="304"/>
      <c r="B594" s="304"/>
      <c r="C594" s="304"/>
      <c r="D594" s="304"/>
      <c r="E594" s="304"/>
      <c r="F594" s="304"/>
      <c r="G594" s="304"/>
      <c r="H594" s="304"/>
      <c r="I594" s="304"/>
      <c r="J594" s="304"/>
      <c r="K594" s="304"/>
      <c r="L594" s="304"/>
      <c r="M594" s="304"/>
      <c r="N594" s="304"/>
      <c r="O594" s="304"/>
      <c r="P594" s="304"/>
      <c r="Q594" s="304"/>
      <c r="R594" s="304"/>
      <c r="S594" s="304"/>
      <c r="T594" s="304"/>
    </row>
    <row r="595">
      <c r="A595" s="304"/>
      <c r="B595" s="304"/>
      <c r="C595" s="304"/>
      <c r="D595" s="304"/>
      <c r="E595" s="304"/>
      <c r="F595" s="304"/>
      <c r="G595" s="304"/>
      <c r="H595" s="304"/>
      <c r="I595" s="304"/>
      <c r="J595" s="304"/>
      <c r="K595" s="304"/>
      <c r="L595" s="304"/>
      <c r="M595" s="304"/>
      <c r="N595" s="304"/>
      <c r="O595" s="304"/>
      <c r="P595" s="304"/>
      <c r="Q595" s="304"/>
      <c r="R595" s="304"/>
      <c r="S595" s="304"/>
      <c r="T595" s="304"/>
    </row>
    <row r="596">
      <c r="A596" s="304"/>
      <c r="B596" s="304"/>
      <c r="C596" s="304"/>
      <c r="D596" s="304"/>
      <c r="E596" s="304"/>
      <c r="F596" s="304"/>
      <c r="G596" s="304"/>
      <c r="H596" s="304"/>
      <c r="I596" s="304"/>
      <c r="J596" s="304"/>
      <c r="K596" s="304"/>
      <c r="L596" s="304"/>
      <c r="M596" s="304"/>
      <c r="N596" s="304"/>
      <c r="O596" s="304"/>
      <c r="P596" s="304"/>
      <c r="Q596" s="304"/>
      <c r="R596" s="304"/>
      <c r="S596" s="304"/>
      <c r="T596" s="304"/>
    </row>
    <row r="597">
      <c r="A597" s="304"/>
      <c r="B597" s="304"/>
      <c r="C597" s="304"/>
      <c r="D597" s="304"/>
      <c r="E597" s="304"/>
      <c r="F597" s="304"/>
      <c r="G597" s="304"/>
      <c r="H597" s="304"/>
      <c r="I597" s="304"/>
      <c r="J597" s="304"/>
      <c r="K597" s="304"/>
      <c r="L597" s="304"/>
      <c r="M597" s="304"/>
      <c r="N597" s="304"/>
      <c r="O597" s="304"/>
      <c r="P597" s="304"/>
      <c r="Q597" s="304"/>
      <c r="R597" s="304"/>
      <c r="S597" s="304"/>
      <c r="T597" s="304"/>
    </row>
    <row r="598">
      <c r="A598" s="304"/>
      <c r="B598" s="304"/>
      <c r="C598" s="304"/>
      <c r="D598" s="304"/>
      <c r="E598" s="304"/>
      <c r="F598" s="304"/>
      <c r="G598" s="304"/>
      <c r="H598" s="304"/>
      <c r="I598" s="304"/>
      <c r="J598" s="304"/>
      <c r="K598" s="304"/>
      <c r="L598" s="304"/>
      <c r="M598" s="304"/>
      <c r="N598" s="304"/>
      <c r="O598" s="304"/>
      <c r="P598" s="304"/>
      <c r="Q598" s="304"/>
      <c r="R598" s="304"/>
      <c r="S598" s="304"/>
      <c r="T598" s="304"/>
    </row>
    <row r="599">
      <c r="A599" s="304"/>
      <c r="B599" s="304"/>
      <c r="C599" s="304"/>
      <c r="D599" s="304"/>
      <c r="E599" s="304"/>
      <c r="F599" s="304"/>
      <c r="G599" s="304"/>
      <c r="H599" s="304"/>
      <c r="I599" s="304"/>
      <c r="J599" s="304"/>
      <c r="K599" s="304"/>
      <c r="L599" s="304"/>
      <c r="M599" s="304"/>
      <c r="N599" s="304"/>
      <c r="O599" s="304"/>
      <c r="P599" s="304"/>
      <c r="Q599" s="304"/>
      <c r="R599" s="304"/>
      <c r="S599" s="304"/>
      <c r="T599" s="304"/>
    </row>
    <row r="600">
      <c r="A600" s="304"/>
      <c r="B600" s="304"/>
      <c r="C600" s="304"/>
      <c r="D600" s="304"/>
      <c r="E600" s="304"/>
      <c r="F600" s="304"/>
      <c r="G600" s="304"/>
      <c r="H600" s="304"/>
      <c r="I600" s="304"/>
      <c r="J600" s="304"/>
      <c r="K600" s="304"/>
      <c r="L600" s="304"/>
      <c r="M600" s="304"/>
      <c r="N600" s="304"/>
      <c r="O600" s="304"/>
      <c r="P600" s="304"/>
      <c r="Q600" s="304"/>
      <c r="R600" s="304"/>
      <c r="S600" s="304"/>
      <c r="T600" s="304"/>
    </row>
    <row r="601">
      <c r="A601" s="304"/>
      <c r="B601" s="304"/>
      <c r="C601" s="304"/>
      <c r="D601" s="304"/>
      <c r="E601" s="304"/>
      <c r="F601" s="304"/>
      <c r="G601" s="304"/>
      <c r="H601" s="304"/>
      <c r="I601" s="304"/>
      <c r="J601" s="304"/>
      <c r="K601" s="304"/>
      <c r="L601" s="304"/>
      <c r="M601" s="304"/>
      <c r="N601" s="304"/>
      <c r="O601" s="304"/>
      <c r="P601" s="304"/>
      <c r="Q601" s="304"/>
      <c r="R601" s="304"/>
      <c r="S601" s="304"/>
      <c r="T601" s="304"/>
    </row>
    <row r="602">
      <c r="A602" s="304"/>
      <c r="B602" s="304"/>
      <c r="C602" s="304"/>
      <c r="D602" s="304"/>
      <c r="E602" s="304"/>
      <c r="F602" s="304"/>
      <c r="G602" s="304"/>
      <c r="H602" s="304"/>
      <c r="I602" s="304"/>
      <c r="J602" s="304"/>
      <c r="K602" s="304"/>
      <c r="L602" s="304"/>
      <c r="M602" s="304"/>
      <c r="N602" s="304"/>
      <c r="O602" s="304"/>
      <c r="P602" s="304"/>
      <c r="Q602" s="304"/>
      <c r="R602" s="304"/>
      <c r="S602" s="304"/>
      <c r="T602" s="304"/>
    </row>
    <row r="603">
      <c r="A603" s="304"/>
      <c r="B603" s="304"/>
      <c r="C603" s="304"/>
      <c r="D603" s="304"/>
      <c r="E603" s="304"/>
      <c r="F603" s="304"/>
      <c r="G603" s="304"/>
      <c r="H603" s="304"/>
      <c r="I603" s="304"/>
      <c r="J603" s="304"/>
      <c r="K603" s="304"/>
      <c r="L603" s="304"/>
      <c r="M603" s="304"/>
      <c r="N603" s="304"/>
      <c r="O603" s="304"/>
      <c r="P603" s="304"/>
      <c r="Q603" s="304"/>
      <c r="R603" s="304"/>
      <c r="S603" s="304"/>
      <c r="T603" s="304"/>
    </row>
    <row r="604">
      <c r="A604" s="304"/>
      <c r="B604" s="304"/>
      <c r="C604" s="304"/>
      <c r="D604" s="304"/>
      <c r="E604" s="304"/>
      <c r="F604" s="304"/>
      <c r="G604" s="304"/>
      <c r="H604" s="304"/>
      <c r="I604" s="304"/>
      <c r="J604" s="304"/>
      <c r="K604" s="304"/>
      <c r="L604" s="304"/>
      <c r="M604" s="304"/>
      <c r="N604" s="304"/>
      <c r="O604" s="304"/>
      <c r="P604" s="304"/>
      <c r="Q604" s="304"/>
      <c r="R604" s="304"/>
      <c r="S604" s="304"/>
      <c r="T604" s="304"/>
    </row>
    <row r="605">
      <c r="A605" s="304"/>
      <c r="B605" s="304"/>
      <c r="C605" s="304"/>
      <c r="D605" s="304"/>
      <c r="E605" s="304"/>
      <c r="F605" s="304"/>
      <c r="G605" s="304"/>
      <c r="H605" s="304"/>
      <c r="I605" s="304"/>
      <c r="J605" s="304"/>
      <c r="K605" s="304"/>
      <c r="L605" s="304"/>
      <c r="M605" s="304"/>
      <c r="N605" s="304"/>
      <c r="O605" s="304"/>
      <c r="P605" s="304"/>
      <c r="Q605" s="304"/>
      <c r="R605" s="304"/>
      <c r="S605" s="304"/>
      <c r="T605" s="304"/>
    </row>
    <row r="606">
      <c r="A606" s="304"/>
      <c r="B606" s="304"/>
      <c r="C606" s="304"/>
      <c r="D606" s="304"/>
      <c r="E606" s="304"/>
      <c r="F606" s="304"/>
      <c r="G606" s="304"/>
      <c r="H606" s="304"/>
      <c r="I606" s="304"/>
      <c r="J606" s="304"/>
      <c r="K606" s="304"/>
      <c r="L606" s="304"/>
      <c r="M606" s="304"/>
      <c r="N606" s="304"/>
      <c r="O606" s="304"/>
      <c r="P606" s="304"/>
      <c r="Q606" s="304"/>
      <c r="R606" s="304"/>
      <c r="S606" s="304"/>
      <c r="T606" s="304"/>
    </row>
    <row r="607">
      <c r="A607" s="304"/>
      <c r="B607" s="304"/>
      <c r="C607" s="304"/>
      <c r="D607" s="304"/>
      <c r="E607" s="304"/>
      <c r="F607" s="304"/>
      <c r="G607" s="304"/>
      <c r="H607" s="304"/>
      <c r="I607" s="304"/>
      <c r="J607" s="304"/>
      <c r="K607" s="304"/>
      <c r="L607" s="304"/>
      <c r="M607" s="304"/>
      <c r="N607" s="304"/>
      <c r="O607" s="304"/>
      <c r="P607" s="304"/>
      <c r="Q607" s="304"/>
      <c r="R607" s="304"/>
      <c r="S607" s="304"/>
      <c r="T607" s="304"/>
    </row>
    <row r="608">
      <c r="A608" s="304"/>
      <c r="B608" s="304"/>
      <c r="C608" s="304"/>
      <c r="D608" s="304"/>
      <c r="E608" s="304"/>
      <c r="F608" s="304"/>
      <c r="G608" s="304"/>
      <c r="H608" s="304"/>
      <c r="I608" s="304"/>
      <c r="J608" s="304"/>
      <c r="K608" s="304"/>
      <c r="L608" s="304"/>
      <c r="M608" s="304"/>
      <c r="N608" s="304"/>
      <c r="O608" s="304"/>
      <c r="P608" s="304"/>
      <c r="Q608" s="304"/>
      <c r="R608" s="304"/>
      <c r="S608" s="304"/>
      <c r="T608" s="304"/>
    </row>
    <row r="609">
      <c r="A609" s="304"/>
      <c r="B609" s="304"/>
      <c r="C609" s="304"/>
      <c r="D609" s="304"/>
      <c r="E609" s="304"/>
      <c r="F609" s="304"/>
      <c r="G609" s="304"/>
      <c r="H609" s="304"/>
      <c r="I609" s="304"/>
      <c r="J609" s="304"/>
      <c r="K609" s="304"/>
      <c r="L609" s="304"/>
      <c r="M609" s="304"/>
      <c r="N609" s="304"/>
      <c r="O609" s="304"/>
      <c r="P609" s="304"/>
      <c r="Q609" s="304"/>
      <c r="R609" s="304"/>
      <c r="S609" s="304"/>
      <c r="T609" s="304"/>
    </row>
    <row r="610">
      <c r="A610" s="304"/>
      <c r="B610" s="304"/>
      <c r="C610" s="304"/>
      <c r="D610" s="304"/>
      <c r="E610" s="304"/>
      <c r="F610" s="304"/>
      <c r="G610" s="304"/>
      <c r="H610" s="304"/>
      <c r="I610" s="304"/>
      <c r="J610" s="304"/>
      <c r="K610" s="304"/>
      <c r="L610" s="304"/>
      <c r="M610" s="304"/>
      <c r="N610" s="304"/>
      <c r="O610" s="304"/>
      <c r="P610" s="304"/>
      <c r="Q610" s="304"/>
      <c r="R610" s="304"/>
      <c r="S610" s="304"/>
      <c r="T610" s="304"/>
    </row>
    <row r="611">
      <c r="A611" s="304"/>
      <c r="B611" s="304"/>
      <c r="C611" s="304"/>
      <c r="D611" s="304"/>
      <c r="E611" s="304"/>
      <c r="F611" s="304"/>
      <c r="G611" s="304"/>
      <c r="H611" s="304"/>
      <c r="I611" s="304"/>
      <c r="J611" s="304"/>
      <c r="K611" s="304"/>
      <c r="L611" s="304"/>
      <c r="M611" s="304"/>
      <c r="N611" s="304"/>
      <c r="O611" s="304"/>
      <c r="P611" s="304"/>
      <c r="Q611" s="304"/>
      <c r="R611" s="304"/>
      <c r="S611" s="304"/>
      <c r="T611" s="304"/>
    </row>
    <row r="612">
      <c r="A612" s="304"/>
      <c r="B612" s="304"/>
      <c r="C612" s="304"/>
      <c r="D612" s="304"/>
      <c r="E612" s="304"/>
      <c r="F612" s="304"/>
      <c r="G612" s="304"/>
      <c r="H612" s="304"/>
      <c r="I612" s="304"/>
      <c r="J612" s="304"/>
      <c r="K612" s="304"/>
      <c r="L612" s="304"/>
      <c r="M612" s="304"/>
      <c r="N612" s="304"/>
      <c r="O612" s="304"/>
      <c r="P612" s="304"/>
      <c r="Q612" s="304"/>
      <c r="R612" s="304"/>
      <c r="S612" s="304"/>
      <c r="T612" s="304"/>
    </row>
    <row r="613">
      <c r="A613" s="304"/>
      <c r="B613" s="304"/>
      <c r="C613" s="304"/>
      <c r="D613" s="304"/>
      <c r="E613" s="304"/>
      <c r="F613" s="304"/>
      <c r="G613" s="304"/>
      <c r="H613" s="304"/>
      <c r="I613" s="304"/>
      <c r="J613" s="304"/>
      <c r="K613" s="304"/>
      <c r="L613" s="304"/>
      <c r="M613" s="304"/>
      <c r="N613" s="304"/>
      <c r="O613" s="304"/>
      <c r="P613" s="304"/>
      <c r="Q613" s="304"/>
      <c r="R613" s="304"/>
      <c r="S613" s="304"/>
      <c r="T613" s="304"/>
    </row>
    <row r="614">
      <c r="A614" s="304"/>
      <c r="B614" s="304"/>
      <c r="C614" s="304"/>
      <c r="D614" s="304"/>
      <c r="E614" s="304"/>
      <c r="F614" s="304"/>
      <c r="G614" s="304"/>
      <c r="H614" s="304"/>
      <c r="I614" s="304"/>
      <c r="J614" s="304"/>
      <c r="K614" s="304"/>
      <c r="L614" s="304"/>
      <c r="M614" s="304"/>
      <c r="N614" s="304"/>
      <c r="O614" s="304"/>
      <c r="P614" s="304"/>
      <c r="Q614" s="304"/>
      <c r="R614" s="304"/>
      <c r="S614" s="304"/>
      <c r="T614" s="304"/>
    </row>
    <row r="615">
      <c r="A615" s="304"/>
      <c r="B615" s="304"/>
      <c r="C615" s="304"/>
      <c r="D615" s="304"/>
      <c r="E615" s="304"/>
      <c r="F615" s="304"/>
      <c r="G615" s="304"/>
      <c r="H615" s="304"/>
      <c r="I615" s="304"/>
      <c r="J615" s="304"/>
      <c r="K615" s="304"/>
      <c r="L615" s="304"/>
      <c r="M615" s="304"/>
      <c r="N615" s="304"/>
      <c r="O615" s="304"/>
      <c r="P615" s="304"/>
      <c r="Q615" s="304"/>
      <c r="R615" s="304"/>
      <c r="S615" s="304"/>
      <c r="T615" s="304"/>
    </row>
    <row r="616">
      <c r="A616" s="304"/>
      <c r="B616" s="304"/>
      <c r="C616" s="304"/>
      <c r="D616" s="304"/>
      <c r="E616" s="304"/>
      <c r="F616" s="304"/>
      <c r="G616" s="304"/>
      <c r="H616" s="304"/>
      <c r="I616" s="304"/>
      <c r="J616" s="304"/>
      <c r="K616" s="304"/>
      <c r="L616" s="304"/>
      <c r="M616" s="304"/>
      <c r="N616" s="304"/>
      <c r="O616" s="304"/>
      <c r="P616" s="304"/>
      <c r="Q616" s="304"/>
      <c r="R616" s="304"/>
      <c r="S616" s="304"/>
      <c r="T616" s="304"/>
    </row>
    <row r="617">
      <c r="A617" s="304"/>
      <c r="B617" s="304"/>
      <c r="C617" s="304"/>
      <c r="D617" s="304"/>
      <c r="E617" s="304"/>
      <c r="F617" s="304"/>
      <c r="G617" s="304"/>
      <c r="H617" s="304"/>
      <c r="I617" s="304"/>
      <c r="J617" s="304"/>
      <c r="K617" s="304"/>
      <c r="L617" s="304"/>
      <c r="M617" s="304"/>
      <c r="N617" s="304"/>
      <c r="O617" s="304"/>
      <c r="P617" s="304"/>
      <c r="Q617" s="304"/>
      <c r="R617" s="304"/>
      <c r="S617" s="304"/>
      <c r="T617" s="304"/>
    </row>
    <row r="618">
      <c r="A618" s="304"/>
      <c r="B618" s="304"/>
      <c r="C618" s="304"/>
      <c r="D618" s="304"/>
      <c r="E618" s="304"/>
      <c r="F618" s="304"/>
      <c r="G618" s="304"/>
      <c r="H618" s="304"/>
      <c r="I618" s="304"/>
      <c r="J618" s="304"/>
      <c r="K618" s="304"/>
      <c r="L618" s="304"/>
      <c r="M618" s="304"/>
      <c r="N618" s="304"/>
      <c r="O618" s="304"/>
      <c r="P618" s="304"/>
      <c r="Q618" s="304"/>
      <c r="R618" s="304"/>
      <c r="S618" s="304"/>
      <c r="T618" s="304"/>
    </row>
    <row r="619">
      <c r="A619" s="304"/>
      <c r="B619" s="304"/>
      <c r="C619" s="304"/>
      <c r="D619" s="304"/>
      <c r="E619" s="304"/>
      <c r="F619" s="304"/>
      <c r="G619" s="304"/>
      <c r="H619" s="304"/>
      <c r="I619" s="304"/>
      <c r="J619" s="304"/>
      <c r="K619" s="304"/>
      <c r="L619" s="304"/>
      <c r="M619" s="304"/>
      <c r="N619" s="304"/>
      <c r="O619" s="304"/>
      <c r="P619" s="304"/>
      <c r="Q619" s="304"/>
      <c r="R619" s="304"/>
      <c r="S619" s="304"/>
      <c r="T619" s="304"/>
    </row>
    <row r="620">
      <c r="A620" s="304"/>
      <c r="B620" s="304"/>
      <c r="C620" s="304"/>
      <c r="D620" s="304"/>
      <c r="E620" s="304"/>
      <c r="F620" s="304"/>
      <c r="G620" s="304"/>
      <c r="H620" s="304"/>
      <c r="I620" s="304"/>
      <c r="J620" s="304"/>
      <c r="K620" s="304"/>
      <c r="L620" s="304"/>
      <c r="M620" s="304"/>
      <c r="N620" s="304"/>
      <c r="O620" s="304"/>
      <c r="P620" s="304"/>
      <c r="Q620" s="304"/>
      <c r="R620" s="304"/>
      <c r="S620" s="304"/>
      <c r="T620" s="304"/>
    </row>
    <row r="621">
      <c r="A621" s="304"/>
      <c r="B621" s="304"/>
      <c r="C621" s="304"/>
      <c r="D621" s="304"/>
      <c r="E621" s="304"/>
      <c r="F621" s="304"/>
      <c r="G621" s="304"/>
      <c r="H621" s="304"/>
      <c r="I621" s="304"/>
      <c r="J621" s="304"/>
      <c r="K621" s="304"/>
      <c r="L621" s="304"/>
      <c r="M621" s="304"/>
      <c r="N621" s="304"/>
      <c r="O621" s="304"/>
      <c r="P621" s="304"/>
      <c r="Q621" s="304"/>
      <c r="R621" s="304"/>
      <c r="S621" s="304"/>
      <c r="T621" s="304"/>
    </row>
    <row r="622">
      <c r="A622" s="304"/>
      <c r="B622" s="304"/>
      <c r="C622" s="304"/>
      <c r="D622" s="304"/>
      <c r="E622" s="304"/>
      <c r="F622" s="304"/>
      <c r="G622" s="304"/>
      <c r="H622" s="304"/>
      <c r="I622" s="304"/>
      <c r="J622" s="304"/>
      <c r="K622" s="304"/>
      <c r="L622" s="304"/>
      <c r="M622" s="304"/>
      <c r="N622" s="304"/>
      <c r="O622" s="304"/>
      <c r="P622" s="304"/>
      <c r="Q622" s="304"/>
      <c r="R622" s="304"/>
      <c r="S622" s="304"/>
      <c r="T622" s="304"/>
    </row>
    <row r="623">
      <c r="A623" s="304"/>
      <c r="B623" s="304"/>
      <c r="C623" s="304"/>
      <c r="D623" s="304"/>
      <c r="E623" s="304"/>
      <c r="F623" s="304"/>
      <c r="G623" s="304"/>
      <c r="H623" s="304"/>
      <c r="I623" s="304"/>
      <c r="J623" s="304"/>
      <c r="K623" s="304"/>
      <c r="L623" s="304"/>
      <c r="M623" s="304"/>
      <c r="N623" s="304"/>
      <c r="O623" s="304"/>
      <c r="P623" s="304"/>
      <c r="Q623" s="304"/>
      <c r="R623" s="304"/>
      <c r="S623" s="304"/>
      <c r="T623" s="304"/>
    </row>
    <row r="624">
      <c r="A624" s="304"/>
      <c r="B624" s="304"/>
      <c r="C624" s="304"/>
      <c r="D624" s="304"/>
      <c r="E624" s="304"/>
      <c r="F624" s="304"/>
      <c r="G624" s="304"/>
      <c r="H624" s="304"/>
      <c r="I624" s="304"/>
      <c r="J624" s="304"/>
      <c r="K624" s="304"/>
      <c r="L624" s="304"/>
      <c r="M624" s="304"/>
      <c r="N624" s="304"/>
      <c r="O624" s="304"/>
      <c r="P624" s="304"/>
      <c r="Q624" s="304"/>
      <c r="R624" s="304"/>
      <c r="S624" s="304"/>
      <c r="T624" s="304"/>
    </row>
    <row r="625">
      <c r="A625" s="304"/>
      <c r="B625" s="304"/>
      <c r="C625" s="304"/>
      <c r="D625" s="304"/>
      <c r="E625" s="304"/>
      <c r="F625" s="304"/>
      <c r="G625" s="304"/>
      <c r="H625" s="304"/>
      <c r="I625" s="304"/>
      <c r="J625" s="304"/>
      <c r="K625" s="304"/>
      <c r="L625" s="304"/>
      <c r="M625" s="304"/>
      <c r="N625" s="304"/>
      <c r="O625" s="304"/>
      <c r="P625" s="304"/>
      <c r="Q625" s="304"/>
      <c r="R625" s="304"/>
      <c r="S625" s="304"/>
      <c r="T625" s="304"/>
    </row>
    <row r="626">
      <c r="A626" s="304"/>
      <c r="B626" s="304"/>
      <c r="C626" s="304"/>
      <c r="D626" s="304"/>
      <c r="E626" s="304"/>
      <c r="F626" s="304"/>
      <c r="G626" s="304"/>
      <c r="H626" s="304"/>
      <c r="I626" s="304"/>
      <c r="J626" s="304"/>
      <c r="K626" s="304"/>
      <c r="L626" s="304"/>
      <c r="M626" s="304"/>
      <c r="N626" s="304"/>
      <c r="O626" s="304"/>
      <c r="P626" s="304"/>
      <c r="Q626" s="304"/>
      <c r="R626" s="304"/>
      <c r="S626" s="304"/>
      <c r="T626" s="304"/>
    </row>
    <row r="627">
      <c r="A627" s="304"/>
      <c r="B627" s="304"/>
      <c r="C627" s="304"/>
      <c r="D627" s="304"/>
      <c r="E627" s="304"/>
      <c r="F627" s="304"/>
      <c r="G627" s="304"/>
      <c r="H627" s="304"/>
      <c r="I627" s="304"/>
      <c r="J627" s="304"/>
      <c r="K627" s="304"/>
      <c r="L627" s="304"/>
      <c r="M627" s="304"/>
      <c r="N627" s="304"/>
      <c r="O627" s="304"/>
      <c r="P627" s="304"/>
      <c r="Q627" s="304"/>
      <c r="R627" s="304"/>
      <c r="S627" s="304"/>
      <c r="T627" s="304"/>
    </row>
    <row r="628">
      <c r="A628" s="304"/>
      <c r="B628" s="304"/>
      <c r="C628" s="304"/>
      <c r="D628" s="304"/>
      <c r="E628" s="304"/>
      <c r="F628" s="304"/>
      <c r="G628" s="304"/>
      <c r="H628" s="304"/>
      <c r="I628" s="304"/>
      <c r="J628" s="304"/>
      <c r="K628" s="304"/>
      <c r="L628" s="304"/>
      <c r="M628" s="304"/>
      <c r="N628" s="304"/>
      <c r="O628" s="304"/>
      <c r="P628" s="304"/>
      <c r="Q628" s="304"/>
      <c r="R628" s="304"/>
      <c r="S628" s="304"/>
      <c r="T628" s="304"/>
    </row>
    <row r="629">
      <c r="A629" s="304"/>
      <c r="B629" s="304"/>
      <c r="C629" s="304"/>
      <c r="D629" s="304"/>
      <c r="E629" s="304"/>
      <c r="F629" s="304"/>
      <c r="G629" s="304"/>
      <c r="H629" s="304"/>
      <c r="I629" s="304"/>
      <c r="J629" s="304"/>
      <c r="K629" s="304"/>
      <c r="L629" s="304"/>
      <c r="M629" s="304"/>
      <c r="N629" s="304"/>
      <c r="O629" s="304"/>
      <c r="P629" s="304"/>
      <c r="Q629" s="304"/>
      <c r="R629" s="304"/>
      <c r="S629" s="304"/>
      <c r="T629" s="304"/>
    </row>
    <row r="630">
      <c r="A630" s="304"/>
      <c r="B630" s="304"/>
      <c r="C630" s="304"/>
      <c r="D630" s="304"/>
      <c r="E630" s="304"/>
      <c r="F630" s="304"/>
      <c r="G630" s="304"/>
      <c r="H630" s="304"/>
      <c r="I630" s="304"/>
      <c r="J630" s="304"/>
      <c r="K630" s="304"/>
      <c r="L630" s="304"/>
      <c r="M630" s="304"/>
      <c r="N630" s="304"/>
      <c r="O630" s="304"/>
      <c r="P630" s="304"/>
      <c r="Q630" s="304"/>
      <c r="R630" s="304"/>
      <c r="S630" s="304"/>
      <c r="T630" s="304"/>
    </row>
    <row r="631">
      <c r="A631" s="304"/>
      <c r="B631" s="304"/>
      <c r="C631" s="304"/>
      <c r="D631" s="304"/>
      <c r="E631" s="304"/>
      <c r="F631" s="304"/>
      <c r="G631" s="304"/>
      <c r="H631" s="304"/>
      <c r="I631" s="304"/>
      <c r="J631" s="304"/>
      <c r="K631" s="304"/>
      <c r="L631" s="304"/>
      <c r="M631" s="304"/>
      <c r="N631" s="304"/>
      <c r="O631" s="304"/>
      <c r="P631" s="304"/>
      <c r="Q631" s="304"/>
      <c r="R631" s="304"/>
      <c r="S631" s="304"/>
      <c r="T631" s="304"/>
    </row>
    <row r="632">
      <c r="A632" s="304"/>
      <c r="B632" s="304"/>
      <c r="C632" s="304"/>
      <c r="D632" s="304"/>
      <c r="E632" s="304"/>
      <c r="F632" s="304"/>
      <c r="G632" s="304"/>
      <c r="H632" s="304"/>
      <c r="I632" s="304"/>
      <c r="J632" s="304"/>
      <c r="K632" s="304"/>
      <c r="L632" s="304"/>
      <c r="M632" s="304"/>
      <c r="N632" s="304"/>
      <c r="O632" s="304"/>
      <c r="P632" s="304"/>
      <c r="Q632" s="304"/>
      <c r="R632" s="304"/>
      <c r="S632" s="304"/>
      <c r="T632" s="304"/>
    </row>
    <row r="633">
      <c r="A633" s="304"/>
      <c r="B633" s="304"/>
      <c r="C633" s="304"/>
      <c r="D633" s="304"/>
      <c r="E633" s="304"/>
      <c r="F633" s="304"/>
      <c r="G633" s="304"/>
      <c r="H633" s="304"/>
      <c r="I633" s="304"/>
      <c r="J633" s="304"/>
      <c r="K633" s="304"/>
      <c r="L633" s="304"/>
      <c r="M633" s="304"/>
      <c r="N633" s="304"/>
      <c r="O633" s="304"/>
      <c r="P633" s="304"/>
      <c r="Q633" s="304"/>
      <c r="R633" s="304"/>
      <c r="S633" s="304"/>
      <c r="T633" s="304"/>
    </row>
    <row r="634">
      <c r="A634" s="304"/>
      <c r="B634" s="304"/>
      <c r="C634" s="304"/>
      <c r="D634" s="304"/>
      <c r="E634" s="304"/>
      <c r="F634" s="304"/>
      <c r="G634" s="304"/>
      <c r="H634" s="304"/>
      <c r="I634" s="304"/>
      <c r="J634" s="304"/>
      <c r="K634" s="304"/>
      <c r="L634" s="304"/>
      <c r="M634" s="304"/>
      <c r="N634" s="304"/>
      <c r="O634" s="304"/>
      <c r="P634" s="304"/>
      <c r="Q634" s="304"/>
      <c r="R634" s="304"/>
      <c r="S634" s="304"/>
      <c r="T634" s="304"/>
    </row>
    <row r="635">
      <c r="A635" s="304"/>
      <c r="B635" s="304"/>
      <c r="C635" s="304"/>
      <c r="D635" s="304"/>
      <c r="E635" s="304"/>
      <c r="F635" s="304"/>
      <c r="G635" s="304"/>
      <c r="H635" s="304"/>
      <c r="I635" s="304"/>
      <c r="J635" s="304"/>
      <c r="K635" s="304"/>
      <c r="L635" s="304"/>
      <c r="M635" s="304"/>
      <c r="N635" s="304"/>
      <c r="O635" s="304"/>
      <c r="P635" s="304"/>
      <c r="Q635" s="304"/>
      <c r="R635" s="304"/>
      <c r="S635" s="304"/>
      <c r="T635" s="304"/>
    </row>
    <row r="636">
      <c r="A636" s="304"/>
      <c r="B636" s="304"/>
      <c r="C636" s="304"/>
      <c r="D636" s="304"/>
      <c r="E636" s="304"/>
      <c r="F636" s="304"/>
      <c r="G636" s="304"/>
      <c r="H636" s="304"/>
      <c r="I636" s="304"/>
      <c r="J636" s="304"/>
      <c r="K636" s="304"/>
      <c r="L636" s="304"/>
      <c r="M636" s="304"/>
      <c r="N636" s="304"/>
      <c r="O636" s="304"/>
      <c r="P636" s="304"/>
      <c r="Q636" s="304"/>
      <c r="R636" s="304"/>
      <c r="S636" s="304"/>
      <c r="T636" s="304"/>
    </row>
    <row r="637">
      <c r="A637" s="304"/>
      <c r="B637" s="304"/>
      <c r="C637" s="304"/>
      <c r="D637" s="304"/>
      <c r="E637" s="304"/>
      <c r="F637" s="304"/>
      <c r="G637" s="304"/>
      <c r="H637" s="304"/>
      <c r="I637" s="304"/>
      <c r="J637" s="304"/>
      <c r="K637" s="304"/>
      <c r="L637" s="304"/>
      <c r="M637" s="304"/>
      <c r="N637" s="304"/>
      <c r="O637" s="304"/>
      <c r="P637" s="304"/>
      <c r="Q637" s="304"/>
      <c r="R637" s="304"/>
      <c r="S637" s="304"/>
      <c r="T637" s="304"/>
    </row>
    <row r="638">
      <c r="A638" s="304"/>
      <c r="B638" s="304"/>
      <c r="C638" s="304"/>
      <c r="D638" s="304"/>
      <c r="E638" s="304"/>
      <c r="F638" s="304"/>
      <c r="G638" s="304"/>
      <c r="H638" s="304"/>
      <c r="I638" s="304"/>
      <c r="J638" s="304"/>
      <c r="K638" s="304"/>
      <c r="L638" s="304"/>
      <c r="M638" s="304"/>
      <c r="N638" s="304"/>
      <c r="O638" s="304"/>
      <c r="P638" s="304"/>
      <c r="Q638" s="304"/>
      <c r="R638" s="304"/>
      <c r="S638" s="304"/>
      <c r="T638" s="304"/>
    </row>
    <row r="639">
      <c r="A639" s="304"/>
      <c r="B639" s="304"/>
      <c r="C639" s="304"/>
      <c r="D639" s="304"/>
      <c r="E639" s="304"/>
      <c r="F639" s="304"/>
      <c r="G639" s="304"/>
      <c r="H639" s="304"/>
      <c r="I639" s="304"/>
      <c r="J639" s="304"/>
      <c r="K639" s="304"/>
      <c r="L639" s="304"/>
      <c r="M639" s="304"/>
      <c r="N639" s="304"/>
      <c r="O639" s="304"/>
      <c r="P639" s="304"/>
      <c r="Q639" s="304"/>
      <c r="R639" s="304"/>
      <c r="S639" s="304"/>
      <c r="T639" s="304"/>
    </row>
    <row r="640">
      <c r="A640" s="304"/>
      <c r="B640" s="304"/>
      <c r="C640" s="304"/>
      <c r="D640" s="304"/>
      <c r="E640" s="304"/>
      <c r="F640" s="304"/>
      <c r="G640" s="304"/>
      <c r="H640" s="304"/>
      <c r="I640" s="304"/>
      <c r="J640" s="304"/>
      <c r="K640" s="304"/>
      <c r="L640" s="304"/>
      <c r="M640" s="304"/>
      <c r="N640" s="304"/>
      <c r="O640" s="304"/>
      <c r="P640" s="304"/>
      <c r="Q640" s="304"/>
      <c r="R640" s="304"/>
      <c r="S640" s="304"/>
      <c r="T640" s="304"/>
    </row>
    <row r="641">
      <c r="A641" s="304"/>
      <c r="B641" s="304"/>
      <c r="C641" s="304"/>
      <c r="D641" s="304"/>
      <c r="E641" s="304"/>
      <c r="F641" s="304"/>
      <c r="G641" s="304"/>
      <c r="H641" s="304"/>
      <c r="I641" s="304"/>
      <c r="J641" s="304"/>
      <c r="K641" s="304"/>
      <c r="L641" s="304"/>
      <c r="M641" s="304"/>
      <c r="N641" s="304"/>
      <c r="O641" s="304"/>
      <c r="P641" s="304"/>
      <c r="Q641" s="304"/>
      <c r="R641" s="304"/>
      <c r="S641" s="304"/>
      <c r="T641" s="304"/>
    </row>
    <row r="642">
      <c r="A642" s="304"/>
      <c r="B642" s="304"/>
      <c r="C642" s="304"/>
      <c r="D642" s="304"/>
      <c r="E642" s="304"/>
      <c r="F642" s="304"/>
      <c r="G642" s="304"/>
      <c r="H642" s="304"/>
      <c r="I642" s="304"/>
      <c r="J642" s="304"/>
      <c r="K642" s="304"/>
      <c r="L642" s="304"/>
      <c r="M642" s="304"/>
      <c r="N642" s="304"/>
      <c r="O642" s="304"/>
      <c r="P642" s="304"/>
      <c r="Q642" s="304"/>
      <c r="R642" s="304"/>
      <c r="S642" s="304"/>
      <c r="T642" s="304"/>
    </row>
    <row r="643">
      <c r="A643" s="304"/>
      <c r="B643" s="304"/>
      <c r="C643" s="304"/>
      <c r="D643" s="304"/>
      <c r="E643" s="304"/>
      <c r="F643" s="304"/>
      <c r="G643" s="304"/>
      <c r="H643" s="304"/>
      <c r="I643" s="304"/>
      <c r="J643" s="304"/>
      <c r="K643" s="304"/>
      <c r="L643" s="304"/>
      <c r="M643" s="304"/>
      <c r="N643" s="304"/>
      <c r="O643" s="304"/>
      <c r="P643" s="304"/>
      <c r="Q643" s="304"/>
      <c r="R643" s="304"/>
      <c r="S643" s="304"/>
      <c r="T643" s="304"/>
    </row>
    <row r="644">
      <c r="A644" s="304"/>
      <c r="B644" s="304"/>
      <c r="C644" s="304"/>
      <c r="D644" s="304"/>
      <c r="E644" s="304"/>
      <c r="F644" s="304"/>
      <c r="G644" s="304"/>
      <c r="H644" s="304"/>
      <c r="I644" s="304"/>
      <c r="J644" s="304"/>
      <c r="K644" s="304"/>
      <c r="L644" s="304"/>
      <c r="M644" s="304"/>
      <c r="N644" s="304"/>
      <c r="O644" s="304"/>
      <c r="P644" s="304"/>
      <c r="Q644" s="304"/>
      <c r="R644" s="304"/>
      <c r="S644" s="304"/>
      <c r="T644" s="304"/>
    </row>
    <row r="645">
      <c r="A645" s="304"/>
      <c r="B645" s="304"/>
      <c r="C645" s="304"/>
      <c r="D645" s="304"/>
      <c r="E645" s="304"/>
      <c r="F645" s="304"/>
      <c r="G645" s="304"/>
      <c r="H645" s="304"/>
      <c r="I645" s="304"/>
      <c r="J645" s="304"/>
      <c r="K645" s="304"/>
      <c r="L645" s="304"/>
      <c r="M645" s="304"/>
      <c r="N645" s="304"/>
      <c r="O645" s="304"/>
      <c r="P645" s="304"/>
      <c r="Q645" s="304"/>
      <c r="R645" s="304"/>
      <c r="S645" s="304"/>
      <c r="T645" s="304"/>
    </row>
    <row r="646">
      <c r="A646" s="304"/>
      <c r="B646" s="304"/>
      <c r="C646" s="304"/>
      <c r="D646" s="304"/>
      <c r="E646" s="304"/>
      <c r="F646" s="304"/>
      <c r="G646" s="304"/>
      <c r="H646" s="304"/>
      <c r="I646" s="304"/>
      <c r="J646" s="304"/>
      <c r="K646" s="304"/>
      <c r="L646" s="304"/>
      <c r="M646" s="304"/>
      <c r="N646" s="304"/>
      <c r="O646" s="304"/>
      <c r="P646" s="304"/>
      <c r="Q646" s="304"/>
      <c r="R646" s="304"/>
      <c r="S646" s="304"/>
      <c r="T646" s="304"/>
    </row>
    <row r="647">
      <c r="A647" s="304"/>
      <c r="B647" s="304"/>
      <c r="C647" s="304"/>
      <c r="D647" s="304"/>
      <c r="E647" s="304"/>
      <c r="F647" s="304"/>
      <c r="G647" s="304"/>
      <c r="H647" s="304"/>
      <c r="I647" s="304"/>
      <c r="J647" s="304"/>
      <c r="K647" s="304"/>
      <c r="L647" s="304"/>
      <c r="M647" s="304"/>
      <c r="N647" s="304"/>
      <c r="O647" s="304"/>
      <c r="P647" s="304"/>
      <c r="Q647" s="304"/>
      <c r="R647" s="304"/>
      <c r="S647" s="304"/>
      <c r="T647" s="304"/>
    </row>
    <row r="648">
      <c r="A648" s="304"/>
      <c r="B648" s="304"/>
      <c r="C648" s="304"/>
      <c r="D648" s="304"/>
      <c r="E648" s="304"/>
      <c r="F648" s="304"/>
      <c r="G648" s="304"/>
      <c r="H648" s="304"/>
      <c r="I648" s="304"/>
      <c r="J648" s="304"/>
      <c r="K648" s="304"/>
      <c r="L648" s="304"/>
      <c r="M648" s="304"/>
      <c r="N648" s="304"/>
      <c r="O648" s="304"/>
      <c r="P648" s="304"/>
      <c r="Q648" s="304"/>
      <c r="R648" s="304"/>
      <c r="S648" s="304"/>
      <c r="T648" s="304"/>
    </row>
    <row r="649">
      <c r="A649" s="304"/>
      <c r="B649" s="304"/>
      <c r="C649" s="304"/>
      <c r="D649" s="304"/>
      <c r="E649" s="304"/>
      <c r="F649" s="304"/>
      <c r="G649" s="304"/>
      <c r="H649" s="304"/>
      <c r="I649" s="304"/>
      <c r="J649" s="304"/>
      <c r="K649" s="304"/>
      <c r="L649" s="304"/>
      <c r="M649" s="304"/>
      <c r="N649" s="304"/>
      <c r="O649" s="304"/>
      <c r="P649" s="304"/>
      <c r="Q649" s="304"/>
      <c r="R649" s="304"/>
      <c r="S649" s="304"/>
      <c r="T649" s="304"/>
    </row>
    <row r="650">
      <c r="A650" s="304"/>
      <c r="B650" s="304"/>
      <c r="C650" s="304"/>
      <c r="D650" s="304"/>
      <c r="E650" s="304"/>
      <c r="F650" s="304"/>
      <c r="G650" s="304"/>
      <c r="H650" s="304"/>
      <c r="I650" s="304"/>
      <c r="J650" s="304"/>
      <c r="K650" s="304"/>
      <c r="L650" s="304"/>
      <c r="M650" s="304"/>
      <c r="N650" s="304"/>
      <c r="O650" s="304"/>
      <c r="P650" s="304"/>
      <c r="Q650" s="304"/>
      <c r="R650" s="304"/>
      <c r="S650" s="304"/>
      <c r="T650" s="304"/>
    </row>
    <row r="651">
      <c r="A651" s="304"/>
      <c r="B651" s="304"/>
      <c r="C651" s="304"/>
      <c r="D651" s="304"/>
      <c r="E651" s="304"/>
      <c r="F651" s="304"/>
      <c r="G651" s="304"/>
      <c r="H651" s="304"/>
      <c r="I651" s="304"/>
      <c r="J651" s="304"/>
      <c r="K651" s="304"/>
      <c r="L651" s="304"/>
      <c r="M651" s="304"/>
      <c r="N651" s="304"/>
      <c r="O651" s="304"/>
      <c r="P651" s="304"/>
      <c r="Q651" s="304"/>
      <c r="R651" s="304"/>
      <c r="S651" s="304"/>
      <c r="T651" s="304"/>
    </row>
    <row r="652">
      <c r="A652" s="304"/>
      <c r="B652" s="304"/>
      <c r="C652" s="304"/>
      <c r="D652" s="304"/>
      <c r="E652" s="304"/>
      <c r="F652" s="304"/>
      <c r="G652" s="304"/>
      <c r="H652" s="304"/>
      <c r="I652" s="304"/>
      <c r="J652" s="304"/>
      <c r="K652" s="304"/>
      <c r="L652" s="304"/>
      <c r="M652" s="304"/>
      <c r="N652" s="304"/>
      <c r="O652" s="304"/>
      <c r="P652" s="304"/>
      <c r="Q652" s="304"/>
      <c r="R652" s="304"/>
      <c r="S652" s="304"/>
      <c r="T652" s="304"/>
    </row>
    <row r="653">
      <c r="A653" s="304"/>
      <c r="B653" s="304"/>
      <c r="C653" s="304"/>
      <c r="D653" s="304"/>
      <c r="E653" s="304"/>
      <c r="F653" s="304"/>
      <c r="G653" s="304"/>
      <c r="H653" s="304"/>
      <c r="I653" s="304"/>
      <c r="J653" s="304"/>
      <c r="K653" s="304"/>
      <c r="L653" s="304"/>
      <c r="M653" s="304"/>
      <c r="N653" s="304"/>
      <c r="O653" s="304"/>
      <c r="P653" s="304"/>
      <c r="Q653" s="304"/>
      <c r="R653" s="304"/>
      <c r="S653" s="304"/>
      <c r="T653" s="304"/>
    </row>
    <row r="654">
      <c r="A654" s="304"/>
      <c r="B654" s="304"/>
      <c r="C654" s="304"/>
      <c r="D654" s="304"/>
      <c r="E654" s="304"/>
      <c r="F654" s="304"/>
      <c r="G654" s="304"/>
      <c r="H654" s="304"/>
      <c r="I654" s="304"/>
      <c r="J654" s="304"/>
      <c r="K654" s="304"/>
      <c r="L654" s="304"/>
      <c r="M654" s="304"/>
      <c r="N654" s="304"/>
      <c r="O654" s="304"/>
      <c r="P654" s="304"/>
      <c r="Q654" s="304"/>
      <c r="R654" s="304"/>
      <c r="S654" s="304"/>
      <c r="T654" s="304"/>
    </row>
    <row r="655">
      <c r="A655" s="304"/>
      <c r="B655" s="304"/>
      <c r="C655" s="304"/>
      <c r="D655" s="304"/>
      <c r="E655" s="304"/>
      <c r="F655" s="304"/>
      <c r="G655" s="304"/>
      <c r="H655" s="304"/>
      <c r="I655" s="304"/>
      <c r="J655" s="304"/>
      <c r="K655" s="304"/>
      <c r="L655" s="304"/>
      <c r="M655" s="304"/>
      <c r="N655" s="304"/>
      <c r="O655" s="304"/>
      <c r="P655" s="304"/>
      <c r="Q655" s="304"/>
      <c r="R655" s="304"/>
      <c r="S655" s="304"/>
      <c r="T655" s="304"/>
    </row>
    <row r="656">
      <c r="A656" s="304"/>
      <c r="B656" s="304"/>
      <c r="C656" s="304"/>
      <c r="D656" s="304"/>
      <c r="E656" s="304"/>
      <c r="F656" s="304"/>
      <c r="G656" s="304"/>
      <c r="H656" s="304"/>
      <c r="I656" s="304"/>
      <c r="J656" s="304"/>
      <c r="K656" s="304"/>
      <c r="L656" s="304"/>
      <c r="M656" s="304"/>
      <c r="N656" s="304"/>
      <c r="O656" s="304"/>
      <c r="P656" s="304"/>
      <c r="Q656" s="304"/>
      <c r="R656" s="304"/>
      <c r="S656" s="304"/>
      <c r="T656" s="304"/>
    </row>
    <row r="657">
      <c r="A657" s="304"/>
      <c r="B657" s="304"/>
      <c r="C657" s="304"/>
      <c r="D657" s="304"/>
      <c r="E657" s="304"/>
      <c r="F657" s="304"/>
      <c r="G657" s="304"/>
      <c r="H657" s="304"/>
      <c r="I657" s="304"/>
      <c r="J657" s="304"/>
      <c r="K657" s="304"/>
      <c r="L657" s="304"/>
      <c r="M657" s="304"/>
      <c r="N657" s="304"/>
      <c r="O657" s="304"/>
      <c r="P657" s="304"/>
      <c r="Q657" s="304"/>
      <c r="R657" s="304"/>
      <c r="S657" s="304"/>
      <c r="T657" s="304"/>
    </row>
    <row r="658">
      <c r="A658" s="304"/>
      <c r="B658" s="304"/>
      <c r="C658" s="304"/>
      <c r="D658" s="304"/>
      <c r="E658" s="304"/>
      <c r="F658" s="304"/>
      <c r="G658" s="304"/>
      <c r="H658" s="304"/>
      <c r="I658" s="304"/>
      <c r="J658" s="304"/>
      <c r="K658" s="304"/>
      <c r="L658" s="304"/>
      <c r="M658" s="304"/>
      <c r="N658" s="304"/>
      <c r="O658" s="304"/>
      <c r="P658" s="304"/>
      <c r="Q658" s="304"/>
      <c r="R658" s="304"/>
      <c r="S658" s="304"/>
      <c r="T658" s="304"/>
    </row>
    <row r="659">
      <c r="A659" s="304"/>
      <c r="B659" s="304"/>
      <c r="C659" s="304"/>
      <c r="D659" s="304"/>
      <c r="E659" s="304"/>
      <c r="F659" s="304"/>
      <c r="G659" s="304"/>
      <c r="H659" s="304"/>
      <c r="I659" s="304"/>
      <c r="J659" s="304"/>
      <c r="K659" s="304"/>
      <c r="L659" s="304"/>
      <c r="M659" s="304"/>
      <c r="N659" s="304"/>
      <c r="O659" s="304"/>
      <c r="P659" s="304"/>
      <c r="Q659" s="304"/>
      <c r="R659" s="304"/>
      <c r="S659" s="304"/>
      <c r="T659" s="304"/>
    </row>
    <row r="660">
      <c r="A660" s="304"/>
      <c r="B660" s="304"/>
      <c r="C660" s="304"/>
      <c r="D660" s="304"/>
      <c r="E660" s="304"/>
      <c r="F660" s="304"/>
      <c r="G660" s="304"/>
      <c r="H660" s="304"/>
      <c r="I660" s="304"/>
      <c r="J660" s="304"/>
      <c r="K660" s="304"/>
      <c r="L660" s="304"/>
      <c r="M660" s="304"/>
      <c r="N660" s="304"/>
      <c r="O660" s="304"/>
      <c r="P660" s="304"/>
      <c r="Q660" s="304"/>
      <c r="R660" s="304"/>
      <c r="S660" s="304"/>
      <c r="T660" s="304"/>
    </row>
    <row r="661">
      <c r="A661" s="304"/>
      <c r="B661" s="304"/>
      <c r="C661" s="304"/>
      <c r="D661" s="304"/>
      <c r="E661" s="304"/>
      <c r="F661" s="304"/>
      <c r="G661" s="304"/>
      <c r="H661" s="304"/>
      <c r="I661" s="304"/>
      <c r="J661" s="304"/>
      <c r="K661" s="304"/>
      <c r="L661" s="304"/>
      <c r="M661" s="304"/>
      <c r="N661" s="304"/>
      <c r="O661" s="304"/>
      <c r="P661" s="304"/>
      <c r="Q661" s="304"/>
      <c r="R661" s="304"/>
      <c r="S661" s="304"/>
      <c r="T661" s="304"/>
    </row>
    <row r="662">
      <c r="A662" s="304"/>
      <c r="B662" s="304"/>
      <c r="C662" s="304"/>
      <c r="D662" s="304"/>
      <c r="E662" s="304"/>
      <c r="F662" s="304"/>
      <c r="G662" s="304"/>
      <c r="H662" s="304"/>
      <c r="I662" s="304"/>
      <c r="J662" s="304"/>
      <c r="K662" s="304"/>
      <c r="L662" s="304"/>
      <c r="M662" s="304"/>
      <c r="N662" s="304"/>
      <c r="O662" s="304"/>
      <c r="P662" s="304"/>
      <c r="Q662" s="304"/>
      <c r="R662" s="304"/>
      <c r="S662" s="304"/>
      <c r="T662" s="304"/>
    </row>
    <row r="663">
      <c r="A663" s="304"/>
      <c r="B663" s="304"/>
      <c r="C663" s="304"/>
      <c r="D663" s="304"/>
      <c r="E663" s="304"/>
      <c r="F663" s="304"/>
      <c r="G663" s="304"/>
      <c r="H663" s="304"/>
      <c r="I663" s="304"/>
      <c r="J663" s="304"/>
      <c r="K663" s="304"/>
      <c r="L663" s="304"/>
      <c r="M663" s="304"/>
      <c r="N663" s="304"/>
      <c r="O663" s="304"/>
      <c r="P663" s="304"/>
      <c r="Q663" s="304"/>
      <c r="R663" s="304"/>
      <c r="S663" s="304"/>
      <c r="T663" s="304"/>
    </row>
    <row r="664">
      <c r="A664" s="304"/>
      <c r="B664" s="304"/>
      <c r="C664" s="304"/>
      <c r="D664" s="304"/>
      <c r="E664" s="304"/>
      <c r="F664" s="304"/>
      <c r="G664" s="304"/>
      <c r="H664" s="304"/>
      <c r="I664" s="304"/>
      <c r="J664" s="304"/>
      <c r="K664" s="304"/>
      <c r="L664" s="304"/>
      <c r="M664" s="304"/>
      <c r="N664" s="304"/>
      <c r="O664" s="304"/>
      <c r="P664" s="304"/>
      <c r="Q664" s="304"/>
      <c r="R664" s="304"/>
      <c r="S664" s="304"/>
      <c r="T664" s="304"/>
    </row>
    <row r="665">
      <c r="A665" s="304"/>
      <c r="B665" s="304"/>
      <c r="C665" s="304"/>
      <c r="D665" s="304"/>
      <c r="E665" s="304"/>
      <c r="F665" s="304"/>
      <c r="G665" s="304"/>
      <c r="H665" s="304"/>
      <c r="I665" s="304"/>
      <c r="J665" s="304"/>
      <c r="K665" s="304"/>
      <c r="L665" s="304"/>
      <c r="M665" s="304"/>
      <c r="N665" s="304"/>
      <c r="O665" s="304"/>
      <c r="P665" s="304"/>
      <c r="Q665" s="304"/>
      <c r="R665" s="304"/>
      <c r="S665" s="304"/>
      <c r="T665" s="304"/>
    </row>
    <row r="666">
      <c r="A666" s="304"/>
      <c r="B666" s="304"/>
      <c r="C666" s="304"/>
      <c r="D666" s="304"/>
      <c r="E666" s="304"/>
      <c r="F666" s="304"/>
      <c r="G666" s="304"/>
      <c r="H666" s="304"/>
      <c r="I666" s="304"/>
      <c r="J666" s="304"/>
      <c r="K666" s="304"/>
      <c r="L666" s="304"/>
      <c r="M666" s="304"/>
      <c r="N666" s="304"/>
      <c r="O666" s="304"/>
      <c r="P666" s="304"/>
      <c r="Q666" s="304"/>
      <c r="R666" s="304"/>
      <c r="S666" s="304"/>
      <c r="T666" s="304"/>
    </row>
    <row r="667">
      <c r="A667" s="304"/>
      <c r="B667" s="304"/>
      <c r="C667" s="304"/>
      <c r="D667" s="304"/>
      <c r="E667" s="304"/>
      <c r="F667" s="304"/>
      <c r="G667" s="304"/>
      <c r="H667" s="304"/>
      <c r="I667" s="304"/>
      <c r="J667" s="304"/>
      <c r="K667" s="304"/>
      <c r="L667" s="304"/>
      <c r="M667" s="304"/>
      <c r="N667" s="304"/>
      <c r="O667" s="304"/>
      <c r="P667" s="304"/>
      <c r="Q667" s="304"/>
      <c r="R667" s="304"/>
      <c r="S667" s="304"/>
      <c r="T667" s="304"/>
    </row>
    <row r="668">
      <c r="A668" s="304"/>
      <c r="B668" s="304"/>
      <c r="C668" s="304"/>
      <c r="D668" s="304"/>
      <c r="E668" s="304"/>
      <c r="F668" s="304"/>
      <c r="G668" s="304"/>
      <c r="H668" s="304"/>
      <c r="I668" s="304"/>
      <c r="J668" s="304"/>
      <c r="K668" s="304"/>
      <c r="L668" s="304"/>
      <c r="M668" s="304"/>
      <c r="N668" s="304"/>
      <c r="O668" s="304"/>
      <c r="P668" s="304"/>
      <c r="Q668" s="304"/>
      <c r="R668" s="304"/>
      <c r="S668" s="304"/>
      <c r="T668" s="304"/>
    </row>
    <row r="669">
      <c r="A669" s="304"/>
      <c r="B669" s="304"/>
      <c r="C669" s="304"/>
      <c r="D669" s="304"/>
      <c r="E669" s="304"/>
      <c r="F669" s="304"/>
      <c r="G669" s="304"/>
      <c r="H669" s="304"/>
      <c r="I669" s="304"/>
      <c r="J669" s="304"/>
      <c r="K669" s="304"/>
      <c r="L669" s="304"/>
      <c r="M669" s="304"/>
      <c r="N669" s="304"/>
      <c r="O669" s="304"/>
      <c r="P669" s="304"/>
      <c r="Q669" s="304"/>
      <c r="R669" s="304"/>
      <c r="S669" s="304"/>
      <c r="T669" s="304"/>
    </row>
    <row r="670">
      <c r="A670" s="304"/>
      <c r="B670" s="304"/>
      <c r="C670" s="304"/>
      <c r="D670" s="304"/>
      <c r="E670" s="304"/>
      <c r="F670" s="304"/>
      <c r="G670" s="304"/>
      <c r="H670" s="304"/>
      <c r="I670" s="304"/>
      <c r="J670" s="304"/>
      <c r="K670" s="304"/>
      <c r="L670" s="304"/>
      <c r="M670" s="304"/>
      <c r="N670" s="304"/>
      <c r="O670" s="304"/>
      <c r="P670" s="304"/>
      <c r="Q670" s="304"/>
      <c r="R670" s="304"/>
      <c r="S670" s="304"/>
      <c r="T670" s="304"/>
    </row>
    <row r="671">
      <c r="A671" s="304"/>
      <c r="B671" s="304"/>
      <c r="C671" s="304"/>
      <c r="D671" s="304"/>
      <c r="E671" s="304"/>
      <c r="F671" s="304"/>
      <c r="G671" s="304"/>
      <c r="H671" s="304"/>
      <c r="I671" s="304"/>
      <c r="J671" s="304"/>
      <c r="K671" s="304"/>
      <c r="L671" s="304"/>
      <c r="M671" s="304"/>
      <c r="N671" s="304"/>
      <c r="O671" s="304"/>
      <c r="P671" s="304"/>
      <c r="Q671" s="304"/>
      <c r="R671" s="304"/>
      <c r="S671" s="304"/>
      <c r="T671" s="304"/>
    </row>
    <row r="672">
      <c r="A672" s="304"/>
      <c r="B672" s="304"/>
      <c r="C672" s="304"/>
      <c r="D672" s="304"/>
      <c r="E672" s="304"/>
      <c r="F672" s="304"/>
      <c r="G672" s="304"/>
      <c r="H672" s="304"/>
      <c r="I672" s="304"/>
      <c r="J672" s="304"/>
      <c r="K672" s="304"/>
      <c r="L672" s="304"/>
      <c r="M672" s="304"/>
      <c r="N672" s="304"/>
      <c r="O672" s="304"/>
      <c r="P672" s="304"/>
      <c r="Q672" s="304"/>
      <c r="R672" s="304"/>
      <c r="S672" s="304"/>
      <c r="T672" s="304"/>
    </row>
    <row r="673">
      <c r="A673" s="304"/>
      <c r="B673" s="304"/>
      <c r="C673" s="304"/>
      <c r="D673" s="304"/>
      <c r="E673" s="304"/>
      <c r="F673" s="304"/>
      <c r="G673" s="304"/>
      <c r="H673" s="304"/>
      <c r="I673" s="304"/>
      <c r="J673" s="304"/>
      <c r="K673" s="304"/>
      <c r="L673" s="304"/>
      <c r="M673" s="304"/>
      <c r="N673" s="304"/>
      <c r="O673" s="304"/>
      <c r="P673" s="304"/>
      <c r="Q673" s="304"/>
      <c r="R673" s="304"/>
      <c r="S673" s="304"/>
      <c r="T673" s="304"/>
    </row>
    <row r="674">
      <c r="A674" s="304"/>
      <c r="B674" s="304"/>
      <c r="C674" s="304"/>
      <c r="D674" s="304"/>
      <c r="E674" s="304"/>
      <c r="F674" s="304"/>
      <c r="G674" s="304"/>
      <c r="H674" s="304"/>
      <c r="I674" s="304"/>
      <c r="J674" s="304"/>
      <c r="K674" s="304"/>
      <c r="L674" s="304"/>
      <c r="M674" s="304"/>
      <c r="N674" s="304"/>
      <c r="O674" s="304"/>
      <c r="P674" s="304"/>
      <c r="Q674" s="304"/>
      <c r="R674" s="304"/>
      <c r="S674" s="304"/>
      <c r="T674" s="304"/>
    </row>
    <row r="675">
      <c r="A675" s="304"/>
      <c r="B675" s="304"/>
      <c r="C675" s="304"/>
      <c r="D675" s="304"/>
      <c r="E675" s="304"/>
      <c r="F675" s="304"/>
      <c r="G675" s="304"/>
      <c r="H675" s="304"/>
      <c r="I675" s="304"/>
      <c r="J675" s="304"/>
      <c r="K675" s="304"/>
      <c r="L675" s="304"/>
      <c r="M675" s="304"/>
      <c r="N675" s="304"/>
      <c r="O675" s="304"/>
      <c r="P675" s="304"/>
      <c r="Q675" s="304"/>
      <c r="R675" s="304"/>
      <c r="S675" s="304"/>
      <c r="T675" s="304"/>
    </row>
    <row r="676">
      <c r="A676" s="304"/>
      <c r="B676" s="304"/>
      <c r="C676" s="304"/>
      <c r="D676" s="304"/>
      <c r="E676" s="304"/>
      <c r="F676" s="304"/>
      <c r="G676" s="304"/>
      <c r="H676" s="304"/>
      <c r="I676" s="304"/>
      <c r="J676" s="304"/>
      <c r="K676" s="304"/>
      <c r="L676" s="304"/>
      <c r="M676" s="304"/>
      <c r="N676" s="304"/>
      <c r="O676" s="304"/>
      <c r="P676" s="304"/>
      <c r="Q676" s="304"/>
      <c r="R676" s="304"/>
      <c r="S676" s="304"/>
      <c r="T676" s="304"/>
    </row>
    <row r="677">
      <c r="A677" s="304"/>
      <c r="B677" s="304"/>
      <c r="C677" s="304"/>
      <c r="D677" s="304"/>
      <c r="E677" s="304"/>
      <c r="F677" s="304"/>
      <c r="G677" s="304"/>
      <c r="H677" s="304"/>
      <c r="I677" s="304"/>
      <c r="J677" s="304"/>
      <c r="K677" s="304"/>
      <c r="L677" s="304"/>
      <c r="M677" s="304"/>
      <c r="N677" s="304"/>
      <c r="O677" s="304"/>
      <c r="P677" s="304"/>
      <c r="Q677" s="304"/>
      <c r="R677" s="304"/>
      <c r="S677" s="304"/>
      <c r="T677" s="304"/>
    </row>
    <row r="678">
      <c r="A678" s="304"/>
      <c r="B678" s="304"/>
      <c r="C678" s="304"/>
      <c r="D678" s="304"/>
      <c r="E678" s="304"/>
      <c r="F678" s="304"/>
      <c r="G678" s="304"/>
      <c r="H678" s="304"/>
      <c r="I678" s="304"/>
      <c r="J678" s="304"/>
      <c r="K678" s="304"/>
      <c r="L678" s="304"/>
      <c r="M678" s="304"/>
      <c r="N678" s="304"/>
      <c r="O678" s="304"/>
      <c r="P678" s="304"/>
      <c r="Q678" s="304"/>
      <c r="R678" s="304"/>
      <c r="S678" s="304"/>
      <c r="T678" s="304"/>
    </row>
    <row r="679">
      <c r="A679" s="304"/>
      <c r="B679" s="304"/>
      <c r="C679" s="304"/>
      <c r="D679" s="304"/>
      <c r="E679" s="304"/>
      <c r="F679" s="304"/>
      <c r="G679" s="304"/>
      <c r="H679" s="304"/>
      <c r="I679" s="304"/>
      <c r="J679" s="304"/>
      <c r="K679" s="304"/>
      <c r="L679" s="304"/>
      <c r="M679" s="304"/>
      <c r="N679" s="304"/>
      <c r="O679" s="304"/>
      <c r="P679" s="304"/>
      <c r="Q679" s="304"/>
      <c r="R679" s="304"/>
      <c r="S679" s="304"/>
      <c r="T679" s="304"/>
    </row>
    <row r="680">
      <c r="A680" s="304"/>
      <c r="B680" s="304"/>
      <c r="C680" s="304"/>
      <c r="D680" s="304"/>
      <c r="E680" s="304"/>
      <c r="F680" s="304"/>
      <c r="G680" s="304"/>
      <c r="H680" s="304"/>
      <c r="I680" s="304"/>
      <c r="J680" s="304"/>
      <c r="K680" s="304"/>
      <c r="L680" s="304"/>
      <c r="M680" s="304"/>
      <c r="N680" s="304"/>
      <c r="O680" s="304"/>
      <c r="P680" s="304"/>
      <c r="Q680" s="304"/>
      <c r="R680" s="304"/>
      <c r="S680" s="304"/>
      <c r="T680" s="304"/>
    </row>
    <row r="681">
      <c r="A681" s="304"/>
      <c r="B681" s="304"/>
      <c r="C681" s="304"/>
      <c r="D681" s="304"/>
      <c r="E681" s="304"/>
      <c r="F681" s="304"/>
      <c r="G681" s="304"/>
      <c r="H681" s="304"/>
      <c r="I681" s="304"/>
      <c r="J681" s="304"/>
      <c r="K681" s="304"/>
      <c r="L681" s="304"/>
      <c r="M681" s="304"/>
      <c r="N681" s="304"/>
      <c r="O681" s="304"/>
      <c r="P681" s="304"/>
      <c r="Q681" s="304"/>
      <c r="R681" s="304"/>
      <c r="S681" s="304"/>
      <c r="T681" s="304"/>
    </row>
    <row r="682">
      <c r="A682" s="304"/>
      <c r="B682" s="304"/>
      <c r="C682" s="304"/>
      <c r="D682" s="304"/>
      <c r="E682" s="304"/>
      <c r="F682" s="304"/>
      <c r="G682" s="304"/>
      <c r="H682" s="304"/>
      <c r="I682" s="304"/>
      <c r="J682" s="304"/>
      <c r="K682" s="304"/>
      <c r="L682" s="304"/>
      <c r="M682" s="304"/>
      <c r="N682" s="304"/>
      <c r="O682" s="304"/>
      <c r="P682" s="304"/>
      <c r="Q682" s="304"/>
      <c r="R682" s="304"/>
      <c r="S682" s="304"/>
      <c r="T682" s="304"/>
    </row>
    <row r="683">
      <c r="A683" s="304"/>
      <c r="B683" s="304"/>
      <c r="C683" s="304"/>
      <c r="D683" s="304"/>
      <c r="E683" s="304"/>
      <c r="F683" s="304"/>
      <c r="G683" s="304"/>
      <c r="H683" s="304"/>
      <c r="I683" s="304"/>
      <c r="J683" s="304"/>
      <c r="K683" s="304"/>
      <c r="L683" s="304"/>
      <c r="M683" s="304"/>
      <c r="N683" s="304"/>
      <c r="O683" s="304"/>
      <c r="P683" s="304"/>
      <c r="Q683" s="304"/>
      <c r="R683" s="304"/>
      <c r="S683" s="304"/>
      <c r="T683" s="304"/>
    </row>
    <row r="684">
      <c r="A684" s="304"/>
      <c r="B684" s="304"/>
      <c r="C684" s="304"/>
      <c r="D684" s="304"/>
      <c r="E684" s="304"/>
      <c r="F684" s="304"/>
      <c r="G684" s="304"/>
      <c r="H684" s="304"/>
      <c r="I684" s="304"/>
      <c r="J684" s="304"/>
      <c r="K684" s="304"/>
      <c r="L684" s="304"/>
      <c r="M684" s="304"/>
      <c r="N684" s="304"/>
      <c r="O684" s="304"/>
      <c r="P684" s="304"/>
      <c r="Q684" s="304"/>
      <c r="R684" s="304"/>
      <c r="S684" s="304"/>
      <c r="T684" s="304"/>
    </row>
    <row r="685">
      <c r="A685" s="304"/>
      <c r="B685" s="304"/>
      <c r="C685" s="304"/>
      <c r="D685" s="304"/>
      <c r="E685" s="304"/>
      <c r="F685" s="304"/>
      <c r="G685" s="304"/>
      <c r="H685" s="304"/>
      <c r="I685" s="304"/>
      <c r="J685" s="304"/>
      <c r="K685" s="304"/>
      <c r="L685" s="304"/>
      <c r="M685" s="304"/>
      <c r="N685" s="304"/>
      <c r="O685" s="304"/>
      <c r="P685" s="304"/>
      <c r="Q685" s="304"/>
      <c r="R685" s="304"/>
      <c r="S685" s="304"/>
      <c r="T685" s="304"/>
    </row>
    <row r="686">
      <c r="A686" s="304"/>
      <c r="B686" s="304"/>
      <c r="C686" s="304"/>
      <c r="D686" s="304"/>
      <c r="E686" s="304"/>
      <c r="F686" s="304"/>
      <c r="G686" s="304"/>
      <c r="H686" s="304"/>
      <c r="I686" s="304"/>
      <c r="J686" s="304"/>
      <c r="K686" s="304"/>
      <c r="L686" s="304"/>
      <c r="M686" s="304"/>
      <c r="N686" s="304"/>
      <c r="O686" s="304"/>
      <c r="P686" s="304"/>
      <c r="Q686" s="304"/>
      <c r="R686" s="304"/>
      <c r="S686" s="304"/>
      <c r="T686" s="304"/>
    </row>
    <row r="687">
      <c r="A687" s="304"/>
      <c r="B687" s="304"/>
      <c r="C687" s="304"/>
      <c r="D687" s="304"/>
      <c r="E687" s="304"/>
      <c r="F687" s="304"/>
      <c r="G687" s="304"/>
      <c r="H687" s="304"/>
      <c r="I687" s="304"/>
      <c r="J687" s="304"/>
      <c r="K687" s="304"/>
      <c r="L687" s="304"/>
      <c r="M687" s="304"/>
      <c r="N687" s="304"/>
      <c r="O687" s="304"/>
      <c r="P687" s="304"/>
      <c r="Q687" s="304"/>
      <c r="R687" s="304"/>
      <c r="S687" s="304"/>
      <c r="T687" s="304"/>
    </row>
    <row r="688">
      <c r="A688" s="304"/>
      <c r="B688" s="304"/>
      <c r="C688" s="304"/>
      <c r="D688" s="304"/>
      <c r="E688" s="304"/>
      <c r="F688" s="304"/>
      <c r="G688" s="304"/>
      <c r="H688" s="304"/>
      <c r="I688" s="304"/>
      <c r="J688" s="304"/>
      <c r="K688" s="304"/>
      <c r="L688" s="304"/>
      <c r="M688" s="304"/>
      <c r="N688" s="304"/>
      <c r="O688" s="304"/>
      <c r="P688" s="304"/>
      <c r="Q688" s="304"/>
      <c r="R688" s="304"/>
      <c r="S688" s="304"/>
      <c r="T688" s="304"/>
    </row>
    <row r="689">
      <c r="A689" s="304"/>
      <c r="B689" s="304"/>
      <c r="C689" s="304"/>
      <c r="D689" s="304"/>
      <c r="E689" s="304"/>
      <c r="F689" s="304"/>
      <c r="G689" s="304"/>
      <c r="H689" s="304"/>
      <c r="I689" s="304"/>
      <c r="J689" s="304"/>
      <c r="K689" s="304"/>
      <c r="L689" s="304"/>
      <c r="M689" s="304"/>
      <c r="N689" s="304"/>
      <c r="O689" s="304"/>
      <c r="P689" s="304"/>
      <c r="Q689" s="304"/>
      <c r="R689" s="304"/>
      <c r="S689" s="304"/>
      <c r="T689" s="304"/>
    </row>
    <row r="690">
      <c r="A690" s="304"/>
      <c r="B690" s="304"/>
      <c r="C690" s="304"/>
      <c r="D690" s="304"/>
      <c r="E690" s="304"/>
      <c r="F690" s="304"/>
      <c r="G690" s="304"/>
      <c r="H690" s="304"/>
      <c r="I690" s="304"/>
      <c r="J690" s="304"/>
      <c r="K690" s="304"/>
      <c r="L690" s="304"/>
      <c r="M690" s="304"/>
      <c r="N690" s="304"/>
      <c r="O690" s="304"/>
      <c r="P690" s="304"/>
      <c r="Q690" s="304"/>
      <c r="R690" s="304"/>
      <c r="S690" s="304"/>
      <c r="T690" s="304"/>
    </row>
    <row r="691">
      <c r="A691" s="304"/>
      <c r="B691" s="304"/>
      <c r="C691" s="304"/>
      <c r="D691" s="304"/>
      <c r="E691" s="304"/>
      <c r="F691" s="304"/>
      <c r="G691" s="304"/>
      <c r="H691" s="304"/>
      <c r="I691" s="304"/>
      <c r="J691" s="304"/>
      <c r="K691" s="304"/>
      <c r="L691" s="304"/>
      <c r="M691" s="304"/>
      <c r="N691" s="304"/>
      <c r="O691" s="304"/>
      <c r="P691" s="304"/>
      <c r="Q691" s="304"/>
      <c r="R691" s="304"/>
      <c r="S691" s="304"/>
      <c r="T691" s="304"/>
    </row>
    <row r="692">
      <c r="A692" s="304"/>
      <c r="B692" s="304"/>
      <c r="C692" s="304"/>
      <c r="D692" s="304"/>
      <c r="E692" s="304"/>
      <c r="F692" s="304"/>
      <c r="G692" s="304"/>
      <c r="H692" s="304"/>
      <c r="I692" s="304"/>
      <c r="J692" s="304"/>
      <c r="K692" s="304"/>
      <c r="L692" s="304"/>
      <c r="M692" s="304"/>
      <c r="N692" s="304"/>
      <c r="O692" s="304"/>
      <c r="P692" s="304"/>
      <c r="Q692" s="304"/>
      <c r="R692" s="304"/>
      <c r="S692" s="304"/>
      <c r="T692" s="304"/>
    </row>
    <row r="693">
      <c r="A693" s="304"/>
      <c r="B693" s="304"/>
      <c r="C693" s="304"/>
      <c r="D693" s="304"/>
      <c r="E693" s="304"/>
      <c r="F693" s="304"/>
      <c r="G693" s="304"/>
      <c r="H693" s="304"/>
      <c r="I693" s="304"/>
      <c r="J693" s="304"/>
      <c r="K693" s="304"/>
      <c r="L693" s="304"/>
      <c r="M693" s="304"/>
      <c r="N693" s="304"/>
      <c r="O693" s="304"/>
      <c r="P693" s="304"/>
      <c r="Q693" s="304"/>
      <c r="R693" s="304"/>
      <c r="S693" s="304"/>
      <c r="T693" s="304"/>
    </row>
    <row r="694">
      <c r="A694" s="304"/>
      <c r="B694" s="304"/>
      <c r="C694" s="304"/>
      <c r="D694" s="304"/>
      <c r="E694" s="304"/>
      <c r="F694" s="304"/>
      <c r="G694" s="304"/>
      <c r="H694" s="304"/>
      <c r="I694" s="304"/>
      <c r="J694" s="304"/>
      <c r="K694" s="304"/>
      <c r="L694" s="304"/>
      <c r="M694" s="304"/>
      <c r="N694" s="304"/>
      <c r="O694" s="304"/>
      <c r="P694" s="304"/>
      <c r="Q694" s="304"/>
      <c r="R694" s="304"/>
      <c r="S694" s="304"/>
      <c r="T694" s="304"/>
    </row>
    <row r="695">
      <c r="A695" s="304"/>
      <c r="B695" s="304"/>
      <c r="C695" s="304"/>
      <c r="D695" s="304"/>
      <c r="E695" s="304"/>
      <c r="F695" s="304"/>
      <c r="G695" s="304"/>
      <c r="H695" s="304"/>
      <c r="I695" s="304"/>
      <c r="J695" s="304"/>
      <c r="K695" s="304"/>
      <c r="L695" s="304"/>
      <c r="M695" s="304"/>
      <c r="N695" s="304"/>
      <c r="O695" s="304"/>
      <c r="P695" s="304"/>
      <c r="Q695" s="304"/>
      <c r="R695" s="304"/>
      <c r="S695" s="304"/>
      <c r="T695" s="304"/>
    </row>
    <row r="696">
      <c r="A696" s="304"/>
      <c r="B696" s="304"/>
      <c r="C696" s="304"/>
      <c r="D696" s="304"/>
      <c r="E696" s="304"/>
      <c r="F696" s="304"/>
      <c r="G696" s="304"/>
      <c r="H696" s="304"/>
      <c r="I696" s="304"/>
      <c r="J696" s="304"/>
      <c r="K696" s="304"/>
      <c r="L696" s="304"/>
      <c r="M696" s="304"/>
      <c r="N696" s="304"/>
      <c r="O696" s="304"/>
      <c r="P696" s="304"/>
      <c r="Q696" s="304"/>
      <c r="R696" s="304"/>
      <c r="S696" s="304"/>
      <c r="T696" s="304"/>
    </row>
    <row r="697">
      <c r="A697" s="304"/>
      <c r="B697" s="304"/>
      <c r="C697" s="304"/>
      <c r="D697" s="304"/>
      <c r="E697" s="304"/>
      <c r="F697" s="304"/>
      <c r="G697" s="304"/>
      <c r="H697" s="304"/>
      <c r="I697" s="304"/>
      <c r="J697" s="304"/>
      <c r="K697" s="304"/>
      <c r="L697" s="304"/>
      <c r="M697" s="304"/>
      <c r="N697" s="304"/>
      <c r="O697" s="304"/>
      <c r="P697" s="304"/>
      <c r="Q697" s="304"/>
      <c r="R697" s="304"/>
      <c r="S697" s="304"/>
      <c r="T697" s="304"/>
    </row>
    <row r="698">
      <c r="A698" s="304"/>
      <c r="B698" s="304"/>
      <c r="C698" s="304"/>
      <c r="D698" s="304"/>
      <c r="E698" s="304"/>
      <c r="F698" s="304"/>
      <c r="G698" s="304"/>
      <c r="H698" s="304"/>
      <c r="I698" s="304"/>
      <c r="J698" s="304"/>
      <c r="K698" s="304"/>
      <c r="L698" s="304"/>
      <c r="M698" s="304"/>
      <c r="N698" s="304"/>
      <c r="O698" s="304"/>
      <c r="P698" s="304"/>
      <c r="Q698" s="304"/>
      <c r="R698" s="304"/>
      <c r="S698" s="304"/>
      <c r="T698" s="304"/>
    </row>
    <row r="699">
      <c r="A699" s="304"/>
      <c r="B699" s="304"/>
      <c r="C699" s="304"/>
      <c r="D699" s="304"/>
      <c r="E699" s="304"/>
      <c r="F699" s="304"/>
      <c r="G699" s="304"/>
      <c r="H699" s="304"/>
      <c r="I699" s="304"/>
      <c r="J699" s="304"/>
      <c r="K699" s="304"/>
      <c r="L699" s="304"/>
      <c r="M699" s="304"/>
      <c r="N699" s="304"/>
      <c r="O699" s="304"/>
      <c r="P699" s="304"/>
      <c r="Q699" s="304"/>
      <c r="R699" s="304"/>
      <c r="S699" s="304"/>
      <c r="T699" s="304"/>
    </row>
    <row r="700">
      <c r="A700" s="304"/>
      <c r="B700" s="304"/>
      <c r="C700" s="304"/>
      <c r="D700" s="304"/>
      <c r="E700" s="304"/>
      <c r="F700" s="304"/>
      <c r="G700" s="304"/>
      <c r="H700" s="304"/>
      <c r="I700" s="304"/>
      <c r="J700" s="304"/>
      <c r="K700" s="304"/>
      <c r="L700" s="304"/>
      <c r="M700" s="304"/>
      <c r="N700" s="304"/>
      <c r="O700" s="304"/>
      <c r="P700" s="304"/>
      <c r="Q700" s="304"/>
      <c r="R700" s="304"/>
      <c r="S700" s="304"/>
      <c r="T700" s="304"/>
    </row>
    <row r="701">
      <c r="A701" s="304"/>
      <c r="B701" s="304"/>
      <c r="C701" s="304"/>
      <c r="D701" s="304"/>
      <c r="E701" s="304"/>
      <c r="F701" s="304"/>
      <c r="G701" s="304"/>
      <c r="H701" s="304"/>
      <c r="I701" s="304"/>
      <c r="J701" s="304"/>
      <c r="K701" s="304"/>
      <c r="L701" s="304"/>
      <c r="M701" s="304"/>
      <c r="N701" s="304"/>
      <c r="O701" s="304"/>
      <c r="P701" s="304"/>
      <c r="Q701" s="304"/>
      <c r="R701" s="304"/>
      <c r="S701" s="304"/>
      <c r="T701" s="304"/>
    </row>
    <row r="702">
      <c r="A702" s="304"/>
      <c r="B702" s="304"/>
      <c r="C702" s="304"/>
      <c r="D702" s="304"/>
      <c r="E702" s="304"/>
      <c r="F702" s="304"/>
      <c r="G702" s="304"/>
      <c r="H702" s="304"/>
      <c r="I702" s="304"/>
      <c r="J702" s="304"/>
      <c r="K702" s="304"/>
      <c r="L702" s="304"/>
      <c r="M702" s="304"/>
      <c r="N702" s="304"/>
      <c r="O702" s="304"/>
      <c r="P702" s="304"/>
      <c r="Q702" s="304"/>
      <c r="R702" s="304"/>
      <c r="S702" s="304"/>
      <c r="T702" s="304"/>
    </row>
    <row r="703">
      <c r="A703" s="304"/>
      <c r="B703" s="304"/>
      <c r="C703" s="304"/>
      <c r="D703" s="304"/>
      <c r="E703" s="304"/>
      <c r="F703" s="304"/>
      <c r="G703" s="304"/>
      <c r="H703" s="304"/>
      <c r="I703" s="304"/>
      <c r="J703" s="304"/>
      <c r="K703" s="304"/>
      <c r="L703" s="304"/>
      <c r="M703" s="304"/>
      <c r="N703" s="304"/>
      <c r="O703" s="304"/>
      <c r="P703" s="304"/>
      <c r="Q703" s="304"/>
      <c r="R703" s="304"/>
      <c r="S703" s="304"/>
      <c r="T703" s="304"/>
    </row>
    <row r="704">
      <c r="A704" s="304"/>
      <c r="B704" s="304"/>
      <c r="C704" s="304"/>
      <c r="D704" s="304"/>
      <c r="E704" s="304"/>
      <c r="F704" s="304"/>
      <c r="G704" s="304"/>
      <c r="H704" s="304"/>
      <c r="I704" s="304"/>
      <c r="J704" s="304"/>
      <c r="K704" s="304"/>
      <c r="L704" s="304"/>
      <c r="M704" s="304"/>
      <c r="N704" s="304"/>
      <c r="O704" s="304"/>
      <c r="P704" s="304"/>
      <c r="Q704" s="304"/>
      <c r="R704" s="304"/>
      <c r="S704" s="304"/>
      <c r="T704" s="304"/>
    </row>
    <row r="705">
      <c r="A705" s="304"/>
      <c r="B705" s="304"/>
      <c r="C705" s="304"/>
      <c r="D705" s="304"/>
      <c r="E705" s="304"/>
      <c r="F705" s="304"/>
      <c r="G705" s="304"/>
      <c r="H705" s="304"/>
      <c r="I705" s="304"/>
      <c r="J705" s="304"/>
      <c r="K705" s="304"/>
      <c r="L705" s="304"/>
      <c r="M705" s="304"/>
      <c r="N705" s="304"/>
      <c r="O705" s="304"/>
      <c r="P705" s="304"/>
      <c r="Q705" s="304"/>
      <c r="R705" s="304"/>
      <c r="S705" s="304"/>
      <c r="T705" s="304"/>
    </row>
    <row r="706">
      <c r="A706" s="304"/>
      <c r="B706" s="304"/>
      <c r="C706" s="304"/>
      <c r="D706" s="304"/>
      <c r="E706" s="304"/>
      <c r="F706" s="304"/>
      <c r="G706" s="304"/>
      <c r="H706" s="304"/>
      <c r="I706" s="304"/>
      <c r="J706" s="304"/>
      <c r="K706" s="304"/>
      <c r="L706" s="304"/>
      <c r="M706" s="304"/>
      <c r="N706" s="304"/>
      <c r="O706" s="304"/>
      <c r="P706" s="304"/>
      <c r="Q706" s="304"/>
      <c r="R706" s="304"/>
      <c r="S706" s="304"/>
      <c r="T706" s="304"/>
    </row>
    <row r="707">
      <c r="A707" s="304"/>
      <c r="B707" s="304"/>
      <c r="C707" s="304"/>
      <c r="D707" s="304"/>
      <c r="E707" s="304"/>
      <c r="F707" s="304"/>
      <c r="G707" s="304"/>
      <c r="H707" s="304"/>
      <c r="I707" s="304"/>
      <c r="J707" s="304"/>
      <c r="K707" s="304"/>
      <c r="L707" s="304"/>
      <c r="M707" s="304"/>
      <c r="N707" s="304"/>
      <c r="O707" s="304"/>
      <c r="P707" s="304"/>
      <c r="Q707" s="304"/>
      <c r="R707" s="304"/>
      <c r="S707" s="304"/>
      <c r="T707" s="304"/>
    </row>
    <row r="708">
      <c r="A708" s="304"/>
      <c r="B708" s="304"/>
      <c r="C708" s="304"/>
      <c r="D708" s="304"/>
      <c r="E708" s="304"/>
      <c r="F708" s="304"/>
      <c r="G708" s="304"/>
      <c r="H708" s="304"/>
      <c r="I708" s="304"/>
      <c r="J708" s="304"/>
      <c r="K708" s="304"/>
      <c r="L708" s="304"/>
      <c r="M708" s="304"/>
      <c r="N708" s="304"/>
      <c r="O708" s="304"/>
      <c r="P708" s="304"/>
      <c r="Q708" s="304"/>
      <c r="R708" s="304"/>
      <c r="S708" s="304"/>
      <c r="T708" s="304"/>
    </row>
    <row r="709">
      <c r="A709" s="304"/>
      <c r="B709" s="304"/>
      <c r="C709" s="304"/>
      <c r="D709" s="304"/>
      <c r="E709" s="304"/>
      <c r="F709" s="304"/>
      <c r="G709" s="304"/>
      <c r="H709" s="304"/>
      <c r="I709" s="304"/>
      <c r="J709" s="304"/>
      <c r="K709" s="304"/>
      <c r="L709" s="304"/>
      <c r="M709" s="304"/>
      <c r="N709" s="304"/>
      <c r="O709" s="304"/>
      <c r="P709" s="304"/>
      <c r="Q709" s="304"/>
      <c r="R709" s="304"/>
      <c r="S709" s="304"/>
      <c r="T709" s="304"/>
    </row>
    <row r="710">
      <c r="A710" s="304"/>
      <c r="B710" s="304"/>
      <c r="C710" s="304"/>
      <c r="D710" s="304"/>
      <c r="E710" s="304"/>
      <c r="F710" s="304"/>
      <c r="G710" s="304"/>
      <c r="H710" s="304"/>
      <c r="I710" s="304"/>
      <c r="J710" s="304"/>
      <c r="K710" s="304"/>
      <c r="L710" s="304"/>
      <c r="M710" s="304"/>
      <c r="N710" s="304"/>
      <c r="O710" s="304"/>
      <c r="P710" s="304"/>
      <c r="Q710" s="304"/>
      <c r="R710" s="304"/>
      <c r="S710" s="304"/>
      <c r="T710" s="304"/>
    </row>
    <row r="711">
      <c r="A711" s="304"/>
      <c r="B711" s="304"/>
      <c r="C711" s="304"/>
      <c r="D711" s="304"/>
      <c r="E711" s="304"/>
      <c r="F711" s="304"/>
      <c r="G711" s="304"/>
      <c r="H711" s="304"/>
      <c r="I711" s="304"/>
      <c r="J711" s="304"/>
      <c r="K711" s="304"/>
      <c r="L711" s="304"/>
      <c r="M711" s="304"/>
      <c r="N711" s="304"/>
      <c r="O711" s="304"/>
      <c r="P711" s="304"/>
      <c r="Q711" s="304"/>
      <c r="R711" s="304"/>
      <c r="S711" s="304"/>
      <c r="T711" s="304"/>
    </row>
    <row r="712">
      <c r="A712" s="304"/>
      <c r="B712" s="304"/>
      <c r="C712" s="304"/>
      <c r="D712" s="304"/>
      <c r="E712" s="304"/>
      <c r="F712" s="304"/>
      <c r="G712" s="304"/>
      <c r="H712" s="304"/>
      <c r="I712" s="304"/>
      <c r="J712" s="304"/>
      <c r="K712" s="304"/>
      <c r="L712" s="304"/>
      <c r="M712" s="304"/>
      <c r="N712" s="304"/>
      <c r="O712" s="304"/>
      <c r="P712" s="304"/>
      <c r="Q712" s="304"/>
      <c r="R712" s="304"/>
      <c r="S712" s="304"/>
      <c r="T712" s="304"/>
    </row>
    <row r="713">
      <c r="A713" s="304"/>
      <c r="B713" s="304"/>
      <c r="C713" s="304"/>
      <c r="D713" s="304"/>
      <c r="E713" s="304"/>
      <c r="F713" s="304"/>
      <c r="G713" s="304"/>
      <c r="H713" s="304"/>
      <c r="I713" s="304"/>
      <c r="J713" s="304"/>
      <c r="K713" s="304"/>
      <c r="L713" s="304"/>
      <c r="M713" s="304"/>
      <c r="N713" s="304"/>
      <c r="O713" s="304"/>
      <c r="P713" s="304"/>
      <c r="Q713" s="304"/>
      <c r="R713" s="304"/>
      <c r="S713" s="304"/>
      <c r="T713" s="304"/>
    </row>
    <row r="714">
      <c r="A714" s="304"/>
      <c r="B714" s="304"/>
      <c r="C714" s="304"/>
      <c r="D714" s="304"/>
      <c r="E714" s="304"/>
      <c r="F714" s="304"/>
      <c r="G714" s="304"/>
      <c r="H714" s="304"/>
      <c r="I714" s="304"/>
      <c r="J714" s="304"/>
      <c r="K714" s="304"/>
      <c r="L714" s="304"/>
      <c r="M714" s="304"/>
      <c r="N714" s="304"/>
      <c r="O714" s="304"/>
      <c r="P714" s="304"/>
      <c r="Q714" s="304"/>
      <c r="R714" s="304"/>
      <c r="S714" s="304"/>
      <c r="T714" s="304"/>
    </row>
    <row r="715">
      <c r="A715" s="304"/>
      <c r="B715" s="304"/>
      <c r="C715" s="304"/>
      <c r="D715" s="304"/>
      <c r="E715" s="304"/>
      <c r="F715" s="304"/>
      <c r="G715" s="304"/>
      <c r="H715" s="304"/>
      <c r="I715" s="304"/>
      <c r="J715" s="304"/>
      <c r="K715" s="304"/>
      <c r="L715" s="304"/>
      <c r="M715" s="304"/>
      <c r="N715" s="304"/>
      <c r="O715" s="304"/>
      <c r="P715" s="304"/>
      <c r="Q715" s="304"/>
      <c r="R715" s="304"/>
      <c r="S715" s="304"/>
      <c r="T715" s="304"/>
    </row>
    <row r="716">
      <c r="A716" s="304"/>
      <c r="B716" s="304"/>
      <c r="C716" s="304"/>
      <c r="D716" s="304"/>
      <c r="E716" s="304"/>
      <c r="F716" s="304"/>
      <c r="G716" s="304"/>
      <c r="H716" s="304"/>
      <c r="I716" s="304"/>
      <c r="J716" s="304"/>
      <c r="K716" s="304"/>
      <c r="L716" s="304"/>
      <c r="M716" s="304"/>
      <c r="N716" s="304"/>
      <c r="O716" s="304"/>
      <c r="P716" s="304"/>
      <c r="Q716" s="304"/>
      <c r="R716" s="304"/>
      <c r="S716" s="304"/>
      <c r="T716" s="304"/>
    </row>
    <row r="717">
      <c r="A717" s="304"/>
      <c r="B717" s="304"/>
      <c r="C717" s="304"/>
      <c r="D717" s="304"/>
      <c r="E717" s="304"/>
      <c r="F717" s="304"/>
      <c r="G717" s="304"/>
      <c r="H717" s="304"/>
      <c r="I717" s="304"/>
      <c r="J717" s="304"/>
      <c r="K717" s="304"/>
      <c r="L717" s="304"/>
      <c r="M717" s="304"/>
      <c r="N717" s="304"/>
      <c r="O717" s="304"/>
      <c r="P717" s="304"/>
      <c r="Q717" s="304"/>
      <c r="R717" s="304"/>
      <c r="S717" s="304"/>
      <c r="T717" s="304"/>
    </row>
    <row r="718">
      <c r="A718" s="304"/>
      <c r="B718" s="304"/>
      <c r="C718" s="304"/>
      <c r="D718" s="304"/>
      <c r="E718" s="304"/>
      <c r="F718" s="304"/>
      <c r="G718" s="304"/>
      <c r="H718" s="304"/>
      <c r="I718" s="304"/>
      <c r="J718" s="304"/>
      <c r="K718" s="304"/>
      <c r="L718" s="304"/>
      <c r="M718" s="304"/>
      <c r="N718" s="304"/>
      <c r="O718" s="304"/>
      <c r="P718" s="304"/>
      <c r="Q718" s="304"/>
      <c r="R718" s="304"/>
      <c r="S718" s="304"/>
      <c r="T718" s="304"/>
    </row>
    <row r="719">
      <c r="A719" s="304"/>
      <c r="B719" s="304"/>
      <c r="C719" s="304"/>
      <c r="D719" s="304"/>
      <c r="E719" s="304"/>
      <c r="F719" s="304"/>
      <c r="G719" s="304"/>
      <c r="H719" s="304"/>
      <c r="I719" s="304"/>
      <c r="J719" s="304"/>
      <c r="K719" s="304"/>
      <c r="L719" s="304"/>
      <c r="M719" s="304"/>
      <c r="N719" s="304"/>
      <c r="O719" s="304"/>
      <c r="P719" s="304"/>
      <c r="Q719" s="304"/>
      <c r="R719" s="304"/>
      <c r="S719" s="304"/>
      <c r="T719" s="304"/>
    </row>
    <row r="720">
      <c r="A720" s="304"/>
      <c r="B720" s="304"/>
      <c r="C720" s="304"/>
      <c r="D720" s="304"/>
      <c r="E720" s="304"/>
      <c r="F720" s="304"/>
      <c r="G720" s="304"/>
      <c r="H720" s="304"/>
      <c r="I720" s="304"/>
      <c r="J720" s="304"/>
      <c r="K720" s="304"/>
      <c r="L720" s="304"/>
      <c r="M720" s="304"/>
      <c r="N720" s="304"/>
      <c r="O720" s="304"/>
      <c r="P720" s="304"/>
      <c r="Q720" s="304"/>
      <c r="R720" s="304"/>
      <c r="S720" s="304"/>
      <c r="T720" s="304"/>
    </row>
    <row r="721">
      <c r="A721" s="304"/>
      <c r="B721" s="304"/>
      <c r="C721" s="304"/>
      <c r="D721" s="304"/>
      <c r="E721" s="304"/>
      <c r="F721" s="304"/>
      <c r="G721" s="304"/>
      <c r="H721" s="304"/>
      <c r="I721" s="304"/>
      <c r="J721" s="304"/>
      <c r="K721" s="304"/>
      <c r="L721" s="304"/>
      <c r="M721" s="304"/>
      <c r="N721" s="304"/>
      <c r="O721" s="304"/>
      <c r="P721" s="304"/>
      <c r="Q721" s="304"/>
      <c r="R721" s="304"/>
      <c r="S721" s="304"/>
      <c r="T721" s="304"/>
    </row>
    <row r="722">
      <c r="A722" s="304"/>
      <c r="B722" s="304"/>
      <c r="C722" s="304"/>
      <c r="D722" s="304"/>
      <c r="E722" s="304"/>
      <c r="F722" s="304"/>
      <c r="G722" s="304"/>
      <c r="H722" s="304"/>
      <c r="I722" s="304"/>
      <c r="J722" s="304"/>
      <c r="K722" s="304"/>
      <c r="L722" s="304"/>
      <c r="M722" s="304"/>
      <c r="N722" s="304"/>
      <c r="O722" s="304"/>
      <c r="P722" s="304"/>
      <c r="Q722" s="304"/>
      <c r="R722" s="304"/>
      <c r="S722" s="304"/>
      <c r="T722" s="304"/>
    </row>
    <row r="723">
      <c r="A723" s="304"/>
      <c r="B723" s="304"/>
      <c r="C723" s="304"/>
      <c r="D723" s="304"/>
      <c r="E723" s="304"/>
      <c r="F723" s="304"/>
      <c r="G723" s="304"/>
      <c r="H723" s="304"/>
      <c r="I723" s="304"/>
      <c r="J723" s="304"/>
      <c r="K723" s="304"/>
      <c r="L723" s="304"/>
      <c r="M723" s="304"/>
      <c r="N723" s="304"/>
      <c r="O723" s="304"/>
      <c r="P723" s="304"/>
      <c r="Q723" s="304"/>
      <c r="R723" s="304"/>
      <c r="S723" s="304"/>
      <c r="T723" s="304"/>
    </row>
    <row r="724">
      <c r="A724" s="304"/>
      <c r="B724" s="304"/>
      <c r="C724" s="304"/>
      <c r="D724" s="304"/>
      <c r="E724" s="304"/>
      <c r="F724" s="304"/>
      <c r="G724" s="304"/>
      <c r="H724" s="304"/>
      <c r="I724" s="304"/>
      <c r="J724" s="304"/>
      <c r="K724" s="304"/>
      <c r="L724" s="304"/>
      <c r="M724" s="304"/>
      <c r="N724" s="304"/>
      <c r="O724" s="304"/>
      <c r="P724" s="304"/>
      <c r="Q724" s="304"/>
      <c r="R724" s="304"/>
      <c r="S724" s="304"/>
      <c r="T724" s="304"/>
    </row>
    <row r="725">
      <c r="A725" s="304"/>
      <c r="B725" s="304"/>
      <c r="C725" s="304"/>
      <c r="D725" s="304"/>
      <c r="E725" s="304"/>
      <c r="F725" s="304"/>
      <c r="G725" s="304"/>
      <c r="H725" s="304"/>
      <c r="I725" s="304"/>
      <c r="J725" s="304"/>
      <c r="K725" s="304"/>
      <c r="L725" s="304"/>
      <c r="M725" s="304"/>
      <c r="N725" s="304"/>
      <c r="O725" s="304"/>
      <c r="P725" s="304"/>
      <c r="Q725" s="304"/>
      <c r="R725" s="304"/>
      <c r="S725" s="304"/>
      <c r="T725" s="304"/>
    </row>
    <row r="726">
      <c r="A726" s="304"/>
      <c r="B726" s="304"/>
      <c r="C726" s="304"/>
      <c r="D726" s="304"/>
      <c r="E726" s="304"/>
      <c r="F726" s="304"/>
      <c r="G726" s="304"/>
      <c r="H726" s="304"/>
      <c r="I726" s="304"/>
      <c r="J726" s="304"/>
      <c r="K726" s="304"/>
      <c r="L726" s="304"/>
      <c r="M726" s="304"/>
      <c r="N726" s="304"/>
      <c r="O726" s="304"/>
      <c r="P726" s="304"/>
      <c r="Q726" s="304"/>
      <c r="R726" s="304"/>
      <c r="S726" s="304"/>
      <c r="T726" s="304"/>
    </row>
    <row r="727">
      <c r="A727" s="304"/>
      <c r="B727" s="304"/>
      <c r="C727" s="304"/>
      <c r="D727" s="304"/>
      <c r="E727" s="304"/>
      <c r="F727" s="304"/>
      <c r="G727" s="304"/>
      <c r="H727" s="304"/>
      <c r="I727" s="304"/>
      <c r="J727" s="304"/>
      <c r="K727" s="304"/>
      <c r="L727" s="304"/>
      <c r="M727" s="304"/>
      <c r="N727" s="304"/>
      <c r="O727" s="304"/>
      <c r="P727" s="304"/>
      <c r="Q727" s="304"/>
      <c r="R727" s="304"/>
      <c r="S727" s="304"/>
      <c r="T727" s="304"/>
    </row>
    <row r="728">
      <c r="A728" s="304"/>
      <c r="B728" s="304"/>
      <c r="C728" s="304"/>
      <c r="D728" s="304"/>
      <c r="E728" s="304"/>
      <c r="F728" s="304"/>
      <c r="G728" s="304"/>
      <c r="H728" s="304"/>
      <c r="I728" s="304"/>
      <c r="J728" s="304"/>
      <c r="K728" s="304"/>
      <c r="L728" s="304"/>
      <c r="M728" s="304"/>
      <c r="N728" s="304"/>
      <c r="O728" s="304"/>
      <c r="P728" s="304"/>
      <c r="Q728" s="304"/>
      <c r="R728" s="304"/>
      <c r="S728" s="304"/>
      <c r="T728" s="304"/>
    </row>
    <row r="729">
      <c r="A729" s="304"/>
      <c r="B729" s="304"/>
      <c r="C729" s="304"/>
      <c r="D729" s="304"/>
      <c r="E729" s="304"/>
      <c r="F729" s="304"/>
      <c r="G729" s="304"/>
      <c r="H729" s="304"/>
      <c r="I729" s="304"/>
      <c r="J729" s="304"/>
      <c r="K729" s="304"/>
      <c r="L729" s="304"/>
      <c r="M729" s="304"/>
      <c r="N729" s="304"/>
      <c r="O729" s="304"/>
      <c r="P729" s="304"/>
      <c r="Q729" s="304"/>
      <c r="R729" s="304"/>
      <c r="S729" s="304"/>
      <c r="T729" s="304"/>
    </row>
    <row r="730">
      <c r="A730" s="304"/>
      <c r="B730" s="304"/>
      <c r="C730" s="304"/>
      <c r="D730" s="304"/>
      <c r="E730" s="304"/>
      <c r="F730" s="304"/>
      <c r="G730" s="304"/>
      <c r="H730" s="304"/>
      <c r="I730" s="304"/>
      <c r="J730" s="304"/>
      <c r="K730" s="304"/>
      <c r="L730" s="304"/>
      <c r="M730" s="304"/>
      <c r="N730" s="304"/>
      <c r="O730" s="304"/>
      <c r="P730" s="304"/>
      <c r="Q730" s="304"/>
      <c r="R730" s="304"/>
      <c r="S730" s="304"/>
      <c r="T730" s="304"/>
    </row>
    <row r="731">
      <c r="A731" s="304"/>
      <c r="B731" s="304"/>
      <c r="C731" s="304"/>
      <c r="D731" s="304"/>
      <c r="E731" s="304"/>
      <c r="F731" s="304"/>
      <c r="G731" s="304"/>
      <c r="H731" s="304"/>
      <c r="I731" s="304"/>
      <c r="J731" s="304"/>
      <c r="K731" s="304"/>
      <c r="L731" s="304"/>
      <c r="M731" s="304"/>
      <c r="N731" s="304"/>
      <c r="O731" s="304"/>
      <c r="P731" s="304"/>
      <c r="Q731" s="304"/>
      <c r="R731" s="304"/>
      <c r="S731" s="304"/>
      <c r="T731" s="304"/>
    </row>
    <row r="732">
      <c r="A732" s="304"/>
      <c r="B732" s="304"/>
      <c r="C732" s="304"/>
      <c r="D732" s="304"/>
      <c r="E732" s="304"/>
      <c r="F732" s="304"/>
      <c r="G732" s="304"/>
      <c r="H732" s="304"/>
      <c r="I732" s="304"/>
      <c r="J732" s="304"/>
      <c r="K732" s="304"/>
      <c r="L732" s="304"/>
      <c r="M732" s="304"/>
      <c r="N732" s="304"/>
      <c r="O732" s="304"/>
      <c r="P732" s="304"/>
      <c r="Q732" s="304"/>
      <c r="R732" s="304"/>
      <c r="S732" s="304"/>
      <c r="T732" s="304"/>
    </row>
    <row r="733">
      <c r="A733" s="304"/>
      <c r="B733" s="304"/>
      <c r="C733" s="304"/>
      <c r="D733" s="304"/>
      <c r="E733" s="304"/>
      <c r="F733" s="304"/>
      <c r="G733" s="304"/>
      <c r="H733" s="304"/>
      <c r="I733" s="304"/>
      <c r="J733" s="304"/>
      <c r="K733" s="304"/>
      <c r="L733" s="304"/>
      <c r="M733" s="304"/>
      <c r="N733" s="304"/>
      <c r="O733" s="304"/>
      <c r="P733" s="304"/>
      <c r="Q733" s="304"/>
      <c r="R733" s="304"/>
      <c r="S733" s="304"/>
      <c r="T733" s="304"/>
    </row>
    <row r="734">
      <c r="A734" s="304"/>
      <c r="B734" s="304"/>
      <c r="C734" s="304"/>
      <c r="D734" s="304"/>
      <c r="E734" s="304"/>
      <c r="F734" s="304"/>
      <c r="G734" s="304"/>
      <c r="H734" s="304"/>
      <c r="I734" s="304"/>
      <c r="J734" s="304"/>
      <c r="K734" s="304"/>
      <c r="L734" s="304"/>
      <c r="M734" s="304"/>
      <c r="N734" s="304"/>
      <c r="O734" s="304"/>
      <c r="P734" s="304"/>
      <c r="Q734" s="304"/>
      <c r="R734" s="304"/>
      <c r="S734" s="304"/>
      <c r="T734" s="304"/>
    </row>
    <row r="735">
      <c r="A735" s="304"/>
      <c r="B735" s="304"/>
      <c r="C735" s="304"/>
      <c r="D735" s="304"/>
      <c r="E735" s="304"/>
      <c r="F735" s="304"/>
      <c r="G735" s="304"/>
      <c r="H735" s="304"/>
      <c r="I735" s="304"/>
      <c r="J735" s="304"/>
      <c r="K735" s="304"/>
      <c r="L735" s="304"/>
      <c r="M735" s="304"/>
      <c r="N735" s="304"/>
      <c r="O735" s="304"/>
      <c r="P735" s="304"/>
      <c r="Q735" s="304"/>
      <c r="R735" s="304"/>
      <c r="S735" s="304"/>
      <c r="T735" s="304"/>
    </row>
    <row r="736">
      <c r="A736" s="304"/>
      <c r="B736" s="304"/>
      <c r="C736" s="304"/>
      <c r="D736" s="304"/>
      <c r="E736" s="304"/>
      <c r="F736" s="304"/>
      <c r="G736" s="304"/>
      <c r="H736" s="304"/>
      <c r="I736" s="304"/>
      <c r="J736" s="304"/>
      <c r="K736" s="304"/>
      <c r="L736" s="304"/>
      <c r="M736" s="304"/>
      <c r="N736" s="304"/>
      <c r="O736" s="304"/>
      <c r="P736" s="304"/>
      <c r="Q736" s="304"/>
      <c r="R736" s="304"/>
      <c r="S736" s="304"/>
      <c r="T736" s="304"/>
    </row>
    <row r="737">
      <c r="A737" s="304"/>
      <c r="B737" s="304"/>
      <c r="C737" s="304"/>
      <c r="D737" s="304"/>
      <c r="E737" s="304"/>
      <c r="F737" s="304"/>
      <c r="G737" s="304"/>
      <c r="H737" s="304"/>
      <c r="I737" s="304"/>
      <c r="J737" s="304"/>
      <c r="K737" s="304"/>
      <c r="L737" s="304"/>
      <c r="M737" s="304"/>
      <c r="N737" s="304"/>
      <c r="O737" s="304"/>
      <c r="P737" s="304"/>
      <c r="Q737" s="304"/>
      <c r="R737" s="304"/>
      <c r="S737" s="304"/>
      <c r="T737" s="304"/>
    </row>
    <row r="738">
      <c r="A738" s="304"/>
      <c r="B738" s="304"/>
      <c r="C738" s="304"/>
      <c r="D738" s="304"/>
      <c r="E738" s="304"/>
      <c r="F738" s="304"/>
      <c r="G738" s="304"/>
      <c r="H738" s="304"/>
      <c r="I738" s="304"/>
      <c r="J738" s="304"/>
      <c r="K738" s="304"/>
      <c r="L738" s="304"/>
      <c r="M738" s="304"/>
      <c r="N738" s="304"/>
      <c r="O738" s="304"/>
      <c r="P738" s="304"/>
      <c r="Q738" s="304"/>
      <c r="R738" s="304"/>
      <c r="S738" s="304"/>
      <c r="T738" s="304"/>
    </row>
    <row r="739">
      <c r="A739" s="304"/>
      <c r="B739" s="304"/>
      <c r="C739" s="304"/>
      <c r="D739" s="304"/>
      <c r="E739" s="304"/>
      <c r="F739" s="304"/>
      <c r="G739" s="304"/>
      <c r="H739" s="304"/>
      <c r="I739" s="304"/>
      <c r="J739" s="304"/>
      <c r="K739" s="304"/>
      <c r="L739" s="304"/>
      <c r="M739" s="304"/>
      <c r="N739" s="304"/>
      <c r="O739" s="304"/>
      <c r="P739" s="304"/>
      <c r="Q739" s="304"/>
      <c r="R739" s="304"/>
      <c r="S739" s="304"/>
      <c r="T739" s="304"/>
    </row>
    <row r="740">
      <c r="A740" s="304"/>
      <c r="B740" s="304"/>
      <c r="C740" s="304"/>
      <c r="D740" s="304"/>
      <c r="E740" s="304"/>
      <c r="F740" s="304"/>
      <c r="G740" s="304"/>
      <c r="H740" s="304"/>
      <c r="I740" s="304"/>
      <c r="J740" s="304"/>
      <c r="K740" s="304"/>
      <c r="L740" s="304"/>
      <c r="M740" s="304"/>
      <c r="N740" s="304"/>
      <c r="O740" s="304"/>
      <c r="P740" s="304"/>
      <c r="Q740" s="304"/>
      <c r="R740" s="304"/>
      <c r="S740" s="304"/>
      <c r="T740" s="304"/>
    </row>
    <row r="741">
      <c r="A741" s="304"/>
      <c r="B741" s="304"/>
      <c r="C741" s="304"/>
      <c r="D741" s="304"/>
      <c r="E741" s="304"/>
      <c r="F741" s="304"/>
      <c r="G741" s="304"/>
      <c r="H741" s="304"/>
      <c r="I741" s="304"/>
      <c r="J741" s="304"/>
      <c r="K741" s="304"/>
      <c r="L741" s="304"/>
      <c r="M741" s="304"/>
      <c r="N741" s="304"/>
      <c r="O741" s="304"/>
      <c r="P741" s="304"/>
      <c r="Q741" s="304"/>
      <c r="R741" s="304"/>
      <c r="S741" s="304"/>
      <c r="T741" s="304"/>
    </row>
    <row r="742">
      <c r="A742" s="304"/>
      <c r="B742" s="304"/>
      <c r="C742" s="304"/>
      <c r="D742" s="304"/>
      <c r="E742" s="304"/>
      <c r="F742" s="304"/>
      <c r="G742" s="304"/>
      <c r="H742" s="304"/>
      <c r="I742" s="304"/>
      <c r="J742" s="304"/>
      <c r="K742" s="304"/>
      <c r="L742" s="304"/>
      <c r="M742" s="304"/>
      <c r="N742" s="304"/>
      <c r="O742" s="304"/>
      <c r="P742" s="304"/>
      <c r="Q742" s="304"/>
      <c r="R742" s="304"/>
      <c r="S742" s="304"/>
      <c r="T742" s="304"/>
    </row>
    <row r="743">
      <c r="A743" s="304"/>
      <c r="B743" s="304"/>
      <c r="C743" s="304"/>
      <c r="D743" s="304"/>
      <c r="E743" s="304"/>
      <c r="F743" s="304"/>
      <c r="G743" s="304"/>
      <c r="H743" s="304"/>
      <c r="I743" s="304"/>
      <c r="J743" s="304"/>
      <c r="K743" s="304"/>
      <c r="L743" s="304"/>
      <c r="M743" s="304"/>
      <c r="N743" s="304"/>
      <c r="O743" s="304"/>
      <c r="P743" s="304"/>
      <c r="Q743" s="304"/>
      <c r="R743" s="304"/>
      <c r="S743" s="304"/>
      <c r="T743" s="304"/>
    </row>
    <row r="744">
      <c r="A744" s="304"/>
      <c r="B744" s="304"/>
      <c r="C744" s="304"/>
      <c r="D744" s="304"/>
      <c r="E744" s="304"/>
      <c r="F744" s="304"/>
      <c r="G744" s="304"/>
      <c r="H744" s="304"/>
      <c r="I744" s="304"/>
      <c r="J744" s="304"/>
      <c r="K744" s="304"/>
      <c r="L744" s="304"/>
      <c r="M744" s="304"/>
      <c r="N744" s="304"/>
      <c r="O744" s="304"/>
      <c r="P744" s="304"/>
      <c r="Q744" s="304"/>
      <c r="R744" s="304"/>
      <c r="S744" s="304"/>
      <c r="T744" s="304"/>
    </row>
    <row r="745">
      <c r="A745" s="304"/>
      <c r="B745" s="304"/>
      <c r="C745" s="304"/>
      <c r="D745" s="304"/>
      <c r="E745" s="304"/>
      <c r="F745" s="304"/>
      <c r="G745" s="304"/>
      <c r="H745" s="304"/>
      <c r="I745" s="304"/>
      <c r="J745" s="304"/>
      <c r="K745" s="304"/>
      <c r="L745" s="304"/>
      <c r="M745" s="304"/>
      <c r="N745" s="304"/>
      <c r="O745" s="304"/>
      <c r="P745" s="304"/>
      <c r="Q745" s="304"/>
      <c r="R745" s="304"/>
      <c r="S745" s="304"/>
      <c r="T745" s="304"/>
    </row>
    <row r="746">
      <c r="A746" s="304"/>
      <c r="B746" s="304"/>
      <c r="C746" s="304"/>
      <c r="D746" s="304"/>
      <c r="E746" s="304"/>
      <c r="F746" s="304"/>
      <c r="G746" s="304"/>
      <c r="H746" s="304"/>
      <c r="I746" s="304"/>
      <c r="J746" s="304"/>
      <c r="K746" s="304"/>
      <c r="L746" s="304"/>
      <c r="M746" s="304"/>
      <c r="N746" s="304"/>
      <c r="O746" s="304"/>
      <c r="P746" s="304"/>
      <c r="Q746" s="304"/>
      <c r="R746" s="304"/>
      <c r="S746" s="304"/>
      <c r="T746" s="304"/>
    </row>
    <row r="747">
      <c r="A747" s="304"/>
      <c r="B747" s="304"/>
      <c r="C747" s="304"/>
      <c r="D747" s="304"/>
      <c r="E747" s="304"/>
      <c r="F747" s="304"/>
      <c r="G747" s="304"/>
      <c r="H747" s="304"/>
      <c r="I747" s="304"/>
      <c r="J747" s="304"/>
      <c r="K747" s="304"/>
      <c r="L747" s="304"/>
      <c r="M747" s="304"/>
      <c r="N747" s="304"/>
      <c r="O747" s="304"/>
      <c r="P747" s="304"/>
      <c r="Q747" s="304"/>
      <c r="R747" s="304"/>
      <c r="S747" s="304"/>
      <c r="T747" s="304"/>
    </row>
    <row r="748">
      <c r="A748" s="304"/>
      <c r="B748" s="304"/>
      <c r="C748" s="304"/>
      <c r="D748" s="304"/>
      <c r="E748" s="304"/>
      <c r="F748" s="304"/>
      <c r="G748" s="304"/>
      <c r="H748" s="304"/>
      <c r="I748" s="304"/>
      <c r="J748" s="304"/>
      <c r="K748" s="304"/>
      <c r="L748" s="304"/>
      <c r="M748" s="304"/>
      <c r="N748" s="304"/>
      <c r="O748" s="304"/>
      <c r="P748" s="304"/>
      <c r="Q748" s="304"/>
      <c r="R748" s="304"/>
      <c r="S748" s="304"/>
      <c r="T748" s="304"/>
    </row>
    <row r="749">
      <c r="A749" s="304"/>
      <c r="B749" s="304"/>
      <c r="C749" s="304"/>
      <c r="D749" s="304"/>
      <c r="E749" s="304"/>
      <c r="F749" s="304"/>
      <c r="G749" s="304"/>
      <c r="H749" s="304"/>
      <c r="I749" s="304"/>
      <c r="J749" s="304"/>
      <c r="K749" s="304"/>
      <c r="L749" s="304"/>
      <c r="M749" s="304"/>
      <c r="N749" s="304"/>
      <c r="O749" s="304"/>
      <c r="P749" s="304"/>
      <c r="Q749" s="304"/>
      <c r="R749" s="304"/>
      <c r="S749" s="304"/>
      <c r="T749" s="304"/>
    </row>
    <row r="750">
      <c r="A750" s="304"/>
      <c r="B750" s="304"/>
      <c r="C750" s="304"/>
      <c r="D750" s="304"/>
      <c r="E750" s="304"/>
      <c r="F750" s="304"/>
      <c r="G750" s="304"/>
      <c r="H750" s="304"/>
      <c r="I750" s="304"/>
      <c r="J750" s="304"/>
      <c r="K750" s="304"/>
      <c r="L750" s="304"/>
      <c r="M750" s="304"/>
      <c r="N750" s="304"/>
      <c r="O750" s="304"/>
      <c r="P750" s="304"/>
      <c r="Q750" s="304"/>
      <c r="R750" s="304"/>
      <c r="S750" s="304"/>
      <c r="T750" s="304"/>
    </row>
    <row r="751">
      <c r="A751" s="304"/>
      <c r="B751" s="304"/>
      <c r="C751" s="304"/>
      <c r="D751" s="304"/>
      <c r="E751" s="304"/>
      <c r="F751" s="304"/>
      <c r="G751" s="304"/>
      <c r="H751" s="304"/>
      <c r="I751" s="304"/>
      <c r="J751" s="304"/>
      <c r="K751" s="304"/>
      <c r="L751" s="304"/>
      <c r="M751" s="304"/>
      <c r="N751" s="304"/>
      <c r="O751" s="304"/>
      <c r="P751" s="304"/>
      <c r="Q751" s="304"/>
      <c r="R751" s="304"/>
      <c r="S751" s="304"/>
      <c r="T751" s="304"/>
    </row>
    <row r="752">
      <c r="A752" s="304"/>
      <c r="B752" s="304"/>
      <c r="C752" s="304"/>
      <c r="D752" s="304"/>
      <c r="E752" s="304"/>
      <c r="F752" s="304"/>
      <c r="G752" s="304"/>
      <c r="H752" s="304"/>
      <c r="I752" s="304"/>
      <c r="J752" s="304"/>
      <c r="K752" s="304"/>
      <c r="L752" s="304"/>
      <c r="M752" s="304"/>
      <c r="N752" s="304"/>
      <c r="O752" s="304"/>
      <c r="P752" s="304"/>
      <c r="Q752" s="304"/>
      <c r="R752" s="304"/>
      <c r="S752" s="304"/>
      <c r="T752" s="304"/>
    </row>
    <row r="753">
      <c r="A753" s="304"/>
      <c r="B753" s="304"/>
      <c r="C753" s="304"/>
      <c r="D753" s="304"/>
      <c r="E753" s="304"/>
      <c r="F753" s="304"/>
      <c r="G753" s="304"/>
      <c r="H753" s="304"/>
      <c r="I753" s="304"/>
      <c r="J753" s="304"/>
      <c r="K753" s="304"/>
      <c r="L753" s="304"/>
      <c r="M753" s="304"/>
      <c r="N753" s="304"/>
      <c r="O753" s="304"/>
      <c r="P753" s="304"/>
      <c r="Q753" s="304"/>
      <c r="R753" s="304"/>
      <c r="S753" s="304"/>
      <c r="T753" s="304"/>
    </row>
    <row r="754">
      <c r="A754" s="304"/>
      <c r="B754" s="304"/>
      <c r="C754" s="304"/>
      <c r="D754" s="304"/>
      <c r="E754" s="304"/>
      <c r="F754" s="304"/>
      <c r="G754" s="304"/>
      <c r="H754" s="304"/>
      <c r="I754" s="304"/>
      <c r="J754" s="304"/>
      <c r="K754" s="304"/>
      <c r="L754" s="304"/>
      <c r="M754" s="304"/>
      <c r="N754" s="304"/>
      <c r="O754" s="304"/>
      <c r="P754" s="304"/>
      <c r="Q754" s="304"/>
      <c r="R754" s="304"/>
      <c r="S754" s="304"/>
      <c r="T754" s="304"/>
    </row>
    <row r="755">
      <c r="A755" s="304"/>
      <c r="B755" s="304"/>
      <c r="C755" s="304"/>
      <c r="D755" s="304"/>
      <c r="E755" s="304"/>
      <c r="F755" s="304"/>
      <c r="G755" s="304"/>
      <c r="H755" s="304"/>
      <c r="I755" s="304"/>
      <c r="J755" s="304"/>
      <c r="K755" s="304"/>
      <c r="L755" s="304"/>
      <c r="M755" s="304"/>
      <c r="N755" s="304"/>
      <c r="O755" s="304"/>
      <c r="P755" s="304"/>
      <c r="Q755" s="304"/>
      <c r="R755" s="304"/>
      <c r="S755" s="304"/>
      <c r="T755" s="304"/>
    </row>
    <row r="756">
      <c r="A756" s="304"/>
      <c r="B756" s="304"/>
      <c r="C756" s="304"/>
      <c r="D756" s="304"/>
      <c r="E756" s="304"/>
      <c r="F756" s="304"/>
      <c r="G756" s="304"/>
      <c r="H756" s="304"/>
      <c r="I756" s="304"/>
      <c r="J756" s="304"/>
      <c r="K756" s="304"/>
      <c r="L756" s="304"/>
      <c r="M756" s="304"/>
      <c r="N756" s="304"/>
      <c r="O756" s="304"/>
      <c r="P756" s="304"/>
      <c r="Q756" s="304"/>
      <c r="R756" s="304"/>
      <c r="S756" s="304"/>
      <c r="T756" s="304"/>
    </row>
    <row r="757">
      <c r="A757" s="304"/>
      <c r="B757" s="304"/>
      <c r="C757" s="304"/>
      <c r="D757" s="304"/>
      <c r="E757" s="304"/>
      <c r="F757" s="304"/>
      <c r="G757" s="304"/>
      <c r="H757" s="304"/>
      <c r="I757" s="304"/>
      <c r="J757" s="304"/>
      <c r="K757" s="304"/>
      <c r="L757" s="304"/>
      <c r="M757" s="304"/>
      <c r="N757" s="304"/>
      <c r="O757" s="304"/>
      <c r="P757" s="304"/>
      <c r="Q757" s="304"/>
      <c r="R757" s="304"/>
      <c r="S757" s="304"/>
      <c r="T757" s="304"/>
    </row>
    <row r="758">
      <c r="A758" s="304"/>
      <c r="B758" s="304"/>
      <c r="C758" s="304"/>
      <c r="D758" s="304"/>
      <c r="E758" s="304"/>
      <c r="F758" s="304"/>
      <c r="G758" s="304"/>
      <c r="H758" s="304"/>
      <c r="I758" s="304"/>
      <c r="J758" s="304"/>
      <c r="K758" s="304"/>
      <c r="L758" s="304"/>
      <c r="M758" s="304"/>
      <c r="N758" s="304"/>
      <c r="O758" s="304"/>
      <c r="P758" s="304"/>
      <c r="Q758" s="304"/>
      <c r="R758" s="304"/>
      <c r="S758" s="304"/>
      <c r="T758" s="304"/>
    </row>
    <row r="759">
      <c r="A759" s="304"/>
      <c r="B759" s="304"/>
      <c r="C759" s="304"/>
      <c r="D759" s="304"/>
      <c r="E759" s="304"/>
      <c r="F759" s="304"/>
      <c r="G759" s="304"/>
      <c r="H759" s="304"/>
      <c r="I759" s="304"/>
      <c r="J759" s="304"/>
      <c r="K759" s="304"/>
      <c r="L759" s="304"/>
      <c r="M759" s="304"/>
      <c r="N759" s="304"/>
      <c r="O759" s="304"/>
      <c r="P759" s="304"/>
      <c r="Q759" s="304"/>
      <c r="R759" s="304"/>
      <c r="S759" s="304"/>
      <c r="T759" s="304"/>
    </row>
    <row r="760">
      <c r="A760" s="304"/>
      <c r="B760" s="304"/>
      <c r="C760" s="304"/>
      <c r="D760" s="304"/>
      <c r="E760" s="304"/>
      <c r="F760" s="304"/>
      <c r="G760" s="304"/>
      <c r="H760" s="304"/>
      <c r="I760" s="304"/>
      <c r="J760" s="304"/>
      <c r="K760" s="304"/>
      <c r="L760" s="304"/>
      <c r="M760" s="304"/>
      <c r="N760" s="304"/>
      <c r="O760" s="304"/>
      <c r="P760" s="304"/>
      <c r="Q760" s="304"/>
      <c r="R760" s="304"/>
      <c r="S760" s="304"/>
      <c r="T760" s="304"/>
    </row>
    <row r="761">
      <c r="A761" s="304"/>
      <c r="B761" s="304"/>
      <c r="C761" s="304"/>
      <c r="D761" s="304"/>
      <c r="E761" s="304"/>
      <c r="F761" s="304"/>
      <c r="G761" s="304"/>
      <c r="H761" s="304"/>
      <c r="I761" s="304"/>
      <c r="J761" s="304"/>
      <c r="K761" s="304"/>
      <c r="L761" s="304"/>
      <c r="M761" s="304"/>
      <c r="N761" s="304"/>
      <c r="O761" s="304"/>
      <c r="P761" s="304"/>
      <c r="Q761" s="304"/>
      <c r="R761" s="304"/>
      <c r="S761" s="304"/>
      <c r="T761" s="304"/>
    </row>
    <row r="762">
      <c r="A762" s="304"/>
      <c r="B762" s="304"/>
      <c r="C762" s="304"/>
      <c r="D762" s="304"/>
      <c r="E762" s="304"/>
      <c r="F762" s="304"/>
      <c r="G762" s="304"/>
      <c r="H762" s="304"/>
      <c r="I762" s="304"/>
      <c r="J762" s="304"/>
      <c r="K762" s="304"/>
      <c r="L762" s="304"/>
      <c r="M762" s="304"/>
      <c r="N762" s="304"/>
      <c r="O762" s="304"/>
      <c r="P762" s="304"/>
      <c r="Q762" s="304"/>
      <c r="R762" s="304"/>
      <c r="S762" s="304"/>
      <c r="T762" s="304"/>
    </row>
    <row r="763">
      <c r="A763" s="304"/>
      <c r="B763" s="304"/>
      <c r="C763" s="304"/>
      <c r="D763" s="304"/>
      <c r="E763" s="304"/>
      <c r="F763" s="304"/>
      <c r="G763" s="304"/>
      <c r="H763" s="304"/>
      <c r="I763" s="304"/>
      <c r="J763" s="304"/>
      <c r="K763" s="304"/>
      <c r="L763" s="304"/>
      <c r="M763" s="304"/>
      <c r="N763" s="304"/>
      <c r="O763" s="304"/>
      <c r="P763" s="304"/>
      <c r="Q763" s="304"/>
      <c r="R763" s="304"/>
      <c r="S763" s="304"/>
      <c r="T763" s="304"/>
    </row>
    <row r="764">
      <c r="A764" s="304"/>
      <c r="B764" s="304"/>
      <c r="C764" s="304"/>
      <c r="D764" s="304"/>
      <c r="E764" s="304"/>
      <c r="F764" s="304"/>
      <c r="G764" s="304"/>
      <c r="H764" s="304"/>
      <c r="I764" s="304"/>
      <c r="J764" s="304"/>
      <c r="K764" s="304"/>
      <c r="L764" s="304"/>
      <c r="M764" s="304"/>
      <c r="N764" s="304"/>
      <c r="O764" s="304"/>
      <c r="P764" s="304"/>
      <c r="Q764" s="304"/>
      <c r="R764" s="304"/>
      <c r="S764" s="304"/>
      <c r="T764" s="304"/>
    </row>
    <row r="765">
      <c r="A765" s="304"/>
      <c r="B765" s="304"/>
      <c r="C765" s="304"/>
      <c r="D765" s="304"/>
      <c r="E765" s="304"/>
      <c r="F765" s="304"/>
      <c r="G765" s="304"/>
      <c r="H765" s="304"/>
      <c r="I765" s="304"/>
      <c r="J765" s="304"/>
      <c r="K765" s="304"/>
      <c r="L765" s="304"/>
      <c r="M765" s="304"/>
      <c r="N765" s="304"/>
      <c r="O765" s="304"/>
      <c r="P765" s="304"/>
      <c r="Q765" s="304"/>
      <c r="R765" s="304"/>
      <c r="S765" s="304"/>
      <c r="T765" s="304"/>
    </row>
    <row r="766">
      <c r="A766" s="304"/>
      <c r="B766" s="304"/>
      <c r="C766" s="304"/>
      <c r="D766" s="304"/>
      <c r="E766" s="304"/>
      <c r="F766" s="304"/>
      <c r="G766" s="304"/>
      <c r="H766" s="304"/>
      <c r="I766" s="304"/>
      <c r="J766" s="304"/>
      <c r="K766" s="304"/>
      <c r="L766" s="304"/>
      <c r="M766" s="304"/>
      <c r="N766" s="304"/>
      <c r="O766" s="304"/>
      <c r="P766" s="304"/>
      <c r="Q766" s="304"/>
      <c r="R766" s="304"/>
      <c r="S766" s="304"/>
      <c r="T766" s="304"/>
    </row>
    <row r="767">
      <c r="A767" s="304"/>
      <c r="B767" s="304"/>
      <c r="C767" s="304"/>
      <c r="D767" s="304"/>
      <c r="E767" s="304"/>
      <c r="F767" s="304"/>
      <c r="G767" s="304"/>
      <c r="H767" s="304"/>
      <c r="I767" s="304"/>
      <c r="J767" s="304"/>
      <c r="K767" s="304"/>
      <c r="L767" s="304"/>
      <c r="M767" s="304"/>
      <c r="N767" s="304"/>
      <c r="O767" s="304"/>
      <c r="P767" s="304"/>
      <c r="Q767" s="304"/>
      <c r="R767" s="304"/>
      <c r="S767" s="304"/>
      <c r="T767" s="304"/>
    </row>
    <row r="768">
      <c r="A768" s="304"/>
      <c r="B768" s="304"/>
      <c r="C768" s="304"/>
      <c r="D768" s="304"/>
      <c r="E768" s="304"/>
      <c r="F768" s="304"/>
      <c r="G768" s="304"/>
      <c r="H768" s="304"/>
      <c r="I768" s="304"/>
      <c r="J768" s="304"/>
      <c r="K768" s="304"/>
      <c r="L768" s="304"/>
      <c r="M768" s="304"/>
      <c r="N768" s="304"/>
      <c r="O768" s="304"/>
      <c r="P768" s="304"/>
      <c r="Q768" s="304"/>
      <c r="R768" s="304"/>
      <c r="S768" s="304"/>
      <c r="T768" s="304"/>
    </row>
    <row r="769">
      <c r="A769" s="304"/>
      <c r="B769" s="304"/>
      <c r="C769" s="304"/>
      <c r="D769" s="304"/>
      <c r="E769" s="304"/>
      <c r="F769" s="304"/>
      <c r="G769" s="304"/>
      <c r="H769" s="304"/>
      <c r="I769" s="304"/>
      <c r="J769" s="304"/>
      <c r="K769" s="304"/>
      <c r="L769" s="304"/>
      <c r="M769" s="304"/>
      <c r="N769" s="304"/>
      <c r="O769" s="304"/>
      <c r="P769" s="304"/>
      <c r="Q769" s="304"/>
      <c r="R769" s="304"/>
      <c r="S769" s="304"/>
      <c r="T769" s="304"/>
    </row>
    <row r="770">
      <c r="A770" s="304"/>
      <c r="B770" s="304"/>
      <c r="C770" s="304"/>
      <c r="D770" s="304"/>
      <c r="E770" s="304"/>
      <c r="F770" s="304"/>
      <c r="G770" s="304"/>
      <c r="H770" s="304"/>
      <c r="I770" s="304"/>
      <c r="J770" s="304"/>
      <c r="K770" s="304"/>
      <c r="L770" s="304"/>
      <c r="M770" s="304"/>
      <c r="N770" s="304"/>
      <c r="O770" s="304"/>
      <c r="P770" s="304"/>
      <c r="Q770" s="304"/>
      <c r="R770" s="304"/>
      <c r="S770" s="304"/>
      <c r="T770" s="304"/>
    </row>
    <row r="771">
      <c r="A771" s="304"/>
      <c r="B771" s="304"/>
      <c r="C771" s="304"/>
      <c r="D771" s="304"/>
      <c r="E771" s="304"/>
      <c r="F771" s="304"/>
      <c r="G771" s="304"/>
      <c r="H771" s="304"/>
      <c r="I771" s="304"/>
      <c r="J771" s="304"/>
      <c r="K771" s="304"/>
      <c r="L771" s="304"/>
      <c r="M771" s="304"/>
      <c r="N771" s="304"/>
      <c r="O771" s="304"/>
      <c r="P771" s="304"/>
      <c r="Q771" s="304"/>
      <c r="R771" s="304"/>
      <c r="S771" s="304"/>
      <c r="T771" s="304"/>
    </row>
    <row r="772">
      <c r="A772" s="304"/>
      <c r="B772" s="304"/>
      <c r="C772" s="304"/>
      <c r="D772" s="304"/>
      <c r="E772" s="304"/>
      <c r="F772" s="304"/>
      <c r="G772" s="304"/>
      <c r="H772" s="304"/>
      <c r="I772" s="304"/>
      <c r="J772" s="304"/>
      <c r="K772" s="304"/>
      <c r="L772" s="304"/>
      <c r="M772" s="304"/>
      <c r="N772" s="304"/>
      <c r="O772" s="304"/>
      <c r="P772" s="304"/>
      <c r="Q772" s="304"/>
      <c r="R772" s="304"/>
      <c r="S772" s="304"/>
      <c r="T772" s="304"/>
    </row>
    <row r="773">
      <c r="A773" s="304"/>
      <c r="B773" s="304"/>
      <c r="C773" s="304"/>
      <c r="D773" s="304"/>
      <c r="E773" s="304"/>
      <c r="F773" s="304"/>
      <c r="G773" s="304"/>
      <c r="H773" s="304"/>
      <c r="I773" s="304"/>
      <c r="J773" s="304"/>
      <c r="K773" s="304"/>
      <c r="L773" s="304"/>
      <c r="M773" s="304"/>
      <c r="N773" s="304"/>
      <c r="O773" s="304"/>
      <c r="P773" s="304"/>
      <c r="Q773" s="304"/>
      <c r="R773" s="304"/>
      <c r="S773" s="304"/>
      <c r="T773" s="304"/>
    </row>
    <row r="774">
      <c r="A774" s="304"/>
      <c r="B774" s="304"/>
      <c r="C774" s="304"/>
      <c r="D774" s="304"/>
      <c r="E774" s="304"/>
      <c r="F774" s="304"/>
      <c r="G774" s="304"/>
      <c r="H774" s="304"/>
      <c r="I774" s="304"/>
      <c r="J774" s="304"/>
      <c r="K774" s="304"/>
      <c r="L774" s="304"/>
      <c r="M774" s="304"/>
      <c r="N774" s="304"/>
      <c r="O774" s="304"/>
      <c r="P774" s="304"/>
      <c r="Q774" s="304"/>
      <c r="R774" s="304"/>
      <c r="S774" s="304"/>
      <c r="T774" s="304"/>
    </row>
    <row r="775">
      <c r="A775" s="304"/>
      <c r="B775" s="304"/>
      <c r="C775" s="304"/>
      <c r="D775" s="304"/>
      <c r="E775" s="304"/>
      <c r="F775" s="304"/>
      <c r="G775" s="304"/>
      <c r="H775" s="304"/>
      <c r="I775" s="304"/>
      <c r="J775" s="304"/>
      <c r="K775" s="304"/>
      <c r="L775" s="304"/>
      <c r="M775" s="304"/>
      <c r="N775" s="304"/>
      <c r="O775" s="304"/>
      <c r="P775" s="304"/>
      <c r="Q775" s="304"/>
      <c r="R775" s="304"/>
      <c r="S775" s="304"/>
      <c r="T775" s="304"/>
    </row>
    <row r="776">
      <c r="A776" s="304"/>
      <c r="B776" s="304"/>
      <c r="C776" s="304"/>
      <c r="D776" s="304"/>
      <c r="E776" s="304"/>
      <c r="F776" s="304"/>
      <c r="G776" s="304"/>
      <c r="H776" s="304"/>
      <c r="I776" s="304"/>
      <c r="J776" s="304"/>
      <c r="K776" s="304"/>
      <c r="L776" s="304"/>
      <c r="M776" s="304"/>
      <c r="N776" s="304"/>
      <c r="O776" s="304"/>
      <c r="P776" s="304"/>
      <c r="Q776" s="304"/>
      <c r="R776" s="304"/>
      <c r="S776" s="304"/>
      <c r="T776" s="304"/>
    </row>
    <row r="777">
      <c r="A777" s="304"/>
      <c r="B777" s="304"/>
      <c r="C777" s="304"/>
      <c r="D777" s="304"/>
      <c r="E777" s="304"/>
      <c r="F777" s="304"/>
      <c r="G777" s="304"/>
      <c r="H777" s="304"/>
      <c r="I777" s="304"/>
      <c r="J777" s="304"/>
      <c r="K777" s="304"/>
      <c r="L777" s="304"/>
      <c r="M777" s="304"/>
      <c r="N777" s="304"/>
      <c r="O777" s="304"/>
      <c r="P777" s="304"/>
      <c r="Q777" s="304"/>
      <c r="R777" s="304"/>
      <c r="S777" s="304"/>
      <c r="T777" s="304"/>
    </row>
    <row r="778">
      <c r="A778" s="304"/>
      <c r="B778" s="304"/>
      <c r="C778" s="304"/>
      <c r="D778" s="304"/>
      <c r="E778" s="304"/>
      <c r="F778" s="304"/>
      <c r="G778" s="304"/>
      <c r="H778" s="304"/>
      <c r="I778" s="304"/>
      <c r="J778" s="304"/>
      <c r="K778" s="304"/>
      <c r="L778" s="304"/>
      <c r="M778" s="304"/>
      <c r="N778" s="304"/>
      <c r="O778" s="304"/>
      <c r="P778" s="304"/>
      <c r="Q778" s="304"/>
      <c r="R778" s="304"/>
      <c r="S778" s="304"/>
      <c r="T778" s="304"/>
    </row>
    <row r="779">
      <c r="A779" s="304"/>
      <c r="B779" s="304"/>
      <c r="C779" s="304"/>
      <c r="D779" s="304"/>
      <c r="E779" s="304"/>
      <c r="F779" s="304"/>
      <c r="G779" s="304"/>
      <c r="H779" s="304"/>
      <c r="I779" s="304"/>
      <c r="J779" s="304"/>
      <c r="K779" s="304"/>
      <c r="L779" s="304"/>
      <c r="M779" s="304"/>
      <c r="N779" s="304"/>
      <c r="O779" s="304"/>
      <c r="P779" s="304"/>
      <c r="Q779" s="304"/>
      <c r="R779" s="304"/>
      <c r="S779" s="304"/>
      <c r="T779" s="304"/>
    </row>
    <row r="780">
      <c r="A780" s="304"/>
      <c r="B780" s="304"/>
      <c r="C780" s="304"/>
      <c r="D780" s="304"/>
      <c r="E780" s="304"/>
      <c r="F780" s="304"/>
      <c r="G780" s="304"/>
      <c r="H780" s="304"/>
      <c r="I780" s="304"/>
      <c r="J780" s="304"/>
      <c r="K780" s="304"/>
      <c r="L780" s="304"/>
      <c r="M780" s="304"/>
      <c r="N780" s="304"/>
      <c r="O780" s="304"/>
      <c r="P780" s="304"/>
      <c r="Q780" s="304"/>
      <c r="R780" s="304"/>
      <c r="S780" s="304"/>
      <c r="T780" s="304"/>
    </row>
    <row r="781">
      <c r="A781" s="304"/>
      <c r="B781" s="304"/>
      <c r="C781" s="304"/>
      <c r="D781" s="304"/>
      <c r="E781" s="304"/>
      <c r="F781" s="304"/>
      <c r="G781" s="304"/>
      <c r="H781" s="304"/>
      <c r="I781" s="304"/>
      <c r="J781" s="304"/>
      <c r="K781" s="304"/>
      <c r="L781" s="304"/>
      <c r="M781" s="304"/>
      <c r="N781" s="304"/>
      <c r="O781" s="304"/>
      <c r="P781" s="304"/>
      <c r="Q781" s="304"/>
      <c r="R781" s="304"/>
      <c r="S781" s="304"/>
      <c r="T781" s="304"/>
    </row>
    <row r="782">
      <c r="A782" s="304"/>
      <c r="B782" s="304"/>
      <c r="C782" s="304"/>
      <c r="D782" s="304"/>
      <c r="E782" s="304"/>
      <c r="F782" s="304"/>
      <c r="G782" s="304"/>
      <c r="H782" s="304"/>
      <c r="I782" s="304"/>
      <c r="J782" s="304"/>
      <c r="K782" s="304"/>
      <c r="L782" s="304"/>
      <c r="M782" s="304"/>
      <c r="N782" s="304"/>
      <c r="O782" s="304"/>
      <c r="P782" s="304"/>
      <c r="Q782" s="304"/>
      <c r="R782" s="304"/>
      <c r="S782" s="304"/>
      <c r="T782" s="304"/>
    </row>
    <row r="783">
      <c r="A783" s="304"/>
      <c r="B783" s="304"/>
      <c r="C783" s="304"/>
      <c r="D783" s="304"/>
      <c r="E783" s="304"/>
      <c r="F783" s="304"/>
      <c r="G783" s="304"/>
      <c r="H783" s="304"/>
      <c r="I783" s="304"/>
      <c r="J783" s="304"/>
      <c r="K783" s="304"/>
      <c r="L783" s="304"/>
      <c r="M783" s="304"/>
      <c r="N783" s="304"/>
      <c r="O783" s="304"/>
      <c r="P783" s="304"/>
      <c r="Q783" s="304"/>
      <c r="R783" s="304"/>
      <c r="S783" s="304"/>
      <c r="T783" s="304"/>
    </row>
    <row r="784">
      <c r="A784" s="304"/>
      <c r="B784" s="304"/>
      <c r="C784" s="304"/>
      <c r="D784" s="304"/>
      <c r="E784" s="304"/>
      <c r="F784" s="304"/>
      <c r="G784" s="304"/>
      <c r="H784" s="304"/>
      <c r="I784" s="304"/>
      <c r="J784" s="304"/>
      <c r="K784" s="304"/>
      <c r="L784" s="304"/>
      <c r="M784" s="304"/>
      <c r="N784" s="304"/>
      <c r="O784" s="304"/>
      <c r="P784" s="304"/>
      <c r="Q784" s="304"/>
      <c r="R784" s="304"/>
      <c r="S784" s="304"/>
      <c r="T784" s="304"/>
    </row>
    <row r="785">
      <c r="A785" s="304"/>
      <c r="B785" s="304"/>
      <c r="C785" s="304"/>
      <c r="D785" s="304"/>
      <c r="E785" s="304"/>
      <c r="F785" s="304"/>
      <c r="G785" s="304"/>
      <c r="H785" s="304"/>
      <c r="I785" s="304"/>
      <c r="J785" s="304"/>
      <c r="K785" s="304"/>
      <c r="L785" s="304"/>
      <c r="M785" s="304"/>
      <c r="N785" s="304"/>
      <c r="O785" s="304"/>
      <c r="P785" s="304"/>
      <c r="Q785" s="304"/>
      <c r="R785" s="304"/>
      <c r="S785" s="304"/>
      <c r="T785" s="304"/>
    </row>
    <row r="786">
      <c r="A786" s="304"/>
      <c r="B786" s="304"/>
      <c r="C786" s="304"/>
      <c r="D786" s="304"/>
      <c r="E786" s="304"/>
      <c r="F786" s="304"/>
      <c r="G786" s="304"/>
      <c r="H786" s="304"/>
      <c r="I786" s="304"/>
      <c r="J786" s="304"/>
      <c r="K786" s="304"/>
      <c r="L786" s="304"/>
      <c r="M786" s="304"/>
      <c r="N786" s="304"/>
      <c r="O786" s="304"/>
      <c r="P786" s="304"/>
      <c r="Q786" s="304"/>
      <c r="R786" s="304"/>
      <c r="S786" s="304"/>
      <c r="T786" s="304"/>
    </row>
    <row r="787">
      <c r="A787" s="304"/>
      <c r="B787" s="304"/>
      <c r="C787" s="304"/>
      <c r="D787" s="304"/>
      <c r="E787" s="304"/>
      <c r="F787" s="304"/>
      <c r="G787" s="304"/>
      <c r="H787" s="304"/>
      <c r="I787" s="304"/>
      <c r="J787" s="304"/>
      <c r="K787" s="304"/>
      <c r="L787" s="304"/>
      <c r="M787" s="304"/>
      <c r="N787" s="304"/>
      <c r="O787" s="304"/>
      <c r="P787" s="304"/>
      <c r="Q787" s="304"/>
      <c r="R787" s="304"/>
      <c r="S787" s="304"/>
      <c r="T787" s="304"/>
    </row>
    <row r="788">
      <c r="A788" s="304"/>
      <c r="B788" s="304"/>
      <c r="C788" s="304"/>
      <c r="D788" s="304"/>
      <c r="E788" s="304"/>
      <c r="F788" s="304"/>
      <c r="G788" s="304"/>
      <c r="H788" s="304"/>
      <c r="I788" s="304"/>
      <c r="J788" s="304"/>
      <c r="K788" s="304"/>
      <c r="L788" s="304"/>
      <c r="M788" s="304"/>
      <c r="N788" s="304"/>
      <c r="O788" s="304"/>
      <c r="P788" s="304"/>
      <c r="Q788" s="304"/>
      <c r="R788" s="304"/>
      <c r="S788" s="304"/>
      <c r="T788" s="304"/>
    </row>
    <row r="789">
      <c r="A789" s="304"/>
      <c r="B789" s="304"/>
      <c r="C789" s="304"/>
      <c r="D789" s="304"/>
      <c r="E789" s="304"/>
      <c r="F789" s="304"/>
      <c r="G789" s="304"/>
      <c r="H789" s="304"/>
      <c r="I789" s="304"/>
      <c r="J789" s="304"/>
      <c r="K789" s="304"/>
      <c r="L789" s="304"/>
      <c r="M789" s="304"/>
      <c r="N789" s="304"/>
      <c r="O789" s="304"/>
      <c r="P789" s="304"/>
      <c r="Q789" s="304"/>
      <c r="R789" s="304"/>
      <c r="S789" s="304"/>
      <c r="T789" s="304"/>
    </row>
    <row r="790">
      <c r="A790" s="304"/>
      <c r="B790" s="304"/>
      <c r="C790" s="304"/>
      <c r="D790" s="304"/>
      <c r="E790" s="304"/>
      <c r="F790" s="304"/>
      <c r="G790" s="304"/>
      <c r="H790" s="304"/>
      <c r="I790" s="304"/>
      <c r="J790" s="304"/>
      <c r="K790" s="304"/>
      <c r="L790" s="304"/>
      <c r="M790" s="304"/>
      <c r="N790" s="304"/>
      <c r="O790" s="304"/>
      <c r="P790" s="304"/>
      <c r="Q790" s="304"/>
      <c r="R790" s="304"/>
      <c r="S790" s="304"/>
      <c r="T790" s="304"/>
    </row>
    <row r="791">
      <c r="A791" s="304"/>
      <c r="B791" s="304"/>
      <c r="C791" s="304"/>
      <c r="D791" s="304"/>
      <c r="E791" s="304"/>
      <c r="F791" s="304"/>
      <c r="G791" s="304"/>
      <c r="H791" s="304"/>
      <c r="I791" s="304"/>
      <c r="J791" s="304"/>
      <c r="K791" s="304"/>
      <c r="L791" s="304"/>
      <c r="M791" s="304"/>
      <c r="N791" s="304"/>
      <c r="O791" s="304"/>
      <c r="P791" s="304"/>
      <c r="Q791" s="304"/>
      <c r="R791" s="304"/>
      <c r="S791" s="304"/>
      <c r="T791" s="304"/>
    </row>
    <row r="792">
      <c r="A792" s="304"/>
      <c r="B792" s="304"/>
      <c r="C792" s="304"/>
      <c r="D792" s="304"/>
      <c r="E792" s="304"/>
      <c r="F792" s="304"/>
      <c r="G792" s="304"/>
      <c r="H792" s="304"/>
      <c r="I792" s="304"/>
      <c r="J792" s="304"/>
      <c r="K792" s="304"/>
      <c r="L792" s="304"/>
      <c r="M792" s="304"/>
      <c r="N792" s="304"/>
      <c r="O792" s="304"/>
      <c r="P792" s="304"/>
      <c r="Q792" s="304"/>
      <c r="R792" s="304"/>
      <c r="S792" s="304"/>
      <c r="T792" s="304"/>
    </row>
    <row r="793">
      <c r="A793" s="304"/>
      <c r="B793" s="304"/>
      <c r="C793" s="304"/>
      <c r="D793" s="304"/>
      <c r="E793" s="304"/>
      <c r="F793" s="304"/>
      <c r="G793" s="304"/>
      <c r="H793" s="304"/>
      <c r="I793" s="304"/>
      <c r="J793" s="304"/>
      <c r="K793" s="304"/>
      <c r="L793" s="304"/>
      <c r="M793" s="304"/>
      <c r="N793" s="304"/>
      <c r="O793" s="304"/>
      <c r="P793" s="304"/>
      <c r="Q793" s="304"/>
      <c r="R793" s="304"/>
      <c r="S793" s="304"/>
      <c r="T793" s="304"/>
    </row>
    <row r="794">
      <c r="A794" s="304"/>
      <c r="B794" s="304"/>
      <c r="C794" s="304"/>
      <c r="D794" s="304"/>
      <c r="E794" s="304"/>
      <c r="F794" s="304"/>
      <c r="G794" s="304"/>
      <c r="H794" s="304"/>
      <c r="I794" s="304"/>
      <c r="J794" s="304"/>
      <c r="K794" s="304"/>
      <c r="L794" s="304"/>
      <c r="M794" s="304"/>
      <c r="N794" s="304"/>
      <c r="O794" s="304"/>
      <c r="P794" s="304"/>
      <c r="Q794" s="304"/>
      <c r="R794" s="304"/>
      <c r="S794" s="304"/>
      <c r="T794" s="304"/>
    </row>
    <row r="795">
      <c r="A795" s="304"/>
      <c r="B795" s="304"/>
      <c r="C795" s="304"/>
      <c r="D795" s="304"/>
      <c r="E795" s="304"/>
      <c r="F795" s="304"/>
      <c r="G795" s="304"/>
      <c r="H795" s="304"/>
      <c r="I795" s="304"/>
      <c r="J795" s="304"/>
      <c r="K795" s="304"/>
      <c r="L795" s="304"/>
      <c r="M795" s="304"/>
      <c r="N795" s="304"/>
      <c r="O795" s="304"/>
      <c r="P795" s="304"/>
      <c r="Q795" s="304"/>
      <c r="R795" s="304"/>
      <c r="S795" s="304"/>
      <c r="T795" s="304"/>
    </row>
    <row r="796">
      <c r="A796" s="304"/>
      <c r="B796" s="304"/>
      <c r="C796" s="304"/>
      <c r="D796" s="304"/>
      <c r="E796" s="304"/>
      <c r="F796" s="304"/>
      <c r="G796" s="304"/>
      <c r="H796" s="304"/>
      <c r="I796" s="304"/>
      <c r="J796" s="304"/>
      <c r="K796" s="304"/>
      <c r="L796" s="304"/>
      <c r="M796" s="304"/>
      <c r="N796" s="304"/>
      <c r="O796" s="304"/>
      <c r="P796" s="304"/>
      <c r="Q796" s="304"/>
      <c r="R796" s="304"/>
      <c r="S796" s="304"/>
      <c r="T796" s="304"/>
    </row>
    <row r="797">
      <c r="A797" s="304"/>
      <c r="B797" s="304"/>
      <c r="C797" s="304"/>
      <c r="D797" s="304"/>
      <c r="E797" s="304"/>
      <c r="F797" s="304"/>
      <c r="G797" s="304"/>
      <c r="H797" s="304"/>
      <c r="I797" s="304"/>
      <c r="J797" s="304"/>
      <c r="K797" s="304"/>
      <c r="L797" s="304"/>
      <c r="M797" s="304"/>
      <c r="N797" s="304"/>
      <c r="O797" s="304"/>
      <c r="P797" s="304"/>
      <c r="Q797" s="304"/>
      <c r="R797" s="304"/>
      <c r="S797" s="304"/>
      <c r="T797" s="304"/>
    </row>
    <row r="798">
      <c r="A798" s="304"/>
      <c r="B798" s="304"/>
      <c r="C798" s="304"/>
      <c r="D798" s="304"/>
      <c r="E798" s="304"/>
      <c r="F798" s="304"/>
      <c r="G798" s="304"/>
      <c r="H798" s="304"/>
      <c r="I798" s="304"/>
      <c r="J798" s="304"/>
      <c r="K798" s="304"/>
      <c r="L798" s="304"/>
      <c r="M798" s="304"/>
      <c r="N798" s="304"/>
      <c r="O798" s="304"/>
      <c r="P798" s="304"/>
      <c r="Q798" s="304"/>
      <c r="R798" s="304"/>
      <c r="S798" s="304"/>
      <c r="T798" s="304"/>
    </row>
    <row r="799">
      <c r="A799" s="304"/>
      <c r="B799" s="304"/>
      <c r="C799" s="304"/>
      <c r="D799" s="304"/>
      <c r="E799" s="304"/>
      <c r="F799" s="304"/>
      <c r="G799" s="304"/>
      <c r="H799" s="304"/>
      <c r="I799" s="304"/>
      <c r="J799" s="304"/>
      <c r="K799" s="304"/>
      <c r="L799" s="304"/>
      <c r="M799" s="304"/>
      <c r="N799" s="304"/>
      <c r="O799" s="304"/>
      <c r="P799" s="304"/>
      <c r="Q799" s="304"/>
      <c r="R799" s="304"/>
      <c r="S799" s="304"/>
      <c r="T799" s="304"/>
    </row>
    <row r="800">
      <c r="A800" s="304"/>
      <c r="B800" s="304"/>
      <c r="C800" s="304"/>
      <c r="D800" s="304"/>
      <c r="E800" s="304"/>
      <c r="F800" s="304"/>
      <c r="G800" s="304"/>
      <c r="H800" s="304"/>
      <c r="I800" s="304"/>
      <c r="J800" s="304"/>
      <c r="K800" s="304"/>
      <c r="L800" s="304"/>
      <c r="M800" s="304"/>
      <c r="N800" s="304"/>
      <c r="O800" s="304"/>
      <c r="P800" s="304"/>
      <c r="Q800" s="304"/>
      <c r="R800" s="304"/>
      <c r="S800" s="304"/>
      <c r="T800" s="304"/>
    </row>
    <row r="801">
      <c r="A801" s="304"/>
      <c r="B801" s="304"/>
      <c r="C801" s="304"/>
      <c r="D801" s="304"/>
      <c r="E801" s="304"/>
      <c r="F801" s="304"/>
      <c r="G801" s="304"/>
      <c r="H801" s="304"/>
      <c r="I801" s="304"/>
      <c r="J801" s="304"/>
      <c r="K801" s="304"/>
      <c r="L801" s="304"/>
      <c r="M801" s="304"/>
      <c r="N801" s="304"/>
      <c r="O801" s="304"/>
      <c r="P801" s="304"/>
      <c r="Q801" s="304"/>
      <c r="R801" s="304"/>
      <c r="S801" s="304"/>
      <c r="T801" s="304"/>
    </row>
    <row r="802">
      <c r="A802" s="304"/>
      <c r="B802" s="304"/>
      <c r="C802" s="304"/>
      <c r="D802" s="304"/>
      <c r="E802" s="304"/>
      <c r="F802" s="304"/>
      <c r="G802" s="304"/>
      <c r="H802" s="304"/>
      <c r="I802" s="304"/>
      <c r="J802" s="304"/>
      <c r="K802" s="304"/>
      <c r="L802" s="304"/>
      <c r="M802" s="304"/>
      <c r="N802" s="304"/>
      <c r="O802" s="304"/>
      <c r="P802" s="304"/>
      <c r="Q802" s="304"/>
      <c r="R802" s="304"/>
      <c r="S802" s="304"/>
      <c r="T802" s="304"/>
    </row>
    <row r="803">
      <c r="A803" s="304"/>
      <c r="B803" s="304"/>
      <c r="C803" s="304"/>
      <c r="D803" s="304"/>
      <c r="E803" s="304"/>
      <c r="F803" s="304"/>
      <c r="G803" s="304"/>
      <c r="H803" s="304"/>
      <c r="I803" s="304"/>
      <c r="J803" s="304"/>
      <c r="K803" s="304"/>
      <c r="L803" s="304"/>
      <c r="M803" s="304"/>
      <c r="N803" s="304"/>
      <c r="O803" s="304"/>
      <c r="P803" s="304"/>
      <c r="Q803" s="304"/>
      <c r="R803" s="304"/>
      <c r="S803" s="304"/>
      <c r="T803" s="304"/>
    </row>
    <row r="804">
      <c r="A804" s="304"/>
      <c r="B804" s="304"/>
      <c r="C804" s="304"/>
      <c r="D804" s="304"/>
      <c r="E804" s="304"/>
      <c r="F804" s="304"/>
      <c r="G804" s="304"/>
      <c r="H804" s="304"/>
      <c r="I804" s="304"/>
      <c r="J804" s="304"/>
      <c r="K804" s="304"/>
      <c r="L804" s="304"/>
      <c r="M804" s="304"/>
      <c r="N804" s="304"/>
      <c r="O804" s="304"/>
      <c r="P804" s="304"/>
      <c r="Q804" s="304"/>
      <c r="R804" s="304"/>
      <c r="S804" s="304"/>
      <c r="T804" s="304"/>
    </row>
    <row r="805">
      <c r="A805" s="304"/>
      <c r="B805" s="304"/>
      <c r="C805" s="304"/>
      <c r="D805" s="304"/>
      <c r="E805" s="304"/>
      <c r="F805" s="304"/>
      <c r="G805" s="304"/>
      <c r="H805" s="304"/>
      <c r="I805" s="304"/>
      <c r="J805" s="304"/>
      <c r="K805" s="304"/>
      <c r="L805" s="304"/>
      <c r="M805" s="304"/>
      <c r="N805" s="304"/>
      <c r="O805" s="304"/>
      <c r="P805" s="304"/>
      <c r="Q805" s="304"/>
      <c r="R805" s="304"/>
      <c r="S805" s="304"/>
      <c r="T805" s="304"/>
    </row>
    <row r="806">
      <c r="A806" s="304"/>
      <c r="B806" s="304"/>
      <c r="C806" s="304"/>
      <c r="D806" s="304"/>
      <c r="E806" s="304"/>
      <c r="F806" s="304"/>
      <c r="G806" s="304"/>
      <c r="H806" s="304"/>
      <c r="I806" s="304"/>
      <c r="J806" s="304"/>
      <c r="K806" s="304"/>
      <c r="L806" s="304"/>
      <c r="M806" s="304"/>
      <c r="N806" s="304"/>
      <c r="O806" s="304"/>
      <c r="P806" s="304"/>
      <c r="Q806" s="304"/>
      <c r="R806" s="304"/>
      <c r="S806" s="304"/>
      <c r="T806" s="304"/>
    </row>
    <row r="807">
      <c r="A807" s="304"/>
      <c r="B807" s="304"/>
      <c r="C807" s="304"/>
      <c r="D807" s="304"/>
      <c r="E807" s="304"/>
      <c r="F807" s="304"/>
      <c r="G807" s="304"/>
      <c r="H807" s="304"/>
      <c r="I807" s="304"/>
      <c r="J807" s="304"/>
      <c r="K807" s="304"/>
      <c r="L807" s="304"/>
      <c r="M807" s="304"/>
      <c r="N807" s="304"/>
      <c r="O807" s="304"/>
      <c r="P807" s="304"/>
      <c r="Q807" s="304"/>
      <c r="R807" s="304"/>
      <c r="S807" s="304"/>
      <c r="T807" s="304"/>
    </row>
    <row r="808">
      <c r="A808" s="304"/>
      <c r="B808" s="304"/>
      <c r="C808" s="304"/>
      <c r="D808" s="304"/>
      <c r="E808" s="304"/>
      <c r="F808" s="304"/>
      <c r="G808" s="304"/>
      <c r="H808" s="304"/>
      <c r="I808" s="304"/>
      <c r="J808" s="304"/>
      <c r="K808" s="304"/>
      <c r="L808" s="304"/>
      <c r="M808" s="304"/>
      <c r="N808" s="304"/>
      <c r="O808" s="304"/>
      <c r="P808" s="304"/>
      <c r="Q808" s="304"/>
      <c r="R808" s="304"/>
      <c r="S808" s="304"/>
      <c r="T808" s="304"/>
    </row>
    <row r="809">
      <c r="A809" s="304"/>
      <c r="B809" s="304"/>
      <c r="C809" s="304"/>
      <c r="D809" s="304"/>
      <c r="E809" s="304"/>
      <c r="F809" s="304"/>
      <c r="G809" s="304"/>
      <c r="H809" s="304"/>
      <c r="I809" s="304"/>
      <c r="J809" s="304"/>
      <c r="K809" s="304"/>
      <c r="L809" s="304"/>
      <c r="M809" s="304"/>
      <c r="N809" s="304"/>
      <c r="O809" s="304"/>
      <c r="P809" s="304"/>
      <c r="Q809" s="304"/>
      <c r="R809" s="304"/>
      <c r="S809" s="304"/>
      <c r="T809" s="304"/>
    </row>
    <row r="810">
      <c r="A810" s="304"/>
      <c r="B810" s="304"/>
      <c r="C810" s="304"/>
      <c r="D810" s="304"/>
      <c r="E810" s="304"/>
      <c r="F810" s="304"/>
      <c r="G810" s="304"/>
      <c r="H810" s="304"/>
      <c r="I810" s="304"/>
      <c r="J810" s="304"/>
      <c r="K810" s="304"/>
      <c r="L810" s="304"/>
      <c r="M810" s="304"/>
      <c r="N810" s="304"/>
      <c r="O810" s="304"/>
      <c r="P810" s="304"/>
      <c r="Q810" s="304"/>
      <c r="R810" s="304"/>
      <c r="S810" s="304"/>
      <c r="T810" s="304"/>
    </row>
    <row r="811">
      <c r="A811" s="304"/>
      <c r="B811" s="304"/>
      <c r="C811" s="304"/>
      <c r="D811" s="304"/>
      <c r="E811" s="304"/>
      <c r="F811" s="304"/>
      <c r="G811" s="304"/>
      <c r="H811" s="304"/>
      <c r="I811" s="304"/>
      <c r="J811" s="304"/>
      <c r="K811" s="304"/>
      <c r="L811" s="304"/>
      <c r="M811" s="304"/>
      <c r="N811" s="304"/>
      <c r="O811" s="304"/>
      <c r="P811" s="304"/>
      <c r="Q811" s="304"/>
      <c r="R811" s="304"/>
      <c r="S811" s="304"/>
      <c r="T811" s="304"/>
    </row>
    <row r="812">
      <c r="A812" s="304"/>
      <c r="B812" s="304"/>
      <c r="C812" s="304"/>
      <c r="D812" s="304"/>
      <c r="E812" s="304"/>
      <c r="F812" s="304"/>
      <c r="G812" s="304"/>
      <c r="H812" s="304"/>
      <c r="I812" s="304"/>
      <c r="J812" s="304"/>
      <c r="K812" s="304"/>
      <c r="L812" s="304"/>
      <c r="M812" s="304"/>
      <c r="N812" s="304"/>
      <c r="O812" s="304"/>
      <c r="P812" s="304"/>
      <c r="Q812" s="304"/>
      <c r="R812" s="304"/>
      <c r="S812" s="304"/>
      <c r="T812" s="304"/>
    </row>
    <row r="813">
      <c r="A813" s="304"/>
      <c r="B813" s="304"/>
      <c r="C813" s="304"/>
      <c r="D813" s="304"/>
      <c r="E813" s="304"/>
      <c r="F813" s="304"/>
      <c r="G813" s="304"/>
      <c r="H813" s="304"/>
      <c r="I813" s="304"/>
      <c r="J813" s="304"/>
      <c r="K813" s="304"/>
      <c r="L813" s="304"/>
      <c r="M813" s="304"/>
      <c r="N813" s="304"/>
      <c r="O813" s="304"/>
      <c r="P813" s="304"/>
      <c r="Q813" s="304"/>
      <c r="R813" s="304"/>
      <c r="S813" s="304"/>
      <c r="T813" s="304"/>
    </row>
    <row r="814">
      <c r="A814" s="304"/>
      <c r="B814" s="304"/>
      <c r="C814" s="304"/>
      <c r="D814" s="304"/>
      <c r="E814" s="304"/>
      <c r="F814" s="304"/>
      <c r="G814" s="304"/>
      <c r="H814" s="304"/>
      <c r="I814" s="304"/>
      <c r="J814" s="304"/>
      <c r="K814" s="304"/>
      <c r="L814" s="304"/>
      <c r="M814" s="304"/>
      <c r="N814" s="304"/>
      <c r="O814" s="304"/>
      <c r="P814" s="304"/>
      <c r="Q814" s="304"/>
      <c r="R814" s="304"/>
      <c r="S814" s="304"/>
      <c r="T814" s="304"/>
    </row>
    <row r="815">
      <c r="A815" s="304"/>
      <c r="B815" s="304"/>
      <c r="C815" s="304"/>
      <c r="D815" s="304"/>
      <c r="E815" s="304"/>
      <c r="F815" s="304"/>
      <c r="G815" s="304"/>
      <c r="H815" s="304"/>
      <c r="I815" s="304"/>
      <c r="J815" s="304"/>
      <c r="K815" s="304"/>
      <c r="L815" s="304"/>
      <c r="M815" s="304"/>
      <c r="N815" s="304"/>
      <c r="O815" s="304"/>
      <c r="P815" s="304"/>
      <c r="Q815" s="304"/>
      <c r="R815" s="304"/>
      <c r="S815" s="304"/>
      <c r="T815" s="304"/>
    </row>
    <row r="816">
      <c r="A816" s="304"/>
      <c r="B816" s="304"/>
      <c r="C816" s="304"/>
      <c r="D816" s="304"/>
      <c r="E816" s="304"/>
      <c r="F816" s="304"/>
      <c r="G816" s="304"/>
      <c r="H816" s="304"/>
      <c r="I816" s="304"/>
      <c r="J816" s="304"/>
      <c r="K816" s="304"/>
      <c r="L816" s="304"/>
      <c r="M816" s="304"/>
      <c r="N816" s="304"/>
      <c r="O816" s="304"/>
      <c r="P816" s="304"/>
      <c r="Q816" s="304"/>
      <c r="R816" s="304"/>
      <c r="S816" s="304"/>
      <c r="T816" s="304"/>
    </row>
    <row r="817">
      <c r="A817" s="304"/>
      <c r="B817" s="304"/>
      <c r="C817" s="304"/>
      <c r="D817" s="304"/>
      <c r="E817" s="304"/>
      <c r="F817" s="304"/>
      <c r="G817" s="304"/>
      <c r="H817" s="304"/>
      <c r="I817" s="304"/>
      <c r="J817" s="304"/>
      <c r="K817" s="304"/>
      <c r="L817" s="304"/>
      <c r="M817" s="304"/>
      <c r="N817" s="304"/>
      <c r="O817" s="304"/>
      <c r="P817" s="304"/>
      <c r="Q817" s="304"/>
      <c r="R817" s="304"/>
      <c r="S817" s="304"/>
      <c r="T817" s="304"/>
    </row>
    <row r="818">
      <c r="A818" s="304"/>
      <c r="B818" s="304"/>
      <c r="C818" s="304"/>
      <c r="D818" s="304"/>
      <c r="E818" s="304"/>
      <c r="F818" s="304"/>
      <c r="G818" s="304"/>
      <c r="H818" s="304"/>
      <c r="I818" s="304"/>
      <c r="J818" s="304"/>
      <c r="K818" s="304"/>
      <c r="L818" s="304"/>
      <c r="M818" s="304"/>
      <c r="N818" s="304"/>
      <c r="O818" s="304"/>
      <c r="P818" s="304"/>
      <c r="Q818" s="304"/>
      <c r="R818" s="304"/>
      <c r="S818" s="304"/>
      <c r="T818" s="304"/>
    </row>
    <row r="819">
      <c r="A819" s="304"/>
      <c r="B819" s="304"/>
      <c r="C819" s="304"/>
      <c r="D819" s="304"/>
      <c r="E819" s="304"/>
      <c r="F819" s="304"/>
      <c r="G819" s="304"/>
      <c r="H819" s="304"/>
      <c r="I819" s="304"/>
      <c r="J819" s="304"/>
      <c r="K819" s="304"/>
      <c r="L819" s="304"/>
      <c r="M819" s="304"/>
      <c r="N819" s="304"/>
      <c r="O819" s="304"/>
      <c r="P819" s="304"/>
      <c r="Q819" s="304"/>
      <c r="R819" s="304"/>
      <c r="S819" s="304"/>
      <c r="T819" s="304"/>
    </row>
    <row r="820">
      <c r="A820" s="304"/>
      <c r="B820" s="304"/>
      <c r="C820" s="304"/>
      <c r="D820" s="304"/>
      <c r="E820" s="304"/>
      <c r="F820" s="304"/>
      <c r="G820" s="304"/>
      <c r="H820" s="304"/>
      <c r="I820" s="304"/>
      <c r="J820" s="304"/>
      <c r="K820" s="304"/>
      <c r="L820" s="304"/>
      <c r="M820" s="304"/>
      <c r="N820" s="304"/>
      <c r="O820" s="304"/>
      <c r="P820" s="304"/>
      <c r="Q820" s="304"/>
      <c r="R820" s="304"/>
      <c r="S820" s="304"/>
      <c r="T820" s="304"/>
    </row>
    <row r="821">
      <c r="A821" s="304"/>
      <c r="B821" s="304"/>
      <c r="C821" s="304"/>
      <c r="D821" s="304"/>
      <c r="E821" s="304"/>
      <c r="F821" s="304"/>
      <c r="G821" s="304"/>
      <c r="H821" s="304"/>
      <c r="I821" s="304"/>
      <c r="J821" s="304"/>
      <c r="K821" s="304"/>
      <c r="L821" s="304"/>
      <c r="M821" s="304"/>
      <c r="N821" s="304"/>
      <c r="O821" s="304"/>
      <c r="P821" s="304"/>
      <c r="Q821" s="304"/>
      <c r="R821" s="304"/>
      <c r="S821" s="304"/>
      <c r="T821" s="304"/>
    </row>
    <row r="822">
      <c r="A822" s="304"/>
      <c r="B822" s="304"/>
      <c r="C822" s="304"/>
      <c r="D822" s="304"/>
      <c r="E822" s="304"/>
      <c r="F822" s="304"/>
      <c r="G822" s="304"/>
      <c r="H822" s="304"/>
      <c r="I822" s="304"/>
      <c r="J822" s="304"/>
      <c r="K822" s="304"/>
      <c r="L822" s="304"/>
      <c r="M822" s="304"/>
      <c r="N822" s="304"/>
      <c r="O822" s="304"/>
      <c r="P822" s="304"/>
      <c r="Q822" s="304"/>
      <c r="R822" s="304"/>
      <c r="S822" s="304"/>
      <c r="T822" s="304"/>
    </row>
    <row r="823">
      <c r="A823" s="304"/>
      <c r="B823" s="304"/>
      <c r="C823" s="304"/>
      <c r="D823" s="304"/>
      <c r="E823" s="304"/>
      <c r="F823" s="304"/>
      <c r="G823" s="304"/>
      <c r="H823" s="304"/>
      <c r="I823" s="304"/>
      <c r="J823" s="304"/>
      <c r="K823" s="304"/>
      <c r="L823" s="304"/>
      <c r="M823" s="304"/>
      <c r="N823" s="304"/>
      <c r="O823" s="304"/>
      <c r="P823" s="304"/>
      <c r="Q823" s="304"/>
      <c r="R823" s="304"/>
      <c r="S823" s="304"/>
      <c r="T823" s="304"/>
    </row>
    <row r="824">
      <c r="A824" s="304"/>
      <c r="B824" s="304"/>
      <c r="C824" s="304"/>
      <c r="D824" s="304"/>
      <c r="E824" s="304"/>
      <c r="F824" s="304"/>
      <c r="G824" s="304"/>
      <c r="H824" s="304"/>
      <c r="I824" s="304"/>
      <c r="J824" s="304"/>
      <c r="K824" s="304"/>
      <c r="L824" s="304"/>
      <c r="M824" s="304"/>
      <c r="N824" s="304"/>
      <c r="O824" s="304"/>
      <c r="P824" s="304"/>
      <c r="Q824" s="304"/>
      <c r="R824" s="304"/>
      <c r="S824" s="304"/>
      <c r="T824" s="304"/>
    </row>
    <row r="825">
      <c r="A825" s="304"/>
      <c r="B825" s="304"/>
      <c r="C825" s="304"/>
      <c r="D825" s="304"/>
      <c r="E825" s="304"/>
      <c r="F825" s="304"/>
      <c r="G825" s="304"/>
      <c r="H825" s="304"/>
      <c r="I825" s="304"/>
      <c r="J825" s="304"/>
      <c r="K825" s="304"/>
      <c r="L825" s="304"/>
      <c r="M825" s="304"/>
      <c r="N825" s="304"/>
      <c r="O825" s="304"/>
      <c r="P825" s="304"/>
      <c r="Q825" s="304"/>
      <c r="R825" s="304"/>
      <c r="S825" s="304"/>
      <c r="T825" s="304"/>
    </row>
    <row r="826">
      <c r="A826" s="304"/>
      <c r="B826" s="304"/>
      <c r="C826" s="304"/>
      <c r="D826" s="304"/>
      <c r="E826" s="304"/>
      <c r="F826" s="304"/>
      <c r="G826" s="304"/>
      <c r="H826" s="304"/>
      <c r="I826" s="304"/>
      <c r="J826" s="304"/>
      <c r="K826" s="304"/>
      <c r="L826" s="304"/>
      <c r="M826" s="304"/>
      <c r="N826" s="304"/>
      <c r="O826" s="304"/>
      <c r="P826" s="304"/>
      <c r="Q826" s="304"/>
      <c r="R826" s="304"/>
      <c r="S826" s="304"/>
      <c r="T826" s="304"/>
    </row>
    <row r="827">
      <c r="A827" s="304"/>
      <c r="B827" s="304"/>
      <c r="C827" s="304"/>
      <c r="D827" s="304"/>
      <c r="E827" s="304"/>
      <c r="F827" s="304"/>
      <c r="G827" s="304"/>
      <c r="H827" s="304"/>
      <c r="I827" s="304"/>
      <c r="J827" s="304"/>
      <c r="K827" s="304"/>
      <c r="L827" s="304"/>
      <c r="M827" s="304"/>
      <c r="N827" s="304"/>
      <c r="O827" s="304"/>
      <c r="P827" s="304"/>
      <c r="Q827" s="304"/>
      <c r="R827" s="304"/>
      <c r="S827" s="304"/>
      <c r="T827" s="304"/>
    </row>
    <row r="828">
      <c r="A828" s="304"/>
      <c r="B828" s="304"/>
      <c r="C828" s="304"/>
      <c r="D828" s="304"/>
      <c r="E828" s="304"/>
      <c r="F828" s="304"/>
      <c r="G828" s="304"/>
      <c r="H828" s="304"/>
      <c r="I828" s="304"/>
      <c r="J828" s="304"/>
      <c r="K828" s="304"/>
      <c r="L828" s="304"/>
      <c r="M828" s="304"/>
      <c r="N828" s="304"/>
      <c r="O828" s="304"/>
      <c r="P828" s="304"/>
      <c r="Q828" s="304"/>
      <c r="R828" s="304"/>
      <c r="S828" s="304"/>
      <c r="T828" s="304"/>
    </row>
    <row r="829">
      <c r="A829" s="304"/>
      <c r="B829" s="304"/>
      <c r="C829" s="304"/>
      <c r="D829" s="304"/>
      <c r="E829" s="304"/>
      <c r="F829" s="304"/>
      <c r="G829" s="304"/>
      <c r="H829" s="304"/>
      <c r="I829" s="304"/>
      <c r="J829" s="304"/>
      <c r="K829" s="304"/>
      <c r="L829" s="304"/>
      <c r="M829" s="304"/>
      <c r="N829" s="304"/>
      <c r="O829" s="304"/>
      <c r="P829" s="304"/>
      <c r="Q829" s="304"/>
      <c r="R829" s="304"/>
      <c r="S829" s="304"/>
      <c r="T829" s="304"/>
    </row>
    <row r="830">
      <c r="A830" s="304"/>
      <c r="B830" s="304"/>
      <c r="C830" s="304"/>
      <c r="D830" s="304"/>
      <c r="E830" s="304"/>
      <c r="F830" s="304"/>
      <c r="G830" s="304"/>
      <c r="H830" s="304"/>
      <c r="I830" s="304"/>
      <c r="J830" s="304"/>
      <c r="K830" s="304"/>
      <c r="L830" s="304"/>
      <c r="M830" s="304"/>
      <c r="N830" s="304"/>
      <c r="O830" s="304"/>
      <c r="P830" s="304"/>
      <c r="Q830" s="304"/>
      <c r="R830" s="304"/>
      <c r="S830" s="304"/>
      <c r="T830" s="304"/>
    </row>
    <row r="831">
      <c r="A831" s="304"/>
      <c r="B831" s="304"/>
      <c r="C831" s="304"/>
      <c r="D831" s="304"/>
      <c r="E831" s="304"/>
      <c r="F831" s="304"/>
      <c r="G831" s="304"/>
      <c r="H831" s="304"/>
      <c r="I831" s="304"/>
      <c r="J831" s="304"/>
      <c r="K831" s="304"/>
      <c r="L831" s="304"/>
      <c r="M831" s="304"/>
      <c r="N831" s="304"/>
      <c r="O831" s="304"/>
      <c r="P831" s="304"/>
      <c r="Q831" s="304"/>
      <c r="R831" s="304"/>
      <c r="S831" s="304"/>
      <c r="T831" s="304"/>
    </row>
    <row r="832">
      <c r="A832" s="304"/>
      <c r="B832" s="304"/>
      <c r="C832" s="304"/>
      <c r="D832" s="304"/>
      <c r="E832" s="304"/>
      <c r="F832" s="304"/>
      <c r="G832" s="304"/>
      <c r="H832" s="304"/>
      <c r="I832" s="304"/>
      <c r="J832" s="304"/>
      <c r="K832" s="304"/>
      <c r="L832" s="304"/>
      <c r="M832" s="304"/>
      <c r="N832" s="304"/>
      <c r="O832" s="304"/>
      <c r="P832" s="304"/>
      <c r="Q832" s="304"/>
      <c r="R832" s="304"/>
      <c r="S832" s="304"/>
      <c r="T832" s="304"/>
    </row>
    <row r="833">
      <c r="A833" s="304"/>
      <c r="B833" s="304"/>
      <c r="C833" s="304"/>
      <c r="D833" s="304"/>
      <c r="E833" s="304"/>
      <c r="F833" s="304"/>
      <c r="G833" s="304"/>
      <c r="H833" s="304"/>
      <c r="I833" s="304"/>
      <c r="J833" s="304"/>
      <c r="K833" s="304"/>
      <c r="L833" s="304"/>
      <c r="M833" s="304"/>
      <c r="N833" s="304"/>
      <c r="O833" s="304"/>
      <c r="P833" s="304"/>
      <c r="Q833" s="304"/>
      <c r="R833" s="304"/>
      <c r="S833" s="304"/>
      <c r="T833" s="304"/>
    </row>
    <row r="834">
      <c r="A834" s="304"/>
      <c r="B834" s="304"/>
      <c r="C834" s="304"/>
      <c r="D834" s="304"/>
      <c r="E834" s="304"/>
      <c r="F834" s="304"/>
      <c r="G834" s="304"/>
      <c r="H834" s="304"/>
      <c r="I834" s="304"/>
      <c r="J834" s="304"/>
      <c r="K834" s="304"/>
      <c r="L834" s="304"/>
      <c r="M834" s="304"/>
      <c r="N834" s="304"/>
      <c r="O834" s="304"/>
      <c r="P834" s="304"/>
      <c r="Q834" s="304"/>
      <c r="R834" s="304"/>
      <c r="S834" s="304"/>
      <c r="T834" s="304"/>
    </row>
    <row r="835">
      <c r="A835" s="304"/>
      <c r="B835" s="304"/>
      <c r="C835" s="304"/>
      <c r="D835" s="304"/>
      <c r="E835" s="304"/>
      <c r="F835" s="304"/>
      <c r="G835" s="304"/>
      <c r="H835" s="304"/>
      <c r="I835" s="304"/>
      <c r="J835" s="304"/>
      <c r="K835" s="304"/>
      <c r="L835" s="304"/>
      <c r="M835" s="304"/>
      <c r="N835" s="304"/>
      <c r="O835" s="304"/>
      <c r="P835" s="304"/>
      <c r="Q835" s="304"/>
      <c r="R835" s="304"/>
      <c r="S835" s="304"/>
      <c r="T835" s="304"/>
    </row>
    <row r="836">
      <c r="A836" s="304"/>
      <c r="B836" s="304"/>
      <c r="C836" s="304"/>
      <c r="D836" s="304"/>
      <c r="E836" s="304"/>
      <c r="F836" s="304"/>
      <c r="G836" s="304"/>
      <c r="H836" s="304"/>
      <c r="I836" s="304"/>
      <c r="J836" s="304"/>
      <c r="K836" s="304"/>
      <c r="L836" s="304"/>
      <c r="M836" s="304"/>
      <c r="N836" s="304"/>
      <c r="O836" s="304"/>
      <c r="P836" s="304"/>
      <c r="Q836" s="304"/>
      <c r="R836" s="304"/>
      <c r="S836" s="304"/>
      <c r="T836" s="304"/>
    </row>
    <row r="837">
      <c r="A837" s="304"/>
      <c r="B837" s="304"/>
      <c r="C837" s="304"/>
      <c r="D837" s="304"/>
      <c r="E837" s="304"/>
      <c r="F837" s="304"/>
      <c r="G837" s="304"/>
      <c r="H837" s="304"/>
      <c r="I837" s="304"/>
      <c r="J837" s="304"/>
      <c r="K837" s="304"/>
      <c r="L837" s="304"/>
      <c r="M837" s="304"/>
      <c r="N837" s="304"/>
      <c r="O837" s="304"/>
      <c r="P837" s="304"/>
      <c r="Q837" s="304"/>
      <c r="R837" s="304"/>
      <c r="S837" s="304"/>
      <c r="T837" s="304"/>
    </row>
    <row r="838">
      <c r="A838" s="304"/>
      <c r="B838" s="304"/>
      <c r="C838" s="304"/>
      <c r="D838" s="304"/>
      <c r="E838" s="304"/>
      <c r="F838" s="304"/>
      <c r="G838" s="304"/>
      <c r="H838" s="304"/>
      <c r="I838" s="304"/>
      <c r="J838" s="304"/>
      <c r="K838" s="304"/>
      <c r="L838" s="304"/>
      <c r="M838" s="304"/>
      <c r="N838" s="304"/>
      <c r="O838" s="304"/>
      <c r="P838" s="304"/>
      <c r="Q838" s="304"/>
      <c r="R838" s="304"/>
      <c r="S838" s="304"/>
      <c r="T838" s="304"/>
    </row>
    <row r="839">
      <c r="A839" s="304"/>
      <c r="B839" s="304"/>
      <c r="C839" s="304"/>
      <c r="D839" s="304"/>
      <c r="E839" s="304"/>
      <c r="F839" s="304"/>
      <c r="G839" s="304"/>
      <c r="H839" s="304"/>
      <c r="I839" s="304"/>
      <c r="J839" s="304"/>
      <c r="K839" s="304"/>
      <c r="L839" s="304"/>
      <c r="M839" s="304"/>
      <c r="N839" s="304"/>
      <c r="O839" s="304"/>
      <c r="P839" s="304"/>
      <c r="Q839" s="304"/>
      <c r="R839" s="304"/>
      <c r="S839" s="304"/>
      <c r="T839" s="304"/>
    </row>
    <row r="840">
      <c r="A840" s="304"/>
      <c r="B840" s="304"/>
      <c r="C840" s="304"/>
      <c r="D840" s="304"/>
      <c r="E840" s="304"/>
      <c r="F840" s="304"/>
      <c r="G840" s="304"/>
      <c r="H840" s="304"/>
      <c r="I840" s="304"/>
      <c r="J840" s="304"/>
      <c r="K840" s="304"/>
      <c r="L840" s="304"/>
      <c r="M840" s="304"/>
      <c r="N840" s="304"/>
      <c r="O840" s="304"/>
      <c r="P840" s="304"/>
      <c r="Q840" s="304"/>
      <c r="R840" s="304"/>
      <c r="S840" s="304"/>
      <c r="T840" s="304"/>
    </row>
    <row r="841">
      <c r="A841" s="304"/>
      <c r="B841" s="304"/>
      <c r="C841" s="304"/>
      <c r="D841" s="304"/>
      <c r="E841" s="304"/>
      <c r="F841" s="304"/>
      <c r="G841" s="304"/>
      <c r="H841" s="304"/>
      <c r="I841" s="304"/>
      <c r="J841" s="304"/>
      <c r="K841" s="304"/>
      <c r="L841" s="304"/>
      <c r="M841" s="304"/>
      <c r="N841" s="304"/>
      <c r="O841" s="304"/>
      <c r="P841" s="304"/>
      <c r="Q841" s="304"/>
      <c r="R841" s="304"/>
      <c r="S841" s="304"/>
      <c r="T841" s="304"/>
    </row>
    <row r="842">
      <c r="A842" s="304"/>
      <c r="B842" s="304"/>
      <c r="C842" s="304"/>
      <c r="D842" s="304"/>
      <c r="E842" s="304"/>
      <c r="F842" s="304"/>
      <c r="G842" s="304"/>
      <c r="H842" s="304"/>
      <c r="I842" s="304"/>
      <c r="J842" s="304"/>
      <c r="K842" s="304"/>
      <c r="L842" s="304"/>
      <c r="M842" s="304"/>
      <c r="N842" s="304"/>
      <c r="O842" s="304"/>
      <c r="P842" s="304"/>
      <c r="Q842" s="304"/>
      <c r="R842" s="304"/>
      <c r="S842" s="304"/>
      <c r="T842" s="304"/>
    </row>
    <row r="843">
      <c r="A843" s="304"/>
      <c r="B843" s="304"/>
      <c r="C843" s="304"/>
      <c r="D843" s="304"/>
      <c r="E843" s="304"/>
      <c r="F843" s="304"/>
      <c r="G843" s="304"/>
      <c r="H843" s="304"/>
      <c r="I843" s="304"/>
      <c r="J843" s="304"/>
      <c r="K843" s="304"/>
      <c r="L843" s="304"/>
      <c r="M843" s="304"/>
      <c r="N843" s="304"/>
      <c r="O843" s="304"/>
      <c r="P843" s="304"/>
      <c r="Q843" s="304"/>
      <c r="R843" s="304"/>
      <c r="S843" s="304"/>
      <c r="T843" s="304"/>
    </row>
    <row r="844">
      <c r="A844" s="304"/>
      <c r="B844" s="304"/>
      <c r="C844" s="304"/>
      <c r="D844" s="304"/>
      <c r="E844" s="304"/>
      <c r="F844" s="304"/>
      <c r="G844" s="304"/>
      <c r="H844" s="304"/>
      <c r="I844" s="304"/>
      <c r="J844" s="304"/>
      <c r="K844" s="304"/>
      <c r="L844" s="304"/>
      <c r="M844" s="304"/>
      <c r="N844" s="304"/>
      <c r="O844" s="304"/>
      <c r="P844" s="304"/>
      <c r="Q844" s="304"/>
      <c r="R844" s="304"/>
      <c r="S844" s="304"/>
      <c r="T844" s="304"/>
    </row>
    <row r="845">
      <c r="A845" s="304"/>
      <c r="B845" s="304"/>
      <c r="C845" s="304"/>
      <c r="D845" s="304"/>
      <c r="E845" s="304"/>
      <c r="F845" s="304"/>
      <c r="G845" s="304"/>
      <c r="H845" s="304"/>
      <c r="I845" s="304"/>
      <c r="J845" s="304"/>
      <c r="K845" s="304"/>
      <c r="L845" s="304"/>
      <c r="M845" s="304"/>
      <c r="N845" s="304"/>
      <c r="O845" s="304"/>
      <c r="P845" s="304"/>
      <c r="Q845" s="304"/>
      <c r="R845" s="304"/>
      <c r="S845" s="304"/>
      <c r="T845" s="304"/>
    </row>
    <row r="846">
      <c r="A846" s="304"/>
      <c r="B846" s="304"/>
      <c r="C846" s="304"/>
      <c r="D846" s="304"/>
      <c r="E846" s="304"/>
      <c r="F846" s="304"/>
      <c r="G846" s="304"/>
      <c r="H846" s="304"/>
      <c r="I846" s="304"/>
      <c r="J846" s="304"/>
      <c r="K846" s="304"/>
      <c r="L846" s="304"/>
      <c r="M846" s="304"/>
      <c r="N846" s="304"/>
      <c r="O846" s="304"/>
      <c r="P846" s="304"/>
      <c r="Q846" s="304"/>
      <c r="R846" s="304"/>
      <c r="S846" s="304"/>
      <c r="T846" s="304"/>
    </row>
    <row r="847">
      <c r="A847" s="304"/>
      <c r="B847" s="304"/>
      <c r="C847" s="304"/>
      <c r="D847" s="304"/>
      <c r="E847" s="304"/>
      <c r="F847" s="304"/>
      <c r="G847" s="304"/>
      <c r="H847" s="304"/>
      <c r="I847" s="304"/>
      <c r="J847" s="304"/>
      <c r="K847" s="304"/>
      <c r="L847" s="304"/>
      <c r="M847" s="304"/>
      <c r="N847" s="304"/>
      <c r="O847" s="304"/>
      <c r="P847" s="304"/>
      <c r="Q847" s="304"/>
      <c r="R847" s="304"/>
      <c r="S847" s="304"/>
      <c r="T847" s="304"/>
    </row>
    <row r="848">
      <c r="A848" s="304"/>
      <c r="B848" s="304"/>
      <c r="C848" s="304"/>
      <c r="D848" s="304"/>
      <c r="E848" s="304"/>
      <c r="F848" s="304"/>
      <c r="G848" s="304"/>
      <c r="H848" s="304"/>
      <c r="I848" s="304"/>
      <c r="J848" s="304"/>
      <c r="K848" s="304"/>
      <c r="L848" s="304"/>
      <c r="M848" s="304"/>
      <c r="N848" s="304"/>
      <c r="O848" s="304"/>
      <c r="P848" s="304"/>
      <c r="Q848" s="304"/>
      <c r="R848" s="304"/>
      <c r="S848" s="304"/>
      <c r="T848" s="304"/>
    </row>
    <row r="849">
      <c r="A849" s="304"/>
      <c r="B849" s="304"/>
      <c r="C849" s="304"/>
      <c r="D849" s="304"/>
      <c r="E849" s="304"/>
      <c r="F849" s="304"/>
      <c r="G849" s="304"/>
      <c r="H849" s="304"/>
      <c r="I849" s="304"/>
      <c r="J849" s="304"/>
      <c r="K849" s="304"/>
      <c r="L849" s="304"/>
      <c r="M849" s="304"/>
      <c r="N849" s="304"/>
      <c r="O849" s="304"/>
      <c r="P849" s="304"/>
      <c r="Q849" s="304"/>
      <c r="R849" s="304"/>
      <c r="S849" s="304"/>
      <c r="T849" s="304"/>
    </row>
    <row r="850">
      <c r="A850" s="304"/>
      <c r="B850" s="304"/>
      <c r="C850" s="304"/>
      <c r="D850" s="304"/>
      <c r="E850" s="304"/>
      <c r="F850" s="304"/>
      <c r="G850" s="304"/>
      <c r="H850" s="304"/>
      <c r="I850" s="304"/>
      <c r="J850" s="304"/>
      <c r="K850" s="304"/>
      <c r="L850" s="304"/>
      <c r="M850" s="304"/>
      <c r="N850" s="304"/>
      <c r="O850" s="304"/>
      <c r="P850" s="304"/>
      <c r="Q850" s="304"/>
      <c r="R850" s="304"/>
      <c r="S850" s="304"/>
      <c r="T850" s="304"/>
    </row>
    <row r="851">
      <c r="A851" s="304"/>
      <c r="B851" s="304"/>
      <c r="C851" s="304"/>
      <c r="D851" s="304"/>
      <c r="E851" s="304"/>
      <c r="F851" s="304"/>
      <c r="G851" s="304"/>
      <c r="H851" s="304"/>
      <c r="I851" s="304"/>
      <c r="J851" s="304"/>
      <c r="K851" s="304"/>
      <c r="L851" s="304"/>
      <c r="M851" s="304"/>
      <c r="N851" s="304"/>
      <c r="O851" s="304"/>
      <c r="P851" s="304"/>
      <c r="Q851" s="304"/>
      <c r="R851" s="304"/>
      <c r="S851" s="304"/>
      <c r="T851" s="304"/>
    </row>
    <row r="852">
      <c r="A852" s="304"/>
      <c r="B852" s="304"/>
      <c r="C852" s="304"/>
      <c r="D852" s="304"/>
      <c r="E852" s="304"/>
      <c r="F852" s="304"/>
      <c r="G852" s="304"/>
      <c r="H852" s="304"/>
      <c r="I852" s="304"/>
      <c r="J852" s="304"/>
      <c r="K852" s="304"/>
      <c r="L852" s="304"/>
      <c r="M852" s="304"/>
      <c r="N852" s="304"/>
      <c r="O852" s="304"/>
      <c r="P852" s="304"/>
      <c r="Q852" s="304"/>
      <c r="R852" s="304"/>
      <c r="S852" s="304"/>
      <c r="T852" s="304"/>
    </row>
    <row r="853">
      <c r="A853" s="304"/>
      <c r="B853" s="304"/>
      <c r="C853" s="304"/>
      <c r="D853" s="304"/>
      <c r="E853" s="304"/>
      <c r="F853" s="304"/>
      <c r="G853" s="304"/>
      <c r="H853" s="304"/>
      <c r="I853" s="304"/>
      <c r="J853" s="304"/>
      <c r="K853" s="304"/>
      <c r="L853" s="304"/>
      <c r="M853" s="304"/>
      <c r="N853" s="304"/>
      <c r="O853" s="304"/>
      <c r="P853" s="304"/>
      <c r="Q853" s="304"/>
      <c r="R853" s="304"/>
      <c r="S853" s="304"/>
      <c r="T853" s="304"/>
    </row>
    <row r="854">
      <c r="A854" s="304"/>
      <c r="B854" s="304"/>
      <c r="C854" s="304"/>
      <c r="D854" s="304"/>
      <c r="E854" s="304"/>
      <c r="F854" s="304"/>
      <c r="G854" s="304"/>
      <c r="H854" s="304"/>
      <c r="I854" s="304"/>
      <c r="J854" s="304"/>
      <c r="K854" s="304"/>
      <c r="L854" s="304"/>
      <c r="M854" s="304"/>
      <c r="N854" s="304"/>
      <c r="O854" s="304"/>
      <c r="P854" s="304"/>
      <c r="Q854" s="304"/>
      <c r="R854" s="304"/>
      <c r="S854" s="304"/>
      <c r="T854" s="304"/>
    </row>
    <row r="855">
      <c r="A855" s="304"/>
      <c r="B855" s="304"/>
      <c r="C855" s="304"/>
      <c r="D855" s="304"/>
      <c r="E855" s="304"/>
      <c r="F855" s="304"/>
      <c r="G855" s="304"/>
      <c r="H855" s="304"/>
      <c r="I855" s="304"/>
      <c r="J855" s="304"/>
      <c r="K855" s="304"/>
      <c r="L855" s="304"/>
      <c r="M855" s="304"/>
      <c r="N855" s="304"/>
      <c r="O855" s="304"/>
      <c r="P855" s="304"/>
      <c r="Q855" s="304"/>
      <c r="R855" s="304"/>
      <c r="S855" s="304"/>
      <c r="T855" s="304"/>
    </row>
    <row r="856">
      <c r="A856" s="304"/>
      <c r="B856" s="304"/>
      <c r="C856" s="304"/>
      <c r="D856" s="304"/>
      <c r="E856" s="304"/>
      <c r="F856" s="304"/>
      <c r="G856" s="304"/>
      <c r="H856" s="304"/>
      <c r="I856" s="304"/>
      <c r="J856" s="304"/>
      <c r="K856" s="304"/>
      <c r="L856" s="304"/>
      <c r="M856" s="304"/>
      <c r="N856" s="304"/>
      <c r="O856" s="304"/>
      <c r="P856" s="304"/>
      <c r="Q856" s="304"/>
      <c r="R856" s="304"/>
      <c r="S856" s="304"/>
      <c r="T856" s="304"/>
    </row>
    <row r="857">
      <c r="A857" s="304"/>
      <c r="B857" s="304"/>
      <c r="C857" s="304"/>
      <c r="D857" s="304"/>
      <c r="E857" s="304"/>
      <c r="F857" s="304"/>
      <c r="G857" s="304"/>
      <c r="H857" s="304"/>
      <c r="I857" s="304"/>
      <c r="J857" s="304"/>
      <c r="K857" s="304"/>
      <c r="L857" s="304"/>
      <c r="M857" s="304"/>
      <c r="N857" s="304"/>
      <c r="O857" s="304"/>
      <c r="P857" s="304"/>
      <c r="Q857" s="304"/>
      <c r="R857" s="304"/>
      <c r="S857" s="304"/>
      <c r="T857" s="304"/>
    </row>
    <row r="858">
      <c r="A858" s="304"/>
      <c r="B858" s="304"/>
      <c r="C858" s="304"/>
      <c r="D858" s="304"/>
      <c r="E858" s="304"/>
      <c r="F858" s="304"/>
      <c r="G858" s="304"/>
      <c r="H858" s="304"/>
      <c r="I858" s="304"/>
      <c r="J858" s="304"/>
      <c r="K858" s="304"/>
      <c r="L858" s="304"/>
      <c r="M858" s="304"/>
      <c r="N858" s="304"/>
      <c r="O858" s="304"/>
      <c r="P858" s="304"/>
      <c r="Q858" s="304"/>
      <c r="R858" s="304"/>
      <c r="S858" s="304"/>
      <c r="T858" s="304"/>
    </row>
    <row r="859">
      <c r="A859" s="304"/>
      <c r="B859" s="304"/>
      <c r="C859" s="304"/>
      <c r="D859" s="304"/>
      <c r="E859" s="304"/>
      <c r="F859" s="304"/>
      <c r="G859" s="304"/>
      <c r="H859" s="304"/>
      <c r="I859" s="304"/>
      <c r="J859" s="304"/>
      <c r="K859" s="304"/>
      <c r="L859" s="304"/>
      <c r="M859" s="304"/>
      <c r="N859" s="304"/>
      <c r="O859" s="304"/>
      <c r="P859" s="304"/>
      <c r="Q859" s="304"/>
      <c r="R859" s="304"/>
      <c r="S859" s="304"/>
      <c r="T859" s="304"/>
    </row>
    <row r="860">
      <c r="A860" s="304"/>
      <c r="B860" s="304"/>
      <c r="C860" s="304"/>
      <c r="D860" s="304"/>
      <c r="E860" s="304"/>
      <c r="F860" s="304"/>
      <c r="G860" s="304"/>
      <c r="H860" s="304"/>
      <c r="I860" s="304"/>
      <c r="J860" s="304"/>
      <c r="K860" s="304"/>
      <c r="L860" s="304"/>
      <c r="M860" s="304"/>
      <c r="N860" s="304"/>
      <c r="O860" s="304"/>
      <c r="P860" s="304"/>
      <c r="Q860" s="304"/>
      <c r="R860" s="304"/>
      <c r="S860" s="304"/>
      <c r="T860" s="304"/>
    </row>
    <row r="861">
      <c r="A861" s="304"/>
      <c r="B861" s="304"/>
      <c r="C861" s="304"/>
      <c r="D861" s="304"/>
      <c r="E861" s="304"/>
      <c r="F861" s="304"/>
      <c r="G861" s="304"/>
      <c r="H861" s="304"/>
      <c r="I861" s="304"/>
      <c r="J861" s="304"/>
      <c r="K861" s="304"/>
      <c r="L861" s="304"/>
      <c r="M861" s="304"/>
      <c r="N861" s="304"/>
      <c r="O861" s="304"/>
      <c r="P861" s="304"/>
      <c r="Q861" s="304"/>
      <c r="R861" s="304"/>
      <c r="S861" s="304"/>
      <c r="T861" s="304"/>
    </row>
    <row r="862">
      <c r="A862" s="304"/>
      <c r="B862" s="304"/>
      <c r="C862" s="304"/>
      <c r="D862" s="304"/>
      <c r="E862" s="304"/>
      <c r="F862" s="304"/>
      <c r="G862" s="304"/>
      <c r="H862" s="304"/>
      <c r="I862" s="304"/>
      <c r="J862" s="304"/>
      <c r="K862" s="304"/>
      <c r="L862" s="304"/>
      <c r="M862" s="304"/>
      <c r="N862" s="304"/>
      <c r="O862" s="304"/>
      <c r="P862" s="304"/>
      <c r="Q862" s="304"/>
      <c r="R862" s="304"/>
      <c r="S862" s="304"/>
      <c r="T862" s="304"/>
    </row>
    <row r="863">
      <c r="A863" s="304"/>
      <c r="B863" s="304"/>
      <c r="C863" s="304"/>
      <c r="D863" s="304"/>
      <c r="E863" s="304"/>
      <c r="F863" s="304"/>
      <c r="G863" s="304"/>
      <c r="H863" s="304"/>
      <c r="I863" s="304"/>
      <c r="J863" s="304"/>
      <c r="K863" s="304"/>
      <c r="L863" s="304"/>
      <c r="M863" s="304"/>
      <c r="N863" s="304"/>
      <c r="O863" s="304"/>
      <c r="P863" s="304"/>
      <c r="Q863" s="304"/>
      <c r="R863" s="304"/>
      <c r="S863" s="304"/>
      <c r="T863" s="304"/>
    </row>
    <row r="864">
      <c r="A864" s="304"/>
      <c r="B864" s="304"/>
      <c r="C864" s="304"/>
      <c r="D864" s="304"/>
      <c r="E864" s="304"/>
      <c r="F864" s="304"/>
      <c r="G864" s="304"/>
      <c r="H864" s="304"/>
      <c r="I864" s="304"/>
      <c r="J864" s="304"/>
      <c r="K864" s="304"/>
      <c r="L864" s="304"/>
      <c r="M864" s="304"/>
      <c r="N864" s="304"/>
      <c r="O864" s="304"/>
      <c r="P864" s="304"/>
      <c r="Q864" s="304"/>
      <c r="R864" s="304"/>
      <c r="S864" s="304"/>
      <c r="T864" s="304"/>
    </row>
    <row r="865">
      <c r="A865" s="304"/>
      <c r="B865" s="304"/>
      <c r="C865" s="304"/>
      <c r="D865" s="304"/>
      <c r="E865" s="304"/>
      <c r="F865" s="304"/>
      <c r="G865" s="304"/>
      <c r="H865" s="304"/>
      <c r="I865" s="304"/>
      <c r="J865" s="304"/>
      <c r="K865" s="304"/>
      <c r="L865" s="304"/>
      <c r="M865" s="304"/>
      <c r="N865" s="304"/>
      <c r="O865" s="304"/>
      <c r="P865" s="304"/>
      <c r="Q865" s="304"/>
      <c r="R865" s="304"/>
      <c r="S865" s="304"/>
      <c r="T865" s="304"/>
    </row>
    <row r="866">
      <c r="A866" s="304"/>
      <c r="B866" s="304"/>
      <c r="C866" s="304"/>
      <c r="D866" s="304"/>
      <c r="E866" s="304"/>
      <c r="F866" s="304"/>
      <c r="G866" s="304"/>
      <c r="H866" s="304"/>
      <c r="I866" s="304"/>
      <c r="J866" s="304"/>
      <c r="K866" s="304"/>
      <c r="L866" s="304"/>
      <c r="M866" s="304"/>
      <c r="N866" s="304"/>
      <c r="O866" s="304"/>
      <c r="P866" s="304"/>
      <c r="Q866" s="304"/>
      <c r="R866" s="304"/>
      <c r="S866" s="304"/>
      <c r="T866" s="304"/>
    </row>
    <row r="867">
      <c r="A867" s="304"/>
      <c r="B867" s="304"/>
      <c r="C867" s="304"/>
      <c r="D867" s="304"/>
      <c r="E867" s="304"/>
      <c r="F867" s="304"/>
      <c r="G867" s="304"/>
      <c r="H867" s="304"/>
      <c r="I867" s="304"/>
      <c r="J867" s="304"/>
      <c r="K867" s="304"/>
      <c r="L867" s="304"/>
      <c r="M867" s="304"/>
      <c r="N867" s="304"/>
      <c r="O867" s="304"/>
      <c r="P867" s="304"/>
      <c r="Q867" s="304"/>
      <c r="R867" s="304"/>
      <c r="S867" s="304"/>
      <c r="T867" s="304"/>
    </row>
    <row r="868">
      <c r="A868" s="304"/>
      <c r="B868" s="304"/>
      <c r="C868" s="304"/>
      <c r="D868" s="304"/>
      <c r="E868" s="304"/>
      <c r="F868" s="304"/>
      <c r="G868" s="304"/>
      <c r="H868" s="304"/>
      <c r="I868" s="304"/>
      <c r="J868" s="304"/>
      <c r="K868" s="304"/>
      <c r="L868" s="304"/>
      <c r="M868" s="304"/>
      <c r="N868" s="304"/>
      <c r="O868" s="304"/>
      <c r="P868" s="304"/>
      <c r="Q868" s="304"/>
      <c r="R868" s="304"/>
      <c r="S868" s="304"/>
      <c r="T868" s="304"/>
    </row>
    <row r="869">
      <c r="A869" s="304"/>
      <c r="B869" s="304"/>
      <c r="C869" s="304"/>
      <c r="D869" s="304"/>
      <c r="E869" s="304"/>
      <c r="F869" s="304"/>
      <c r="G869" s="304"/>
      <c r="H869" s="304"/>
      <c r="I869" s="304"/>
      <c r="J869" s="304"/>
      <c r="K869" s="304"/>
      <c r="L869" s="304"/>
      <c r="M869" s="304"/>
      <c r="N869" s="304"/>
      <c r="O869" s="304"/>
      <c r="P869" s="304"/>
      <c r="Q869" s="304"/>
      <c r="R869" s="304"/>
      <c r="S869" s="304"/>
      <c r="T869" s="304"/>
    </row>
    <row r="870">
      <c r="A870" s="304"/>
      <c r="B870" s="304"/>
      <c r="C870" s="304"/>
      <c r="D870" s="304"/>
      <c r="E870" s="304"/>
      <c r="F870" s="304"/>
      <c r="G870" s="304"/>
      <c r="H870" s="304"/>
      <c r="I870" s="304"/>
      <c r="J870" s="304"/>
      <c r="K870" s="304"/>
      <c r="L870" s="304"/>
      <c r="M870" s="304"/>
      <c r="N870" s="304"/>
      <c r="O870" s="304"/>
      <c r="P870" s="304"/>
      <c r="Q870" s="304"/>
      <c r="R870" s="304"/>
      <c r="S870" s="304"/>
      <c r="T870" s="304"/>
    </row>
    <row r="871">
      <c r="A871" s="304"/>
      <c r="B871" s="304"/>
      <c r="C871" s="304"/>
      <c r="D871" s="304"/>
      <c r="E871" s="304"/>
      <c r="F871" s="304"/>
      <c r="G871" s="304"/>
      <c r="H871" s="304"/>
      <c r="I871" s="304"/>
      <c r="J871" s="304"/>
      <c r="K871" s="304"/>
      <c r="L871" s="304"/>
      <c r="M871" s="304"/>
      <c r="N871" s="304"/>
      <c r="O871" s="304"/>
      <c r="P871" s="304"/>
      <c r="Q871" s="304"/>
      <c r="R871" s="304"/>
      <c r="S871" s="304"/>
      <c r="T871" s="304"/>
    </row>
    <row r="872">
      <c r="A872" s="304"/>
      <c r="B872" s="304"/>
      <c r="C872" s="304"/>
      <c r="D872" s="304"/>
      <c r="E872" s="304"/>
      <c r="F872" s="304"/>
      <c r="G872" s="304"/>
      <c r="H872" s="304"/>
      <c r="I872" s="304"/>
      <c r="J872" s="304"/>
      <c r="K872" s="304"/>
      <c r="L872" s="304"/>
      <c r="M872" s="304"/>
      <c r="N872" s="304"/>
      <c r="O872" s="304"/>
      <c r="P872" s="304"/>
      <c r="Q872" s="304"/>
      <c r="R872" s="304"/>
      <c r="S872" s="304"/>
      <c r="T872" s="304"/>
    </row>
    <row r="873">
      <c r="A873" s="304"/>
      <c r="B873" s="304"/>
      <c r="C873" s="304"/>
      <c r="D873" s="304"/>
      <c r="E873" s="304"/>
      <c r="F873" s="304"/>
      <c r="G873" s="304"/>
      <c r="H873" s="304"/>
      <c r="I873" s="304"/>
      <c r="J873" s="304"/>
      <c r="K873" s="304"/>
      <c r="L873" s="304"/>
      <c r="M873" s="304"/>
      <c r="N873" s="304"/>
      <c r="O873" s="304"/>
      <c r="P873" s="304"/>
      <c r="Q873" s="304"/>
      <c r="R873" s="304"/>
      <c r="S873" s="304"/>
      <c r="T873" s="304"/>
    </row>
    <row r="874">
      <c r="A874" s="304"/>
      <c r="B874" s="304"/>
      <c r="C874" s="304"/>
      <c r="D874" s="304"/>
      <c r="E874" s="304"/>
      <c r="F874" s="304"/>
      <c r="G874" s="304"/>
      <c r="H874" s="304"/>
      <c r="I874" s="304"/>
      <c r="J874" s="304"/>
      <c r="K874" s="304"/>
      <c r="L874" s="304"/>
      <c r="M874" s="304"/>
      <c r="N874" s="304"/>
      <c r="O874" s="304"/>
      <c r="P874" s="304"/>
      <c r="Q874" s="304"/>
      <c r="R874" s="304"/>
      <c r="S874" s="304"/>
      <c r="T874" s="304"/>
    </row>
    <row r="875">
      <c r="A875" s="304"/>
      <c r="B875" s="304"/>
      <c r="C875" s="304"/>
      <c r="D875" s="304"/>
      <c r="E875" s="304"/>
      <c r="F875" s="304"/>
      <c r="G875" s="304"/>
      <c r="H875" s="304"/>
      <c r="I875" s="304"/>
      <c r="J875" s="304"/>
      <c r="K875" s="304"/>
      <c r="L875" s="304"/>
      <c r="M875" s="304"/>
      <c r="N875" s="304"/>
      <c r="O875" s="304"/>
      <c r="P875" s="304"/>
      <c r="Q875" s="304"/>
      <c r="R875" s="304"/>
      <c r="S875" s="304"/>
      <c r="T875" s="304"/>
    </row>
    <row r="876">
      <c r="A876" s="304"/>
      <c r="B876" s="304"/>
      <c r="C876" s="304"/>
      <c r="D876" s="304"/>
      <c r="E876" s="304"/>
      <c r="F876" s="304"/>
      <c r="G876" s="304"/>
      <c r="H876" s="304"/>
      <c r="I876" s="304"/>
      <c r="J876" s="304"/>
      <c r="K876" s="304"/>
      <c r="L876" s="304"/>
      <c r="M876" s="304"/>
      <c r="N876" s="304"/>
      <c r="O876" s="304"/>
      <c r="P876" s="304"/>
      <c r="Q876" s="304"/>
      <c r="R876" s="304"/>
      <c r="S876" s="304"/>
      <c r="T876" s="304"/>
    </row>
    <row r="877">
      <c r="A877" s="304"/>
      <c r="B877" s="304"/>
      <c r="C877" s="304"/>
      <c r="D877" s="304"/>
      <c r="E877" s="304"/>
      <c r="F877" s="304"/>
      <c r="G877" s="304"/>
      <c r="H877" s="304"/>
      <c r="I877" s="304"/>
      <c r="J877" s="304"/>
      <c r="K877" s="304"/>
      <c r="L877" s="304"/>
      <c r="M877" s="304"/>
      <c r="N877" s="304"/>
      <c r="O877" s="304"/>
      <c r="P877" s="304"/>
      <c r="Q877" s="304"/>
      <c r="R877" s="304"/>
      <c r="S877" s="304"/>
      <c r="T877" s="304"/>
    </row>
    <row r="878">
      <c r="A878" s="304"/>
      <c r="B878" s="304"/>
      <c r="C878" s="304"/>
      <c r="D878" s="304"/>
      <c r="E878" s="304"/>
      <c r="F878" s="304"/>
      <c r="G878" s="304"/>
      <c r="H878" s="304"/>
      <c r="I878" s="304"/>
      <c r="J878" s="304"/>
      <c r="K878" s="304"/>
      <c r="L878" s="304"/>
      <c r="M878" s="304"/>
      <c r="N878" s="304"/>
      <c r="O878" s="304"/>
      <c r="P878" s="304"/>
      <c r="Q878" s="304"/>
      <c r="R878" s="304"/>
      <c r="S878" s="304"/>
      <c r="T878" s="304"/>
    </row>
    <row r="879">
      <c r="A879" s="304"/>
      <c r="B879" s="304"/>
      <c r="C879" s="304"/>
      <c r="D879" s="304"/>
      <c r="E879" s="304"/>
      <c r="F879" s="304"/>
      <c r="G879" s="304"/>
      <c r="H879" s="304"/>
      <c r="I879" s="304"/>
      <c r="J879" s="304"/>
      <c r="K879" s="304"/>
      <c r="L879" s="304"/>
      <c r="M879" s="304"/>
      <c r="N879" s="304"/>
      <c r="O879" s="304"/>
      <c r="P879" s="304"/>
      <c r="Q879" s="304"/>
      <c r="R879" s="304"/>
      <c r="S879" s="304"/>
      <c r="T879" s="304"/>
    </row>
    <row r="880">
      <c r="A880" s="304"/>
      <c r="B880" s="304"/>
      <c r="C880" s="304"/>
      <c r="D880" s="304"/>
      <c r="E880" s="304"/>
      <c r="F880" s="304"/>
      <c r="G880" s="304"/>
      <c r="H880" s="304"/>
      <c r="I880" s="304"/>
      <c r="J880" s="304"/>
      <c r="K880" s="304"/>
      <c r="L880" s="304"/>
      <c r="M880" s="304"/>
      <c r="N880" s="304"/>
      <c r="O880" s="304"/>
      <c r="P880" s="304"/>
      <c r="Q880" s="304"/>
      <c r="R880" s="304"/>
      <c r="S880" s="304"/>
      <c r="T880" s="304"/>
    </row>
    <row r="881">
      <c r="A881" s="304"/>
      <c r="B881" s="304"/>
      <c r="C881" s="304"/>
      <c r="D881" s="304"/>
      <c r="E881" s="304"/>
      <c r="F881" s="304"/>
      <c r="G881" s="304"/>
      <c r="H881" s="304"/>
      <c r="I881" s="304"/>
      <c r="J881" s="304"/>
      <c r="K881" s="304"/>
      <c r="L881" s="304"/>
      <c r="M881" s="304"/>
      <c r="N881" s="304"/>
      <c r="O881" s="304"/>
      <c r="P881" s="304"/>
      <c r="Q881" s="304"/>
      <c r="R881" s="304"/>
      <c r="S881" s="304"/>
      <c r="T881" s="304"/>
    </row>
    <row r="882">
      <c r="A882" s="304"/>
      <c r="B882" s="304"/>
      <c r="C882" s="304"/>
      <c r="D882" s="304"/>
      <c r="E882" s="304"/>
      <c r="F882" s="304"/>
      <c r="G882" s="304"/>
      <c r="H882" s="304"/>
      <c r="I882" s="304"/>
      <c r="J882" s="304"/>
      <c r="K882" s="304"/>
      <c r="L882" s="304"/>
      <c r="M882" s="304"/>
      <c r="N882" s="304"/>
      <c r="O882" s="304"/>
      <c r="P882" s="304"/>
      <c r="Q882" s="304"/>
      <c r="R882" s="304"/>
      <c r="S882" s="304"/>
      <c r="T882" s="304"/>
    </row>
    <row r="883">
      <c r="A883" s="304"/>
      <c r="B883" s="304"/>
      <c r="C883" s="304"/>
      <c r="D883" s="304"/>
      <c r="E883" s="304"/>
      <c r="F883" s="304"/>
      <c r="G883" s="304"/>
      <c r="H883" s="304"/>
      <c r="I883" s="304"/>
      <c r="J883" s="304"/>
      <c r="K883" s="304"/>
      <c r="L883" s="304"/>
      <c r="M883" s="304"/>
      <c r="N883" s="304"/>
      <c r="O883" s="304"/>
      <c r="P883" s="304"/>
      <c r="Q883" s="304"/>
      <c r="R883" s="304"/>
      <c r="S883" s="304"/>
      <c r="T883" s="304"/>
    </row>
    <row r="884">
      <c r="A884" s="304"/>
      <c r="B884" s="304"/>
      <c r="C884" s="304"/>
      <c r="D884" s="304"/>
      <c r="E884" s="304"/>
      <c r="F884" s="304"/>
      <c r="G884" s="304"/>
      <c r="H884" s="304"/>
      <c r="I884" s="304"/>
      <c r="J884" s="304"/>
      <c r="K884" s="304"/>
      <c r="L884" s="304"/>
      <c r="M884" s="304"/>
      <c r="N884" s="304"/>
      <c r="O884" s="304"/>
      <c r="P884" s="304"/>
      <c r="Q884" s="304"/>
      <c r="R884" s="304"/>
      <c r="S884" s="304"/>
      <c r="T884" s="304"/>
    </row>
    <row r="885">
      <c r="A885" s="304"/>
      <c r="B885" s="304"/>
      <c r="C885" s="304"/>
      <c r="D885" s="304"/>
      <c r="E885" s="304"/>
      <c r="F885" s="304"/>
      <c r="G885" s="304"/>
      <c r="H885" s="304"/>
      <c r="I885" s="304"/>
      <c r="J885" s="304"/>
      <c r="K885" s="304"/>
      <c r="L885" s="304"/>
      <c r="M885" s="304"/>
      <c r="N885" s="304"/>
      <c r="O885" s="304"/>
      <c r="P885" s="304"/>
      <c r="Q885" s="304"/>
      <c r="R885" s="304"/>
      <c r="S885" s="304"/>
      <c r="T885" s="304"/>
    </row>
    <row r="886">
      <c r="A886" s="304"/>
      <c r="B886" s="304"/>
      <c r="C886" s="304"/>
      <c r="D886" s="304"/>
      <c r="E886" s="304"/>
      <c r="F886" s="304"/>
      <c r="G886" s="304"/>
      <c r="H886" s="304"/>
      <c r="I886" s="304"/>
      <c r="J886" s="304"/>
      <c r="K886" s="304"/>
      <c r="L886" s="304"/>
      <c r="M886" s="304"/>
      <c r="N886" s="304"/>
      <c r="O886" s="304"/>
      <c r="P886" s="304"/>
      <c r="Q886" s="304"/>
      <c r="R886" s="304"/>
      <c r="S886" s="304"/>
      <c r="T886" s="304"/>
    </row>
    <row r="887">
      <c r="A887" s="304"/>
      <c r="B887" s="304"/>
      <c r="C887" s="304"/>
      <c r="D887" s="304"/>
      <c r="E887" s="304"/>
      <c r="F887" s="304"/>
      <c r="G887" s="304"/>
      <c r="H887" s="304"/>
      <c r="I887" s="304"/>
      <c r="J887" s="304"/>
      <c r="K887" s="304"/>
      <c r="L887" s="304"/>
      <c r="M887" s="304"/>
      <c r="N887" s="304"/>
      <c r="O887" s="304"/>
      <c r="P887" s="304"/>
      <c r="Q887" s="304"/>
      <c r="R887" s="304"/>
      <c r="S887" s="304"/>
      <c r="T887" s="304"/>
    </row>
    <row r="888">
      <c r="A888" s="304"/>
      <c r="B888" s="304"/>
      <c r="C888" s="304"/>
      <c r="D888" s="304"/>
      <c r="E888" s="304"/>
      <c r="F888" s="304"/>
      <c r="G888" s="304"/>
      <c r="H888" s="304"/>
      <c r="I888" s="304"/>
      <c r="J888" s="304"/>
      <c r="K888" s="304"/>
      <c r="L888" s="304"/>
      <c r="M888" s="304"/>
      <c r="N888" s="304"/>
      <c r="O888" s="304"/>
      <c r="P888" s="304"/>
      <c r="Q888" s="304"/>
      <c r="R888" s="304"/>
      <c r="S888" s="304"/>
      <c r="T888" s="304"/>
    </row>
    <row r="889">
      <c r="A889" s="304"/>
      <c r="B889" s="304"/>
      <c r="C889" s="304"/>
      <c r="D889" s="304"/>
      <c r="E889" s="304"/>
      <c r="F889" s="304"/>
      <c r="G889" s="304"/>
      <c r="H889" s="304"/>
      <c r="I889" s="304"/>
      <c r="J889" s="304"/>
      <c r="K889" s="304"/>
      <c r="L889" s="304"/>
      <c r="M889" s="304"/>
      <c r="N889" s="304"/>
      <c r="O889" s="304"/>
      <c r="P889" s="304"/>
      <c r="Q889" s="304"/>
      <c r="R889" s="304"/>
      <c r="S889" s="304"/>
      <c r="T889" s="304"/>
    </row>
    <row r="890">
      <c r="A890" s="304"/>
      <c r="B890" s="304"/>
      <c r="C890" s="304"/>
      <c r="D890" s="304"/>
      <c r="E890" s="304"/>
      <c r="F890" s="304"/>
      <c r="G890" s="304"/>
      <c r="H890" s="304"/>
      <c r="I890" s="304"/>
      <c r="J890" s="304"/>
      <c r="K890" s="304"/>
      <c r="L890" s="304"/>
      <c r="M890" s="304"/>
      <c r="N890" s="304"/>
      <c r="O890" s="304"/>
      <c r="P890" s="304"/>
      <c r="Q890" s="304"/>
      <c r="R890" s="304"/>
      <c r="S890" s="304"/>
      <c r="T890" s="304"/>
    </row>
    <row r="891">
      <c r="A891" s="304"/>
      <c r="B891" s="304"/>
      <c r="C891" s="304"/>
      <c r="D891" s="304"/>
      <c r="E891" s="304"/>
      <c r="F891" s="304"/>
      <c r="G891" s="304"/>
      <c r="H891" s="304"/>
      <c r="I891" s="304"/>
      <c r="J891" s="304"/>
      <c r="K891" s="304"/>
      <c r="L891" s="304"/>
      <c r="M891" s="304"/>
      <c r="N891" s="304"/>
      <c r="O891" s="304"/>
      <c r="P891" s="304"/>
      <c r="Q891" s="304"/>
      <c r="R891" s="304"/>
      <c r="S891" s="304"/>
      <c r="T891" s="304"/>
    </row>
    <row r="892">
      <c r="A892" s="304"/>
      <c r="B892" s="304"/>
      <c r="C892" s="304"/>
      <c r="D892" s="304"/>
      <c r="E892" s="304"/>
      <c r="F892" s="304"/>
      <c r="G892" s="304"/>
      <c r="H892" s="304"/>
      <c r="I892" s="304"/>
      <c r="J892" s="304"/>
      <c r="K892" s="304"/>
      <c r="L892" s="304"/>
      <c r="M892" s="304"/>
      <c r="N892" s="304"/>
      <c r="O892" s="304"/>
      <c r="P892" s="304"/>
      <c r="Q892" s="304"/>
      <c r="R892" s="304"/>
      <c r="S892" s="304"/>
      <c r="T892" s="304"/>
    </row>
    <row r="893">
      <c r="A893" s="304"/>
      <c r="B893" s="304"/>
      <c r="C893" s="304"/>
      <c r="D893" s="304"/>
      <c r="E893" s="304"/>
      <c r="F893" s="304"/>
      <c r="G893" s="304"/>
      <c r="H893" s="304"/>
      <c r="I893" s="304"/>
      <c r="J893" s="304"/>
      <c r="K893" s="304"/>
      <c r="L893" s="304"/>
      <c r="M893" s="304"/>
      <c r="N893" s="304"/>
      <c r="O893" s="304"/>
      <c r="P893" s="304"/>
      <c r="Q893" s="304"/>
      <c r="R893" s="304"/>
      <c r="S893" s="304"/>
      <c r="T893" s="304"/>
    </row>
    <row r="894">
      <c r="A894" s="304"/>
      <c r="B894" s="304"/>
      <c r="C894" s="304"/>
      <c r="D894" s="304"/>
      <c r="E894" s="304"/>
      <c r="F894" s="304"/>
      <c r="G894" s="304"/>
      <c r="H894" s="304"/>
      <c r="I894" s="304"/>
      <c r="J894" s="304"/>
      <c r="K894" s="304"/>
      <c r="L894" s="304"/>
      <c r="M894" s="304"/>
      <c r="N894" s="304"/>
      <c r="O894" s="304"/>
      <c r="P894" s="304"/>
      <c r="Q894" s="304"/>
      <c r="R894" s="304"/>
      <c r="S894" s="304"/>
      <c r="T894" s="304"/>
    </row>
    <row r="895">
      <c r="A895" s="304"/>
      <c r="B895" s="304"/>
      <c r="C895" s="304"/>
      <c r="D895" s="304"/>
      <c r="E895" s="304"/>
      <c r="F895" s="304"/>
      <c r="G895" s="304"/>
      <c r="H895" s="304"/>
      <c r="I895" s="304"/>
      <c r="J895" s="304"/>
      <c r="K895" s="304"/>
      <c r="L895" s="304"/>
      <c r="M895" s="304"/>
      <c r="N895" s="304"/>
      <c r="O895" s="304"/>
      <c r="P895" s="304"/>
      <c r="Q895" s="304"/>
      <c r="R895" s="304"/>
      <c r="S895" s="304"/>
      <c r="T895" s="304"/>
    </row>
    <row r="896">
      <c r="A896" s="304"/>
      <c r="B896" s="304"/>
      <c r="C896" s="304"/>
      <c r="D896" s="304"/>
      <c r="E896" s="304"/>
      <c r="F896" s="304"/>
      <c r="G896" s="304"/>
      <c r="H896" s="304"/>
      <c r="I896" s="304"/>
      <c r="J896" s="304"/>
      <c r="K896" s="304"/>
      <c r="L896" s="304"/>
      <c r="M896" s="304"/>
      <c r="N896" s="304"/>
      <c r="O896" s="304"/>
      <c r="P896" s="304"/>
      <c r="Q896" s="304"/>
      <c r="R896" s="304"/>
      <c r="S896" s="304"/>
      <c r="T896" s="304"/>
    </row>
    <row r="897">
      <c r="A897" s="304"/>
      <c r="B897" s="304"/>
      <c r="C897" s="304"/>
      <c r="D897" s="304"/>
      <c r="E897" s="304"/>
      <c r="F897" s="304"/>
      <c r="G897" s="304"/>
      <c r="H897" s="304"/>
      <c r="I897" s="304"/>
      <c r="J897" s="304"/>
      <c r="K897" s="304"/>
      <c r="L897" s="304"/>
      <c r="M897" s="304"/>
      <c r="N897" s="304"/>
      <c r="O897" s="304"/>
      <c r="P897" s="304"/>
      <c r="Q897" s="304"/>
      <c r="R897" s="304"/>
      <c r="S897" s="304"/>
      <c r="T897" s="304"/>
    </row>
    <row r="898">
      <c r="A898" s="304"/>
      <c r="B898" s="304"/>
      <c r="C898" s="304"/>
      <c r="D898" s="304"/>
      <c r="E898" s="304"/>
      <c r="F898" s="304"/>
      <c r="G898" s="304"/>
      <c r="H898" s="304"/>
      <c r="I898" s="304"/>
      <c r="J898" s="304"/>
      <c r="K898" s="304"/>
      <c r="L898" s="304"/>
      <c r="M898" s="304"/>
      <c r="N898" s="304"/>
      <c r="O898" s="304"/>
      <c r="P898" s="304"/>
      <c r="Q898" s="304"/>
      <c r="R898" s="304"/>
      <c r="S898" s="304"/>
      <c r="T898" s="304"/>
    </row>
    <row r="899">
      <c r="A899" s="304"/>
      <c r="B899" s="304"/>
      <c r="C899" s="304"/>
      <c r="D899" s="304"/>
      <c r="E899" s="304"/>
      <c r="F899" s="304"/>
      <c r="G899" s="304"/>
      <c r="H899" s="304"/>
      <c r="I899" s="304"/>
      <c r="J899" s="304"/>
      <c r="K899" s="304"/>
      <c r="L899" s="304"/>
      <c r="M899" s="304"/>
      <c r="N899" s="304"/>
      <c r="O899" s="304"/>
      <c r="P899" s="304"/>
      <c r="Q899" s="304"/>
      <c r="R899" s="304"/>
      <c r="S899" s="304"/>
      <c r="T899" s="304"/>
    </row>
    <row r="900">
      <c r="A900" s="304"/>
      <c r="B900" s="304"/>
      <c r="C900" s="304"/>
      <c r="D900" s="304"/>
      <c r="E900" s="304"/>
      <c r="F900" s="304"/>
      <c r="G900" s="304"/>
      <c r="H900" s="304"/>
      <c r="I900" s="304"/>
      <c r="J900" s="304"/>
      <c r="K900" s="304"/>
      <c r="L900" s="304"/>
      <c r="M900" s="304"/>
      <c r="N900" s="304"/>
      <c r="O900" s="304"/>
      <c r="P900" s="304"/>
      <c r="Q900" s="304"/>
      <c r="R900" s="304"/>
      <c r="S900" s="304"/>
      <c r="T900" s="304"/>
    </row>
    <row r="901">
      <c r="A901" s="304"/>
      <c r="B901" s="304"/>
      <c r="C901" s="304"/>
      <c r="D901" s="304"/>
      <c r="E901" s="304"/>
      <c r="F901" s="304"/>
      <c r="G901" s="304"/>
      <c r="H901" s="304"/>
      <c r="I901" s="304"/>
      <c r="J901" s="304"/>
      <c r="K901" s="304"/>
      <c r="L901" s="304"/>
      <c r="M901" s="304"/>
      <c r="N901" s="304"/>
      <c r="O901" s="304"/>
      <c r="P901" s="304"/>
      <c r="Q901" s="304"/>
      <c r="R901" s="304"/>
      <c r="S901" s="304"/>
      <c r="T901" s="304"/>
    </row>
    <row r="902">
      <c r="A902" s="304"/>
      <c r="B902" s="304"/>
      <c r="C902" s="304"/>
      <c r="D902" s="304"/>
      <c r="E902" s="304"/>
      <c r="F902" s="304"/>
      <c r="G902" s="304"/>
      <c r="H902" s="304"/>
      <c r="I902" s="304"/>
      <c r="J902" s="304"/>
      <c r="K902" s="304"/>
      <c r="L902" s="304"/>
      <c r="M902" s="304"/>
      <c r="N902" s="304"/>
      <c r="O902" s="304"/>
      <c r="P902" s="304"/>
      <c r="Q902" s="304"/>
      <c r="R902" s="304"/>
      <c r="S902" s="304"/>
      <c r="T902" s="304"/>
    </row>
    <row r="903">
      <c r="A903" s="304"/>
      <c r="B903" s="304"/>
      <c r="C903" s="304"/>
      <c r="D903" s="304"/>
      <c r="E903" s="304"/>
      <c r="F903" s="304"/>
      <c r="G903" s="304"/>
      <c r="H903" s="304"/>
      <c r="I903" s="304"/>
      <c r="J903" s="304"/>
      <c r="K903" s="304"/>
      <c r="L903" s="304"/>
      <c r="M903" s="304"/>
      <c r="N903" s="304"/>
      <c r="O903" s="304"/>
      <c r="P903" s="304"/>
      <c r="Q903" s="304"/>
      <c r="R903" s="304"/>
      <c r="S903" s="304"/>
      <c r="T903" s="304"/>
    </row>
    <row r="904">
      <c r="A904" s="304"/>
      <c r="B904" s="304"/>
      <c r="C904" s="304"/>
      <c r="D904" s="304"/>
      <c r="E904" s="304"/>
      <c r="F904" s="304"/>
      <c r="G904" s="304"/>
      <c r="H904" s="304"/>
      <c r="I904" s="304"/>
      <c r="J904" s="304"/>
      <c r="K904" s="304"/>
      <c r="L904" s="304"/>
      <c r="M904" s="304"/>
      <c r="N904" s="304"/>
      <c r="O904" s="304"/>
      <c r="P904" s="304"/>
      <c r="Q904" s="304"/>
      <c r="R904" s="304"/>
      <c r="S904" s="304"/>
      <c r="T904" s="304"/>
    </row>
    <row r="905">
      <c r="A905" s="304"/>
      <c r="B905" s="304"/>
      <c r="C905" s="304"/>
      <c r="D905" s="304"/>
      <c r="E905" s="304"/>
      <c r="F905" s="304"/>
      <c r="G905" s="304"/>
      <c r="H905" s="304"/>
      <c r="I905" s="304"/>
      <c r="J905" s="304"/>
      <c r="K905" s="304"/>
      <c r="L905" s="304"/>
      <c r="M905" s="304"/>
      <c r="N905" s="304"/>
      <c r="O905" s="304"/>
      <c r="P905" s="304"/>
      <c r="Q905" s="304"/>
      <c r="R905" s="304"/>
      <c r="S905" s="304"/>
      <c r="T905" s="304"/>
    </row>
    <row r="906">
      <c r="A906" s="304"/>
      <c r="B906" s="304"/>
      <c r="C906" s="304"/>
      <c r="D906" s="304"/>
      <c r="E906" s="304"/>
      <c r="F906" s="304"/>
      <c r="G906" s="304"/>
      <c r="H906" s="304"/>
      <c r="I906" s="304"/>
      <c r="J906" s="304"/>
      <c r="K906" s="304"/>
      <c r="L906" s="304"/>
      <c r="M906" s="304"/>
      <c r="N906" s="304"/>
      <c r="O906" s="304"/>
      <c r="P906" s="304"/>
      <c r="Q906" s="304"/>
      <c r="R906" s="304"/>
      <c r="S906" s="304"/>
      <c r="T906" s="304"/>
    </row>
    <row r="907">
      <c r="A907" s="304"/>
      <c r="B907" s="304"/>
      <c r="C907" s="304"/>
      <c r="D907" s="304"/>
      <c r="E907" s="304"/>
      <c r="F907" s="304"/>
      <c r="G907" s="304"/>
      <c r="H907" s="304"/>
      <c r="I907" s="304"/>
      <c r="J907" s="304"/>
      <c r="K907" s="304"/>
      <c r="L907" s="304"/>
      <c r="M907" s="304"/>
      <c r="N907" s="304"/>
      <c r="O907" s="304"/>
      <c r="P907" s="304"/>
      <c r="Q907" s="304"/>
      <c r="R907" s="304"/>
      <c r="S907" s="304"/>
      <c r="T907" s="304"/>
    </row>
    <row r="908">
      <c r="A908" s="304"/>
      <c r="B908" s="304"/>
      <c r="C908" s="304"/>
      <c r="D908" s="304"/>
      <c r="E908" s="304"/>
      <c r="F908" s="304"/>
      <c r="G908" s="304"/>
      <c r="H908" s="304"/>
      <c r="I908" s="304"/>
      <c r="J908" s="304"/>
      <c r="K908" s="304"/>
      <c r="L908" s="304"/>
      <c r="M908" s="304"/>
      <c r="N908" s="304"/>
      <c r="O908" s="304"/>
      <c r="P908" s="304"/>
      <c r="Q908" s="304"/>
      <c r="R908" s="304"/>
      <c r="S908" s="304"/>
      <c r="T908" s="304"/>
    </row>
    <row r="909">
      <c r="A909" s="304"/>
      <c r="B909" s="304"/>
      <c r="C909" s="304"/>
      <c r="D909" s="304"/>
      <c r="E909" s="304"/>
      <c r="F909" s="304"/>
      <c r="G909" s="304"/>
      <c r="H909" s="304"/>
      <c r="I909" s="304"/>
      <c r="J909" s="304"/>
      <c r="K909" s="304"/>
      <c r="L909" s="304"/>
      <c r="M909" s="304"/>
      <c r="N909" s="304"/>
      <c r="O909" s="304"/>
      <c r="P909" s="304"/>
      <c r="Q909" s="304"/>
      <c r="R909" s="304"/>
      <c r="S909" s="304"/>
      <c r="T909" s="304"/>
    </row>
    <row r="910">
      <c r="A910" s="304"/>
      <c r="B910" s="304"/>
      <c r="C910" s="304"/>
      <c r="D910" s="304"/>
      <c r="E910" s="304"/>
      <c r="F910" s="304"/>
      <c r="G910" s="304"/>
      <c r="H910" s="304"/>
      <c r="I910" s="304"/>
      <c r="J910" s="304"/>
      <c r="K910" s="304"/>
      <c r="L910" s="304"/>
      <c r="M910" s="304"/>
      <c r="N910" s="304"/>
      <c r="O910" s="304"/>
      <c r="P910" s="304"/>
      <c r="Q910" s="304"/>
      <c r="R910" s="304"/>
      <c r="S910" s="304"/>
      <c r="T910" s="304"/>
    </row>
    <row r="911">
      <c r="A911" s="304"/>
      <c r="B911" s="304"/>
      <c r="C911" s="304"/>
      <c r="D911" s="304"/>
      <c r="E911" s="304"/>
      <c r="F911" s="304"/>
      <c r="G911" s="304"/>
      <c r="H911" s="304"/>
      <c r="I911" s="304"/>
      <c r="J911" s="304"/>
      <c r="K911" s="304"/>
      <c r="L911" s="304"/>
      <c r="M911" s="304"/>
      <c r="N911" s="304"/>
      <c r="O911" s="304"/>
      <c r="P911" s="304"/>
      <c r="Q911" s="304"/>
      <c r="R911" s="304"/>
      <c r="S911" s="304"/>
      <c r="T911" s="304"/>
    </row>
    <row r="912">
      <c r="A912" s="304"/>
      <c r="B912" s="304"/>
      <c r="C912" s="304"/>
      <c r="D912" s="304"/>
      <c r="E912" s="304"/>
      <c r="F912" s="304"/>
      <c r="G912" s="304"/>
      <c r="H912" s="304"/>
      <c r="I912" s="304"/>
      <c r="J912" s="304"/>
      <c r="K912" s="304"/>
      <c r="L912" s="304"/>
      <c r="M912" s="304"/>
      <c r="N912" s="304"/>
      <c r="O912" s="304"/>
      <c r="P912" s="304"/>
      <c r="Q912" s="304"/>
      <c r="R912" s="304"/>
      <c r="S912" s="304"/>
      <c r="T912" s="304"/>
    </row>
    <row r="913">
      <c r="A913" s="304"/>
      <c r="B913" s="304"/>
      <c r="C913" s="304"/>
      <c r="D913" s="304"/>
      <c r="E913" s="304"/>
      <c r="F913" s="304"/>
      <c r="G913" s="304"/>
      <c r="H913" s="304"/>
      <c r="I913" s="304"/>
      <c r="J913" s="304"/>
      <c r="K913" s="304"/>
      <c r="L913" s="304"/>
      <c r="M913" s="304"/>
      <c r="N913" s="304"/>
      <c r="O913" s="304"/>
      <c r="P913" s="304"/>
      <c r="Q913" s="304"/>
      <c r="R913" s="304"/>
      <c r="S913" s="304"/>
      <c r="T913" s="304"/>
    </row>
    <row r="914">
      <c r="A914" s="304"/>
      <c r="B914" s="304"/>
      <c r="C914" s="304"/>
      <c r="D914" s="304"/>
      <c r="E914" s="304"/>
      <c r="F914" s="304"/>
      <c r="G914" s="304"/>
      <c r="H914" s="304"/>
      <c r="I914" s="304"/>
      <c r="J914" s="304"/>
      <c r="K914" s="304"/>
      <c r="L914" s="304"/>
      <c r="M914" s="304"/>
      <c r="N914" s="304"/>
      <c r="O914" s="304"/>
      <c r="P914" s="304"/>
      <c r="Q914" s="304"/>
      <c r="R914" s="304"/>
      <c r="S914" s="304"/>
      <c r="T914" s="304"/>
    </row>
    <row r="915">
      <c r="A915" s="304"/>
      <c r="B915" s="304"/>
      <c r="C915" s="304"/>
      <c r="D915" s="304"/>
      <c r="E915" s="304"/>
      <c r="F915" s="304"/>
      <c r="G915" s="304"/>
      <c r="H915" s="304"/>
      <c r="I915" s="304"/>
      <c r="J915" s="304"/>
      <c r="K915" s="304"/>
      <c r="L915" s="304"/>
      <c r="M915" s="304"/>
      <c r="N915" s="304"/>
      <c r="O915" s="304"/>
      <c r="P915" s="304"/>
      <c r="Q915" s="304"/>
      <c r="R915" s="304"/>
      <c r="S915" s="304"/>
      <c r="T915" s="304"/>
    </row>
    <row r="916">
      <c r="A916" s="304"/>
      <c r="B916" s="304"/>
      <c r="C916" s="304"/>
      <c r="D916" s="304"/>
      <c r="E916" s="304"/>
      <c r="F916" s="304"/>
      <c r="G916" s="304"/>
      <c r="H916" s="304"/>
      <c r="I916" s="304"/>
      <c r="J916" s="304"/>
      <c r="K916" s="304"/>
      <c r="L916" s="304"/>
      <c r="M916" s="304"/>
      <c r="N916" s="304"/>
      <c r="O916" s="304"/>
      <c r="P916" s="304"/>
      <c r="Q916" s="304"/>
      <c r="R916" s="304"/>
      <c r="S916" s="304"/>
      <c r="T916" s="304"/>
    </row>
    <row r="917">
      <c r="A917" s="304"/>
      <c r="B917" s="304"/>
      <c r="C917" s="304"/>
      <c r="D917" s="304"/>
      <c r="E917" s="304"/>
      <c r="F917" s="304"/>
      <c r="G917" s="304"/>
      <c r="H917" s="304"/>
      <c r="I917" s="304"/>
      <c r="J917" s="304"/>
      <c r="K917" s="304"/>
      <c r="L917" s="304"/>
      <c r="M917" s="304"/>
      <c r="N917" s="304"/>
      <c r="O917" s="304"/>
      <c r="P917" s="304"/>
      <c r="Q917" s="304"/>
      <c r="R917" s="304"/>
      <c r="S917" s="304"/>
      <c r="T917" s="304"/>
    </row>
    <row r="918">
      <c r="A918" s="304"/>
      <c r="B918" s="304"/>
      <c r="C918" s="304"/>
      <c r="D918" s="304"/>
      <c r="E918" s="304"/>
      <c r="F918" s="304"/>
      <c r="G918" s="304"/>
      <c r="H918" s="304"/>
      <c r="I918" s="304"/>
      <c r="J918" s="304"/>
      <c r="K918" s="304"/>
      <c r="L918" s="304"/>
      <c r="M918" s="304"/>
      <c r="N918" s="304"/>
      <c r="O918" s="304"/>
      <c r="P918" s="304"/>
      <c r="Q918" s="304"/>
      <c r="R918" s="304"/>
      <c r="S918" s="304"/>
      <c r="T918" s="304"/>
    </row>
    <row r="919">
      <c r="A919" s="304"/>
      <c r="B919" s="304"/>
      <c r="C919" s="304"/>
      <c r="D919" s="304"/>
      <c r="E919" s="304"/>
      <c r="F919" s="304"/>
      <c r="G919" s="304"/>
      <c r="H919" s="304"/>
      <c r="I919" s="304"/>
      <c r="J919" s="304"/>
      <c r="K919" s="304"/>
      <c r="L919" s="304"/>
      <c r="M919" s="304"/>
      <c r="N919" s="304"/>
      <c r="O919" s="304"/>
      <c r="P919" s="304"/>
      <c r="Q919" s="304"/>
      <c r="R919" s="304"/>
      <c r="S919" s="304"/>
      <c r="T919" s="304"/>
    </row>
    <row r="920">
      <c r="A920" s="304"/>
      <c r="B920" s="304"/>
      <c r="C920" s="304"/>
      <c r="D920" s="304"/>
      <c r="E920" s="304"/>
      <c r="F920" s="304"/>
      <c r="G920" s="304"/>
      <c r="H920" s="304"/>
      <c r="I920" s="304"/>
      <c r="J920" s="304"/>
      <c r="K920" s="304"/>
      <c r="L920" s="304"/>
      <c r="M920" s="304"/>
      <c r="N920" s="304"/>
      <c r="O920" s="304"/>
      <c r="P920" s="304"/>
      <c r="Q920" s="304"/>
      <c r="R920" s="304"/>
      <c r="S920" s="304"/>
      <c r="T920" s="304"/>
    </row>
    <row r="921">
      <c r="A921" s="304"/>
      <c r="B921" s="304"/>
      <c r="C921" s="304"/>
      <c r="D921" s="304"/>
      <c r="E921" s="304"/>
      <c r="F921" s="304"/>
      <c r="G921" s="304"/>
      <c r="H921" s="304"/>
      <c r="I921" s="304"/>
      <c r="J921" s="304"/>
      <c r="K921" s="304"/>
      <c r="L921" s="304"/>
      <c r="M921" s="304"/>
      <c r="N921" s="304"/>
      <c r="O921" s="304"/>
      <c r="P921" s="304"/>
      <c r="Q921" s="304"/>
      <c r="R921" s="304"/>
      <c r="S921" s="304"/>
      <c r="T921" s="304"/>
    </row>
    <row r="922">
      <c r="A922" s="304"/>
      <c r="B922" s="304"/>
      <c r="C922" s="304"/>
      <c r="D922" s="304"/>
      <c r="E922" s="304"/>
      <c r="F922" s="304"/>
      <c r="G922" s="304"/>
      <c r="H922" s="304"/>
      <c r="I922" s="304"/>
      <c r="J922" s="304"/>
      <c r="K922" s="304"/>
      <c r="L922" s="304"/>
      <c r="M922" s="304"/>
      <c r="N922" s="304"/>
      <c r="O922" s="304"/>
      <c r="P922" s="304"/>
      <c r="Q922" s="304"/>
      <c r="R922" s="304"/>
      <c r="S922" s="304"/>
      <c r="T922" s="304"/>
    </row>
    <row r="923">
      <c r="A923" s="304"/>
      <c r="B923" s="304"/>
      <c r="C923" s="304"/>
      <c r="D923" s="304"/>
      <c r="E923" s="304"/>
      <c r="F923" s="304"/>
      <c r="G923" s="304"/>
      <c r="H923" s="304"/>
      <c r="I923" s="304"/>
      <c r="J923" s="304"/>
      <c r="K923" s="304"/>
      <c r="L923" s="304"/>
      <c r="M923" s="304"/>
      <c r="N923" s="304"/>
      <c r="O923" s="304"/>
      <c r="P923" s="304"/>
      <c r="Q923" s="304"/>
      <c r="R923" s="304"/>
      <c r="S923" s="304"/>
      <c r="T923" s="304"/>
    </row>
    <row r="924">
      <c r="A924" s="304"/>
      <c r="B924" s="304"/>
      <c r="C924" s="304"/>
      <c r="D924" s="304"/>
      <c r="E924" s="304"/>
      <c r="F924" s="304"/>
      <c r="G924" s="304"/>
      <c r="H924" s="304"/>
      <c r="I924" s="304"/>
      <c r="J924" s="304"/>
      <c r="K924" s="304"/>
      <c r="L924" s="304"/>
      <c r="M924" s="304"/>
      <c r="N924" s="304"/>
      <c r="O924" s="304"/>
      <c r="P924" s="304"/>
      <c r="Q924" s="304"/>
      <c r="R924" s="304"/>
      <c r="S924" s="304"/>
      <c r="T924" s="304"/>
    </row>
    <row r="925">
      <c r="A925" s="304"/>
      <c r="B925" s="304"/>
      <c r="C925" s="304"/>
      <c r="D925" s="304"/>
      <c r="E925" s="304"/>
      <c r="F925" s="304"/>
      <c r="G925" s="304"/>
      <c r="H925" s="304"/>
      <c r="I925" s="304"/>
      <c r="J925" s="304"/>
      <c r="K925" s="304"/>
      <c r="L925" s="304"/>
      <c r="M925" s="304"/>
      <c r="N925" s="304"/>
      <c r="O925" s="304"/>
      <c r="P925" s="304"/>
      <c r="Q925" s="304"/>
      <c r="R925" s="304"/>
      <c r="S925" s="304"/>
      <c r="T925" s="304"/>
    </row>
    <row r="926">
      <c r="A926" s="304"/>
      <c r="B926" s="304"/>
      <c r="C926" s="304"/>
      <c r="D926" s="304"/>
      <c r="E926" s="304"/>
      <c r="F926" s="304"/>
      <c r="G926" s="304"/>
      <c r="H926" s="304"/>
      <c r="I926" s="304"/>
      <c r="J926" s="304"/>
      <c r="K926" s="304"/>
      <c r="L926" s="304"/>
      <c r="M926" s="304"/>
      <c r="N926" s="304"/>
      <c r="O926" s="304"/>
      <c r="P926" s="304"/>
      <c r="Q926" s="304"/>
      <c r="R926" s="304"/>
      <c r="S926" s="304"/>
      <c r="T926" s="304"/>
    </row>
    <row r="927">
      <c r="A927" s="304"/>
      <c r="B927" s="304"/>
      <c r="C927" s="304"/>
      <c r="D927" s="304"/>
      <c r="E927" s="304"/>
      <c r="F927" s="304"/>
      <c r="G927" s="304"/>
      <c r="H927" s="304"/>
      <c r="I927" s="304"/>
      <c r="J927" s="304"/>
      <c r="K927" s="304"/>
      <c r="L927" s="304"/>
      <c r="M927" s="304"/>
      <c r="N927" s="304"/>
      <c r="O927" s="304"/>
      <c r="P927" s="304"/>
      <c r="Q927" s="304"/>
      <c r="R927" s="304"/>
      <c r="S927" s="304"/>
      <c r="T927" s="304"/>
    </row>
    <row r="928">
      <c r="A928" s="304"/>
      <c r="B928" s="304"/>
      <c r="C928" s="304"/>
      <c r="D928" s="304"/>
      <c r="E928" s="304"/>
      <c r="F928" s="304"/>
      <c r="G928" s="304"/>
      <c r="H928" s="304"/>
      <c r="I928" s="304"/>
      <c r="J928" s="304"/>
      <c r="K928" s="304"/>
      <c r="L928" s="304"/>
      <c r="M928" s="304"/>
      <c r="N928" s="304"/>
      <c r="O928" s="304"/>
      <c r="P928" s="304"/>
      <c r="Q928" s="304"/>
      <c r="R928" s="304"/>
      <c r="S928" s="304"/>
      <c r="T928" s="304"/>
    </row>
    <row r="929">
      <c r="A929" s="304"/>
      <c r="B929" s="304"/>
      <c r="C929" s="304"/>
      <c r="D929" s="304"/>
      <c r="E929" s="304"/>
      <c r="F929" s="304"/>
      <c r="G929" s="304"/>
      <c r="H929" s="304"/>
      <c r="I929" s="304"/>
      <c r="J929" s="304"/>
      <c r="K929" s="304"/>
      <c r="L929" s="304"/>
      <c r="M929" s="304"/>
      <c r="N929" s="304"/>
      <c r="O929" s="304"/>
      <c r="P929" s="304"/>
      <c r="Q929" s="304"/>
      <c r="R929" s="304"/>
      <c r="S929" s="304"/>
      <c r="T929" s="304"/>
    </row>
    <row r="930">
      <c r="A930" s="304"/>
      <c r="B930" s="304"/>
      <c r="C930" s="304"/>
      <c r="D930" s="304"/>
      <c r="E930" s="304"/>
      <c r="F930" s="304"/>
      <c r="G930" s="304"/>
      <c r="H930" s="304"/>
      <c r="I930" s="304"/>
      <c r="J930" s="304"/>
      <c r="K930" s="304"/>
      <c r="L930" s="304"/>
      <c r="M930" s="304"/>
      <c r="N930" s="304"/>
      <c r="O930" s="304"/>
      <c r="P930" s="304"/>
      <c r="Q930" s="304"/>
      <c r="R930" s="304"/>
      <c r="S930" s="304"/>
      <c r="T930" s="304"/>
    </row>
    <row r="931">
      <c r="A931" s="304"/>
      <c r="B931" s="304"/>
      <c r="C931" s="304"/>
      <c r="D931" s="304"/>
      <c r="E931" s="304"/>
      <c r="F931" s="304"/>
      <c r="G931" s="304"/>
      <c r="H931" s="304"/>
      <c r="I931" s="304"/>
      <c r="J931" s="304"/>
      <c r="K931" s="304"/>
      <c r="L931" s="304"/>
      <c r="M931" s="304"/>
      <c r="N931" s="304"/>
      <c r="O931" s="304"/>
      <c r="P931" s="304"/>
      <c r="Q931" s="304"/>
      <c r="R931" s="304"/>
      <c r="S931" s="304"/>
      <c r="T931" s="304"/>
    </row>
    <row r="932">
      <c r="A932" s="304"/>
      <c r="B932" s="304"/>
      <c r="C932" s="304"/>
      <c r="D932" s="304"/>
      <c r="E932" s="304"/>
      <c r="F932" s="304"/>
      <c r="G932" s="304"/>
      <c r="H932" s="304"/>
      <c r="I932" s="304"/>
      <c r="J932" s="304"/>
      <c r="K932" s="304"/>
      <c r="L932" s="304"/>
      <c r="M932" s="304"/>
      <c r="N932" s="304"/>
      <c r="O932" s="304"/>
      <c r="P932" s="304"/>
      <c r="Q932" s="304"/>
      <c r="R932" s="304"/>
      <c r="S932" s="304"/>
      <c r="T932" s="304"/>
    </row>
    <row r="933">
      <c r="A933" s="304"/>
      <c r="B933" s="304"/>
      <c r="C933" s="304"/>
      <c r="D933" s="304"/>
      <c r="E933" s="304"/>
      <c r="F933" s="304"/>
      <c r="G933" s="304"/>
      <c r="H933" s="304"/>
      <c r="I933" s="304"/>
      <c r="J933" s="304"/>
      <c r="K933" s="304"/>
      <c r="L933" s="304"/>
      <c r="M933" s="304"/>
      <c r="N933" s="304"/>
      <c r="O933" s="304"/>
      <c r="P933" s="304"/>
      <c r="Q933" s="304"/>
      <c r="R933" s="304"/>
      <c r="S933" s="304"/>
      <c r="T933" s="304"/>
    </row>
    <row r="934">
      <c r="A934" s="304"/>
      <c r="B934" s="304"/>
      <c r="C934" s="304"/>
      <c r="D934" s="304"/>
      <c r="E934" s="304"/>
      <c r="F934" s="304"/>
      <c r="G934" s="304"/>
      <c r="H934" s="304"/>
      <c r="I934" s="304"/>
      <c r="J934" s="304"/>
      <c r="K934" s="304"/>
      <c r="L934" s="304"/>
      <c r="M934" s="304"/>
      <c r="N934" s="304"/>
      <c r="O934" s="304"/>
      <c r="P934" s="304"/>
      <c r="Q934" s="304"/>
      <c r="R934" s="304"/>
      <c r="S934" s="304"/>
      <c r="T934" s="304"/>
    </row>
    <row r="935">
      <c r="A935" s="304"/>
      <c r="B935" s="304"/>
      <c r="C935" s="304"/>
      <c r="D935" s="304"/>
      <c r="E935" s="304"/>
      <c r="F935" s="304"/>
      <c r="G935" s="304"/>
      <c r="H935" s="304"/>
      <c r="I935" s="304"/>
      <c r="J935" s="304"/>
      <c r="K935" s="304"/>
      <c r="L935" s="304"/>
      <c r="M935" s="304"/>
      <c r="N935" s="304"/>
      <c r="O935" s="304"/>
      <c r="P935" s="304"/>
      <c r="Q935" s="304"/>
      <c r="R935" s="304"/>
      <c r="S935" s="304"/>
      <c r="T935" s="304"/>
    </row>
    <row r="936">
      <c r="A936" s="304"/>
      <c r="B936" s="304"/>
      <c r="C936" s="304"/>
      <c r="D936" s="304"/>
      <c r="E936" s="304"/>
      <c r="F936" s="304"/>
      <c r="G936" s="304"/>
      <c r="H936" s="304"/>
      <c r="I936" s="304"/>
      <c r="J936" s="304"/>
      <c r="K936" s="304"/>
      <c r="L936" s="304"/>
      <c r="M936" s="304"/>
      <c r="N936" s="304"/>
      <c r="O936" s="304"/>
      <c r="P936" s="304"/>
      <c r="Q936" s="304"/>
      <c r="R936" s="304"/>
      <c r="S936" s="304"/>
      <c r="T936" s="304"/>
    </row>
    <row r="937">
      <c r="A937" s="304"/>
      <c r="B937" s="304"/>
      <c r="C937" s="304"/>
      <c r="D937" s="304"/>
      <c r="E937" s="304"/>
      <c r="F937" s="304"/>
      <c r="G937" s="304"/>
      <c r="H937" s="304"/>
      <c r="I937" s="304"/>
      <c r="J937" s="304"/>
      <c r="K937" s="304"/>
      <c r="L937" s="304"/>
      <c r="M937" s="304"/>
      <c r="N937" s="304"/>
      <c r="O937" s="304"/>
      <c r="P937" s="304"/>
      <c r="Q937" s="304"/>
      <c r="R937" s="304"/>
      <c r="S937" s="304"/>
      <c r="T937" s="304"/>
    </row>
    <row r="938">
      <c r="A938" s="304"/>
      <c r="B938" s="304"/>
      <c r="C938" s="304"/>
      <c r="D938" s="304"/>
      <c r="E938" s="304"/>
      <c r="F938" s="304"/>
      <c r="G938" s="304"/>
      <c r="H938" s="304"/>
      <c r="I938" s="304"/>
      <c r="J938" s="304"/>
      <c r="K938" s="304"/>
      <c r="L938" s="304"/>
      <c r="M938" s="304"/>
      <c r="N938" s="304"/>
      <c r="O938" s="304"/>
      <c r="P938" s="304"/>
      <c r="Q938" s="304"/>
      <c r="R938" s="304"/>
      <c r="S938" s="304"/>
      <c r="T938" s="304"/>
    </row>
    <row r="939">
      <c r="A939" s="304"/>
      <c r="B939" s="304"/>
      <c r="C939" s="304"/>
      <c r="D939" s="304"/>
      <c r="E939" s="304"/>
      <c r="F939" s="304"/>
      <c r="G939" s="304"/>
      <c r="H939" s="304"/>
      <c r="I939" s="304"/>
      <c r="J939" s="304"/>
      <c r="K939" s="304"/>
      <c r="L939" s="304"/>
      <c r="M939" s="304"/>
      <c r="N939" s="304"/>
      <c r="O939" s="304"/>
      <c r="P939" s="304"/>
      <c r="Q939" s="304"/>
      <c r="R939" s="304"/>
      <c r="S939" s="304"/>
      <c r="T939" s="304"/>
    </row>
    <row r="940">
      <c r="A940" s="304"/>
      <c r="B940" s="304"/>
      <c r="C940" s="304"/>
      <c r="D940" s="304"/>
      <c r="E940" s="304"/>
      <c r="F940" s="304"/>
      <c r="G940" s="304"/>
      <c r="H940" s="304"/>
      <c r="I940" s="304"/>
      <c r="J940" s="304"/>
      <c r="K940" s="304"/>
      <c r="L940" s="304"/>
      <c r="M940" s="304"/>
      <c r="N940" s="304"/>
      <c r="O940" s="304"/>
      <c r="P940" s="304"/>
      <c r="Q940" s="304"/>
      <c r="R940" s="304"/>
      <c r="S940" s="304"/>
      <c r="T940" s="304"/>
    </row>
    <row r="941">
      <c r="A941" s="304"/>
      <c r="B941" s="304"/>
      <c r="C941" s="304"/>
      <c r="D941" s="304"/>
      <c r="E941" s="304"/>
      <c r="F941" s="304"/>
      <c r="G941" s="304"/>
      <c r="H941" s="304"/>
      <c r="I941" s="304"/>
      <c r="J941" s="304"/>
      <c r="K941" s="304"/>
      <c r="L941" s="304"/>
      <c r="M941" s="304"/>
      <c r="N941" s="304"/>
      <c r="O941" s="304"/>
      <c r="P941" s="304"/>
      <c r="Q941" s="304"/>
      <c r="R941" s="304"/>
      <c r="S941" s="304"/>
      <c r="T941" s="304"/>
    </row>
    <row r="942">
      <c r="A942" s="304"/>
      <c r="B942" s="304"/>
      <c r="C942" s="304"/>
      <c r="D942" s="304"/>
      <c r="E942" s="304"/>
      <c r="F942" s="304"/>
      <c r="G942" s="304"/>
      <c r="H942" s="304"/>
      <c r="I942" s="304"/>
      <c r="J942" s="304"/>
      <c r="K942" s="304"/>
      <c r="L942" s="304"/>
      <c r="M942" s="304"/>
      <c r="N942" s="304"/>
      <c r="O942" s="304"/>
      <c r="P942" s="304"/>
      <c r="Q942" s="304"/>
      <c r="R942" s="304"/>
      <c r="S942" s="304"/>
      <c r="T942" s="304"/>
    </row>
    <row r="943">
      <c r="A943" s="304"/>
      <c r="B943" s="304"/>
      <c r="C943" s="304"/>
      <c r="D943" s="304"/>
      <c r="E943" s="304"/>
      <c r="F943" s="304"/>
      <c r="G943" s="304"/>
      <c r="H943" s="304"/>
      <c r="I943" s="304"/>
      <c r="J943" s="304"/>
      <c r="K943" s="304"/>
      <c r="L943" s="304"/>
      <c r="M943" s="304"/>
      <c r="N943" s="304"/>
      <c r="O943" s="304"/>
      <c r="P943" s="304"/>
      <c r="Q943" s="304"/>
      <c r="R943" s="304"/>
      <c r="S943" s="304"/>
      <c r="T943" s="304"/>
    </row>
    <row r="944">
      <c r="A944" s="304"/>
      <c r="B944" s="304"/>
      <c r="C944" s="304"/>
      <c r="D944" s="304"/>
      <c r="E944" s="304"/>
      <c r="F944" s="304"/>
      <c r="G944" s="304"/>
      <c r="H944" s="304"/>
      <c r="I944" s="304"/>
      <c r="J944" s="304"/>
      <c r="K944" s="304"/>
      <c r="L944" s="304"/>
      <c r="M944" s="304"/>
      <c r="N944" s="304"/>
      <c r="O944" s="304"/>
      <c r="P944" s="304"/>
      <c r="Q944" s="304"/>
      <c r="R944" s="304"/>
      <c r="S944" s="304"/>
      <c r="T944" s="304"/>
    </row>
    <row r="945">
      <c r="A945" s="304"/>
      <c r="B945" s="304"/>
      <c r="C945" s="304"/>
      <c r="D945" s="304"/>
      <c r="E945" s="304"/>
      <c r="F945" s="304"/>
      <c r="G945" s="304"/>
      <c r="H945" s="304"/>
      <c r="I945" s="304"/>
      <c r="J945" s="304"/>
      <c r="K945" s="304"/>
      <c r="L945" s="304"/>
      <c r="M945" s="304"/>
      <c r="N945" s="304"/>
      <c r="O945" s="304"/>
      <c r="P945" s="304"/>
      <c r="Q945" s="304"/>
      <c r="R945" s="304"/>
      <c r="S945" s="304"/>
      <c r="T945" s="304"/>
    </row>
    <row r="946">
      <c r="A946" s="304"/>
      <c r="B946" s="304"/>
      <c r="C946" s="304"/>
      <c r="D946" s="304"/>
      <c r="E946" s="304"/>
      <c r="F946" s="304"/>
      <c r="G946" s="304"/>
      <c r="H946" s="304"/>
      <c r="I946" s="304"/>
      <c r="J946" s="304"/>
      <c r="K946" s="304"/>
      <c r="L946" s="304"/>
      <c r="M946" s="304"/>
      <c r="N946" s="304"/>
      <c r="O946" s="304"/>
      <c r="P946" s="304"/>
      <c r="Q946" s="304"/>
      <c r="R946" s="304"/>
      <c r="S946" s="304"/>
      <c r="T946" s="304"/>
    </row>
    <row r="947">
      <c r="A947" s="304"/>
      <c r="B947" s="304"/>
      <c r="C947" s="304"/>
      <c r="D947" s="304"/>
      <c r="E947" s="304"/>
      <c r="F947" s="304"/>
      <c r="G947" s="304"/>
      <c r="H947" s="304"/>
      <c r="I947" s="304"/>
      <c r="J947" s="304"/>
      <c r="K947" s="304"/>
      <c r="L947" s="304"/>
      <c r="M947" s="304"/>
      <c r="N947" s="304"/>
      <c r="O947" s="304"/>
      <c r="P947" s="304"/>
      <c r="Q947" s="304"/>
      <c r="R947" s="304"/>
      <c r="S947" s="304"/>
      <c r="T947" s="304"/>
    </row>
    <row r="948">
      <c r="A948" s="304"/>
      <c r="B948" s="304"/>
      <c r="C948" s="304"/>
      <c r="D948" s="304"/>
      <c r="E948" s="304"/>
      <c r="F948" s="304"/>
      <c r="G948" s="304"/>
      <c r="H948" s="304"/>
      <c r="I948" s="304"/>
      <c r="J948" s="304"/>
      <c r="K948" s="304"/>
      <c r="L948" s="304"/>
      <c r="M948" s="304"/>
      <c r="N948" s="304"/>
      <c r="O948" s="304"/>
      <c r="P948" s="304"/>
      <c r="Q948" s="304"/>
      <c r="R948" s="304"/>
      <c r="S948" s="304"/>
      <c r="T948" s="304"/>
    </row>
    <row r="949">
      <c r="A949" s="304"/>
      <c r="B949" s="304"/>
      <c r="C949" s="304"/>
      <c r="D949" s="304"/>
      <c r="E949" s="304"/>
      <c r="F949" s="304"/>
      <c r="G949" s="304"/>
      <c r="H949" s="304"/>
      <c r="I949" s="304"/>
      <c r="J949" s="304"/>
      <c r="K949" s="304"/>
      <c r="L949" s="304"/>
      <c r="M949" s="304"/>
      <c r="N949" s="304"/>
      <c r="O949" s="304"/>
      <c r="P949" s="304"/>
      <c r="Q949" s="304"/>
      <c r="R949" s="304"/>
      <c r="S949" s="304"/>
      <c r="T949" s="304"/>
    </row>
    <row r="950">
      <c r="A950" s="304"/>
      <c r="B950" s="304"/>
      <c r="C950" s="304"/>
      <c r="D950" s="304"/>
      <c r="E950" s="304"/>
      <c r="F950" s="304"/>
      <c r="G950" s="304"/>
      <c r="H950" s="304"/>
      <c r="I950" s="304"/>
      <c r="J950" s="304"/>
      <c r="K950" s="304"/>
      <c r="L950" s="304"/>
      <c r="M950" s="304"/>
      <c r="N950" s="304"/>
      <c r="O950" s="304"/>
      <c r="P950" s="304"/>
      <c r="Q950" s="304"/>
      <c r="R950" s="304"/>
      <c r="S950" s="304"/>
      <c r="T950" s="304"/>
    </row>
    <row r="951">
      <c r="A951" s="304"/>
      <c r="B951" s="304"/>
      <c r="C951" s="304"/>
      <c r="D951" s="304"/>
      <c r="E951" s="304"/>
      <c r="F951" s="304"/>
      <c r="G951" s="304"/>
      <c r="H951" s="304"/>
      <c r="I951" s="304"/>
      <c r="J951" s="304"/>
      <c r="K951" s="304"/>
      <c r="L951" s="304"/>
      <c r="M951" s="304"/>
      <c r="N951" s="304"/>
      <c r="O951" s="304"/>
      <c r="P951" s="304"/>
      <c r="Q951" s="304"/>
      <c r="R951" s="304"/>
      <c r="S951" s="304"/>
      <c r="T951" s="304"/>
    </row>
    <row r="952">
      <c r="A952" s="304"/>
      <c r="B952" s="304"/>
      <c r="C952" s="304"/>
      <c r="D952" s="304"/>
      <c r="E952" s="304"/>
      <c r="F952" s="304"/>
      <c r="G952" s="304"/>
      <c r="H952" s="304"/>
      <c r="I952" s="304"/>
      <c r="J952" s="304"/>
      <c r="K952" s="304"/>
      <c r="L952" s="304"/>
      <c r="M952" s="304"/>
      <c r="N952" s="304"/>
      <c r="O952" s="304"/>
      <c r="P952" s="304"/>
      <c r="Q952" s="304"/>
      <c r="R952" s="304"/>
      <c r="S952" s="304"/>
      <c r="T952" s="304"/>
    </row>
    <row r="953">
      <c r="A953" s="304"/>
      <c r="B953" s="304"/>
      <c r="C953" s="304"/>
      <c r="D953" s="304"/>
      <c r="E953" s="304"/>
      <c r="F953" s="304"/>
      <c r="G953" s="304"/>
      <c r="H953" s="304"/>
      <c r="I953" s="304"/>
      <c r="J953" s="304"/>
      <c r="K953" s="304"/>
      <c r="L953" s="304"/>
      <c r="M953" s="304"/>
      <c r="N953" s="304"/>
      <c r="O953" s="304"/>
      <c r="P953" s="304"/>
      <c r="Q953" s="304"/>
      <c r="R953" s="304"/>
      <c r="S953" s="304"/>
      <c r="T953" s="304"/>
    </row>
    <row r="954">
      <c r="A954" s="304"/>
      <c r="B954" s="304"/>
      <c r="C954" s="304"/>
      <c r="D954" s="304"/>
      <c r="E954" s="304"/>
      <c r="F954" s="304"/>
      <c r="G954" s="304"/>
      <c r="H954" s="304"/>
      <c r="I954" s="304"/>
      <c r="J954" s="304"/>
      <c r="K954" s="304"/>
      <c r="L954" s="304"/>
      <c r="M954" s="304"/>
      <c r="N954" s="304"/>
      <c r="O954" s="304"/>
      <c r="P954" s="304"/>
      <c r="Q954" s="304"/>
      <c r="R954" s="304"/>
      <c r="S954" s="304"/>
      <c r="T954" s="304"/>
    </row>
    <row r="955">
      <c r="A955" s="304"/>
      <c r="B955" s="304"/>
      <c r="C955" s="304"/>
      <c r="D955" s="304"/>
      <c r="E955" s="304"/>
      <c r="F955" s="304"/>
      <c r="G955" s="304"/>
      <c r="H955" s="304"/>
      <c r="I955" s="304"/>
      <c r="J955" s="304"/>
      <c r="K955" s="304"/>
      <c r="L955" s="304"/>
      <c r="M955" s="304"/>
      <c r="N955" s="304"/>
      <c r="O955" s="304"/>
      <c r="P955" s="304"/>
      <c r="Q955" s="304"/>
      <c r="R955" s="304"/>
      <c r="S955" s="304"/>
      <c r="T955" s="304"/>
    </row>
    <row r="956">
      <c r="A956" s="304"/>
      <c r="B956" s="304"/>
      <c r="C956" s="304"/>
      <c r="D956" s="304"/>
      <c r="E956" s="304"/>
      <c r="F956" s="304"/>
      <c r="G956" s="304"/>
      <c r="H956" s="304"/>
      <c r="I956" s="304"/>
      <c r="J956" s="304"/>
      <c r="K956" s="304"/>
      <c r="L956" s="304"/>
      <c r="M956" s="304"/>
      <c r="N956" s="304"/>
      <c r="O956" s="304"/>
      <c r="P956" s="304"/>
      <c r="Q956" s="304"/>
      <c r="R956" s="304"/>
      <c r="S956" s="304"/>
      <c r="T956" s="304"/>
    </row>
    <row r="957">
      <c r="A957" s="304"/>
      <c r="B957" s="304"/>
      <c r="C957" s="304"/>
      <c r="D957" s="304"/>
      <c r="E957" s="304"/>
      <c r="F957" s="304"/>
      <c r="G957" s="304"/>
      <c r="H957" s="304"/>
      <c r="I957" s="304"/>
      <c r="J957" s="304"/>
      <c r="K957" s="304"/>
      <c r="L957" s="304"/>
      <c r="M957" s="304"/>
      <c r="N957" s="304"/>
      <c r="O957" s="304"/>
      <c r="P957" s="304"/>
      <c r="Q957" s="304"/>
      <c r="R957" s="304"/>
      <c r="S957" s="304"/>
      <c r="T957" s="304"/>
    </row>
    <row r="958">
      <c r="A958" s="304"/>
      <c r="B958" s="304"/>
      <c r="C958" s="304"/>
      <c r="D958" s="304"/>
      <c r="E958" s="304"/>
      <c r="F958" s="304"/>
      <c r="G958" s="304"/>
      <c r="H958" s="304"/>
      <c r="I958" s="304"/>
      <c r="J958" s="304"/>
      <c r="K958" s="304"/>
      <c r="L958" s="304"/>
      <c r="M958" s="304"/>
      <c r="N958" s="304"/>
      <c r="O958" s="304"/>
      <c r="P958" s="304"/>
      <c r="Q958" s="304"/>
      <c r="R958" s="304"/>
      <c r="S958" s="304"/>
      <c r="T958" s="304"/>
    </row>
    <row r="959">
      <c r="A959" s="304"/>
      <c r="B959" s="304"/>
      <c r="C959" s="304"/>
      <c r="D959" s="304"/>
      <c r="E959" s="304"/>
      <c r="F959" s="304"/>
      <c r="G959" s="304"/>
      <c r="H959" s="304"/>
      <c r="I959" s="304"/>
      <c r="J959" s="304"/>
      <c r="K959" s="304"/>
      <c r="L959" s="304"/>
      <c r="M959" s="304"/>
      <c r="N959" s="304"/>
      <c r="O959" s="304"/>
      <c r="P959" s="304"/>
      <c r="Q959" s="304"/>
      <c r="R959" s="304"/>
      <c r="S959" s="304"/>
      <c r="T959" s="304"/>
    </row>
    <row r="960">
      <c r="A960" s="304"/>
      <c r="B960" s="304"/>
      <c r="C960" s="304"/>
      <c r="D960" s="304"/>
      <c r="E960" s="304"/>
      <c r="F960" s="304"/>
      <c r="G960" s="304"/>
      <c r="H960" s="304"/>
      <c r="I960" s="304"/>
      <c r="J960" s="304"/>
      <c r="K960" s="304"/>
      <c r="L960" s="304"/>
      <c r="M960" s="304"/>
      <c r="N960" s="304"/>
      <c r="O960" s="304"/>
      <c r="P960" s="304"/>
      <c r="Q960" s="304"/>
      <c r="R960" s="304"/>
      <c r="S960" s="304"/>
      <c r="T960" s="304"/>
    </row>
    <row r="961">
      <c r="A961" s="304"/>
      <c r="B961" s="304"/>
      <c r="C961" s="304"/>
      <c r="D961" s="304"/>
      <c r="E961" s="304"/>
      <c r="F961" s="304"/>
      <c r="G961" s="304"/>
      <c r="H961" s="304"/>
      <c r="I961" s="304"/>
      <c r="J961" s="304"/>
      <c r="K961" s="304"/>
      <c r="L961" s="304"/>
      <c r="M961" s="304"/>
      <c r="N961" s="304"/>
      <c r="O961" s="304"/>
      <c r="P961" s="304"/>
      <c r="Q961" s="304"/>
      <c r="R961" s="304"/>
      <c r="S961" s="304"/>
      <c r="T961" s="304"/>
    </row>
    <row r="962">
      <c r="A962" s="304"/>
      <c r="B962" s="304"/>
      <c r="C962" s="304"/>
      <c r="D962" s="304"/>
      <c r="E962" s="304"/>
      <c r="F962" s="304"/>
      <c r="G962" s="304"/>
      <c r="H962" s="304"/>
      <c r="I962" s="304"/>
      <c r="J962" s="304"/>
      <c r="K962" s="304"/>
      <c r="L962" s="304"/>
      <c r="M962" s="304"/>
      <c r="N962" s="304"/>
      <c r="O962" s="304"/>
      <c r="P962" s="304"/>
      <c r="Q962" s="304"/>
      <c r="R962" s="304"/>
      <c r="S962" s="304"/>
      <c r="T962" s="304"/>
    </row>
    <row r="963">
      <c r="A963" s="304"/>
      <c r="B963" s="304"/>
      <c r="C963" s="304"/>
      <c r="D963" s="304"/>
      <c r="E963" s="304"/>
      <c r="F963" s="304"/>
      <c r="G963" s="304"/>
      <c r="H963" s="304"/>
      <c r="I963" s="304"/>
      <c r="J963" s="304"/>
      <c r="K963" s="304"/>
      <c r="L963" s="304"/>
      <c r="M963" s="304"/>
      <c r="N963" s="304"/>
      <c r="O963" s="304"/>
      <c r="P963" s="304"/>
      <c r="Q963" s="304"/>
      <c r="R963" s="304"/>
      <c r="S963" s="304"/>
      <c r="T963" s="304"/>
    </row>
    <row r="964">
      <c r="A964" s="304"/>
      <c r="B964" s="304"/>
      <c r="C964" s="304"/>
      <c r="D964" s="304"/>
      <c r="E964" s="304"/>
      <c r="F964" s="304"/>
      <c r="G964" s="304"/>
      <c r="H964" s="304"/>
      <c r="I964" s="304"/>
      <c r="J964" s="304"/>
      <c r="K964" s="304"/>
      <c r="L964" s="304"/>
      <c r="M964" s="304"/>
      <c r="N964" s="304"/>
      <c r="O964" s="304"/>
      <c r="P964" s="304"/>
      <c r="Q964" s="304"/>
      <c r="R964" s="304"/>
      <c r="S964" s="304"/>
      <c r="T964" s="304"/>
    </row>
    <row r="965">
      <c r="A965" s="304"/>
      <c r="B965" s="304"/>
      <c r="C965" s="304"/>
      <c r="D965" s="304"/>
      <c r="E965" s="304"/>
      <c r="F965" s="304"/>
      <c r="G965" s="304"/>
      <c r="H965" s="304"/>
      <c r="I965" s="304"/>
      <c r="J965" s="304"/>
      <c r="K965" s="304"/>
      <c r="L965" s="304"/>
      <c r="M965" s="304"/>
      <c r="N965" s="304"/>
      <c r="O965" s="304"/>
      <c r="P965" s="304"/>
      <c r="Q965" s="304"/>
      <c r="R965" s="304"/>
      <c r="S965" s="304"/>
      <c r="T965" s="304"/>
    </row>
    <row r="966">
      <c r="A966" s="304"/>
      <c r="B966" s="304"/>
      <c r="C966" s="304"/>
      <c r="D966" s="304"/>
      <c r="E966" s="304"/>
      <c r="F966" s="304"/>
      <c r="G966" s="304"/>
      <c r="H966" s="304"/>
      <c r="I966" s="304"/>
      <c r="J966" s="304"/>
      <c r="K966" s="304"/>
      <c r="L966" s="304"/>
      <c r="M966" s="304"/>
      <c r="N966" s="304"/>
      <c r="O966" s="304"/>
      <c r="P966" s="304"/>
      <c r="Q966" s="304"/>
      <c r="R966" s="304"/>
      <c r="S966" s="304"/>
      <c r="T966" s="304"/>
    </row>
    <row r="967">
      <c r="A967" s="304"/>
      <c r="B967" s="304"/>
      <c r="C967" s="304"/>
      <c r="D967" s="304"/>
      <c r="E967" s="304"/>
      <c r="F967" s="304"/>
      <c r="G967" s="304"/>
      <c r="H967" s="304"/>
      <c r="I967" s="304"/>
      <c r="J967" s="304"/>
      <c r="K967" s="304"/>
      <c r="L967" s="304"/>
      <c r="M967" s="304"/>
      <c r="N967" s="304"/>
      <c r="O967" s="304"/>
      <c r="P967" s="304"/>
      <c r="Q967" s="304"/>
      <c r="R967" s="304"/>
      <c r="S967" s="304"/>
      <c r="T967" s="304"/>
    </row>
    <row r="968">
      <c r="A968" s="304"/>
      <c r="B968" s="304"/>
      <c r="C968" s="304"/>
      <c r="D968" s="304"/>
      <c r="E968" s="304"/>
      <c r="F968" s="304"/>
      <c r="G968" s="304"/>
      <c r="H968" s="304"/>
      <c r="I968" s="304"/>
      <c r="J968" s="304"/>
      <c r="K968" s="304"/>
      <c r="L968" s="304"/>
      <c r="M968" s="304"/>
      <c r="N968" s="304"/>
      <c r="O968" s="304"/>
      <c r="P968" s="304"/>
      <c r="Q968" s="304"/>
      <c r="R968" s="304"/>
      <c r="S968" s="304"/>
      <c r="T968" s="304"/>
    </row>
    <row r="969">
      <c r="A969" s="304"/>
      <c r="B969" s="304"/>
      <c r="C969" s="304"/>
      <c r="D969" s="304"/>
      <c r="E969" s="304"/>
      <c r="F969" s="304"/>
      <c r="G969" s="304"/>
      <c r="H969" s="304"/>
      <c r="I969" s="304"/>
      <c r="J969" s="304"/>
      <c r="K969" s="304"/>
      <c r="L969" s="304"/>
      <c r="M969" s="304"/>
      <c r="N969" s="304"/>
      <c r="O969" s="304"/>
      <c r="P969" s="304"/>
      <c r="Q969" s="304"/>
      <c r="R969" s="304"/>
      <c r="S969" s="304"/>
      <c r="T969" s="304"/>
    </row>
    <row r="970">
      <c r="A970" s="304"/>
      <c r="B970" s="304"/>
      <c r="C970" s="304"/>
      <c r="D970" s="304"/>
      <c r="E970" s="304"/>
      <c r="F970" s="304"/>
      <c r="G970" s="304"/>
      <c r="H970" s="304"/>
      <c r="I970" s="304"/>
      <c r="J970" s="304"/>
      <c r="K970" s="304"/>
      <c r="L970" s="304"/>
      <c r="M970" s="304"/>
      <c r="N970" s="304"/>
      <c r="O970" s="304"/>
      <c r="P970" s="304"/>
      <c r="Q970" s="304"/>
      <c r="R970" s="304"/>
      <c r="S970" s="304"/>
      <c r="T970" s="304"/>
    </row>
    <row r="971">
      <c r="A971" s="304"/>
      <c r="B971" s="304"/>
      <c r="C971" s="304"/>
      <c r="D971" s="304"/>
      <c r="E971" s="304"/>
      <c r="F971" s="304"/>
      <c r="G971" s="304"/>
      <c r="H971" s="304"/>
      <c r="I971" s="304"/>
      <c r="J971" s="304"/>
      <c r="K971" s="304"/>
      <c r="L971" s="304"/>
      <c r="M971" s="304"/>
      <c r="N971" s="304"/>
      <c r="O971" s="304"/>
      <c r="P971" s="304"/>
      <c r="Q971" s="304"/>
      <c r="R971" s="304"/>
      <c r="S971" s="304"/>
      <c r="T971" s="304"/>
    </row>
    <row r="972">
      <c r="A972" s="304"/>
      <c r="B972" s="304"/>
      <c r="C972" s="304"/>
      <c r="D972" s="304"/>
      <c r="E972" s="304"/>
      <c r="F972" s="304"/>
      <c r="G972" s="304"/>
      <c r="H972" s="304"/>
      <c r="I972" s="304"/>
      <c r="J972" s="304"/>
      <c r="K972" s="304"/>
      <c r="L972" s="304"/>
      <c r="M972" s="304"/>
      <c r="N972" s="304"/>
      <c r="O972" s="304"/>
      <c r="P972" s="304"/>
      <c r="Q972" s="304"/>
      <c r="R972" s="304"/>
      <c r="S972" s="304"/>
      <c r="T972" s="304"/>
    </row>
    <row r="973">
      <c r="A973" s="304"/>
      <c r="B973" s="304"/>
      <c r="C973" s="304"/>
      <c r="D973" s="304"/>
      <c r="E973" s="304"/>
      <c r="F973" s="304"/>
      <c r="G973" s="304"/>
      <c r="H973" s="304"/>
      <c r="I973" s="304"/>
      <c r="J973" s="304"/>
      <c r="K973" s="304"/>
      <c r="L973" s="304"/>
      <c r="M973" s="304"/>
      <c r="N973" s="304"/>
      <c r="O973" s="304"/>
      <c r="P973" s="304"/>
      <c r="Q973" s="304"/>
      <c r="R973" s="304"/>
      <c r="S973" s="304"/>
      <c r="T973" s="304"/>
    </row>
    <row r="974">
      <c r="A974" s="304"/>
      <c r="B974" s="304"/>
      <c r="C974" s="304"/>
      <c r="D974" s="304"/>
      <c r="E974" s="304"/>
      <c r="F974" s="304"/>
      <c r="G974" s="304"/>
      <c r="H974" s="304"/>
      <c r="I974" s="304"/>
      <c r="J974" s="304"/>
      <c r="K974" s="304"/>
      <c r="L974" s="304"/>
      <c r="M974" s="304"/>
      <c r="N974" s="304"/>
      <c r="O974" s="304"/>
      <c r="P974" s="304"/>
      <c r="Q974" s="304"/>
      <c r="R974" s="304"/>
      <c r="S974" s="304"/>
      <c r="T974" s="304"/>
    </row>
    <row r="975">
      <c r="A975" s="304"/>
      <c r="B975" s="304"/>
      <c r="C975" s="304"/>
      <c r="D975" s="304"/>
      <c r="E975" s="304"/>
      <c r="F975" s="304"/>
      <c r="G975" s="304"/>
      <c r="H975" s="304"/>
      <c r="I975" s="304"/>
      <c r="J975" s="304"/>
      <c r="K975" s="304"/>
      <c r="L975" s="304"/>
      <c r="M975" s="304"/>
      <c r="N975" s="304"/>
      <c r="O975" s="304"/>
      <c r="P975" s="304"/>
      <c r="Q975" s="304"/>
      <c r="R975" s="304"/>
      <c r="S975" s="304"/>
      <c r="T975" s="304"/>
    </row>
    <row r="976">
      <c r="A976" s="304"/>
      <c r="B976" s="304"/>
      <c r="C976" s="304"/>
      <c r="D976" s="304"/>
      <c r="E976" s="304"/>
      <c r="F976" s="304"/>
      <c r="G976" s="304"/>
      <c r="H976" s="304"/>
      <c r="I976" s="304"/>
      <c r="J976" s="304"/>
      <c r="K976" s="304"/>
      <c r="L976" s="304"/>
      <c r="M976" s="304"/>
      <c r="N976" s="304"/>
      <c r="O976" s="304"/>
      <c r="P976" s="304"/>
      <c r="Q976" s="304"/>
      <c r="R976" s="304"/>
      <c r="S976" s="304"/>
      <c r="T976" s="304"/>
    </row>
    <row r="977">
      <c r="A977" s="304"/>
      <c r="B977" s="304"/>
      <c r="C977" s="304"/>
      <c r="D977" s="304"/>
      <c r="E977" s="304"/>
      <c r="F977" s="304"/>
      <c r="G977" s="304"/>
      <c r="H977" s="304"/>
      <c r="I977" s="304"/>
      <c r="J977" s="304"/>
      <c r="K977" s="304"/>
      <c r="L977" s="304"/>
      <c r="M977" s="304"/>
      <c r="N977" s="304"/>
      <c r="O977" s="304"/>
      <c r="P977" s="304"/>
      <c r="Q977" s="304"/>
      <c r="R977" s="304"/>
      <c r="S977" s="304"/>
      <c r="T977" s="304"/>
    </row>
    <row r="978">
      <c r="A978" s="304"/>
      <c r="B978" s="304"/>
      <c r="C978" s="304"/>
      <c r="D978" s="304"/>
      <c r="E978" s="304"/>
      <c r="F978" s="304"/>
      <c r="G978" s="304"/>
      <c r="H978" s="304"/>
      <c r="I978" s="304"/>
      <c r="J978" s="304"/>
      <c r="K978" s="304"/>
      <c r="L978" s="304"/>
      <c r="M978" s="304"/>
      <c r="N978" s="304"/>
      <c r="O978" s="304"/>
      <c r="P978" s="304"/>
      <c r="Q978" s="304"/>
      <c r="R978" s="304"/>
      <c r="S978" s="304"/>
      <c r="T978" s="304"/>
    </row>
    <row r="979">
      <c r="A979" s="304"/>
      <c r="B979" s="304"/>
      <c r="C979" s="304"/>
      <c r="D979" s="304"/>
      <c r="E979" s="304"/>
      <c r="F979" s="304"/>
      <c r="G979" s="304"/>
      <c r="H979" s="304"/>
      <c r="I979" s="304"/>
      <c r="J979" s="304"/>
      <c r="K979" s="304"/>
      <c r="L979" s="304"/>
      <c r="M979" s="304"/>
      <c r="N979" s="304"/>
      <c r="O979" s="304"/>
      <c r="P979" s="304"/>
      <c r="Q979" s="304"/>
      <c r="R979" s="304"/>
      <c r="S979" s="304"/>
      <c r="T979" s="304"/>
    </row>
    <row r="980">
      <c r="A980" s="304"/>
      <c r="B980" s="304"/>
      <c r="C980" s="304"/>
      <c r="D980" s="304"/>
      <c r="E980" s="304"/>
      <c r="F980" s="304"/>
      <c r="G980" s="304"/>
      <c r="H980" s="304"/>
      <c r="I980" s="304"/>
      <c r="J980" s="304"/>
      <c r="K980" s="304"/>
      <c r="L980" s="304"/>
      <c r="M980" s="304"/>
      <c r="N980" s="304"/>
      <c r="O980" s="304"/>
      <c r="P980" s="304"/>
      <c r="Q980" s="304"/>
      <c r="R980" s="304"/>
      <c r="S980" s="304"/>
      <c r="T980" s="304"/>
    </row>
    <row r="981">
      <c r="A981" s="304"/>
      <c r="B981" s="304"/>
      <c r="C981" s="304"/>
      <c r="D981" s="304"/>
      <c r="E981" s="304"/>
      <c r="F981" s="304"/>
      <c r="G981" s="304"/>
      <c r="H981" s="304"/>
      <c r="I981" s="304"/>
      <c r="J981" s="304"/>
      <c r="K981" s="304"/>
      <c r="L981" s="304"/>
      <c r="M981" s="304"/>
      <c r="N981" s="304"/>
      <c r="O981" s="304"/>
      <c r="P981" s="304"/>
      <c r="Q981" s="304"/>
      <c r="R981" s="304"/>
      <c r="S981" s="304"/>
      <c r="T981" s="304"/>
    </row>
    <row r="982">
      <c r="A982" s="304"/>
      <c r="B982" s="304"/>
      <c r="C982" s="304"/>
      <c r="D982" s="304"/>
      <c r="E982" s="304"/>
      <c r="F982" s="304"/>
      <c r="G982" s="304"/>
      <c r="H982" s="304"/>
      <c r="I982" s="304"/>
      <c r="J982" s="304"/>
      <c r="K982" s="304"/>
      <c r="L982" s="304"/>
      <c r="M982" s="304"/>
      <c r="N982" s="304"/>
      <c r="O982" s="304"/>
      <c r="P982" s="304"/>
      <c r="Q982" s="304"/>
      <c r="R982" s="304"/>
      <c r="S982" s="304"/>
      <c r="T982" s="304"/>
    </row>
    <row r="983">
      <c r="A983" s="304"/>
      <c r="B983" s="304"/>
      <c r="C983" s="304"/>
      <c r="D983" s="304"/>
      <c r="E983" s="304"/>
      <c r="F983" s="304"/>
      <c r="G983" s="304"/>
      <c r="H983" s="304"/>
      <c r="I983" s="304"/>
      <c r="J983" s="304"/>
      <c r="K983" s="304"/>
      <c r="L983" s="304"/>
      <c r="M983" s="304"/>
      <c r="N983" s="304"/>
      <c r="O983" s="304"/>
      <c r="P983" s="304"/>
      <c r="Q983" s="304"/>
      <c r="R983" s="304"/>
      <c r="S983" s="304"/>
      <c r="T983" s="304"/>
    </row>
    <row r="984">
      <c r="A984" s="304"/>
      <c r="B984" s="304"/>
      <c r="C984" s="304"/>
      <c r="D984" s="304"/>
      <c r="E984" s="304"/>
      <c r="F984" s="304"/>
      <c r="G984" s="304"/>
      <c r="H984" s="304"/>
      <c r="I984" s="304"/>
      <c r="J984" s="304"/>
      <c r="K984" s="304"/>
      <c r="L984" s="304"/>
      <c r="M984" s="304"/>
      <c r="N984" s="304"/>
      <c r="O984" s="304"/>
      <c r="P984" s="304"/>
      <c r="Q984" s="304"/>
      <c r="R984" s="304"/>
      <c r="S984" s="304"/>
      <c r="T984" s="304"/>
    </row>
    <row r="985">
      <c r="A985" s="304"/>
      <c r="B985" s="304"/>
      <c r="C985" s="304"/>
      <c r="D985" s="304"/>
      <c r="E985" s="304"/>
      <c r="F985" s="304"/>
      <c r="G985" s="304"/>
      <c r="H985" s="304"/>
      <c r="I985" s="304"/>
      <c r="J985" s="304"/>
      <c r="K985" s="304"/>
      <c r="L985" s="304"/>
      <c r="M985" s="304"/>
      <c r="N985" s="304"/>
      <c r="O985" s="304"/>
      <c r="P985" s="304"/>
      <c r="Q985" s="304"/>
      <c r="R985" s="304"/>
      <c r="S985" s="304"/>
      <c r="T985" s="304"/>
    </row>
    <row r="986">
      <c r="A986" s="304"/>
      <c r="B986" s="304"/>
      <c r="C986" s="304"/>
      <c r="D986" s="304"/>
      <c r="E986" s="304"/>
      <c r="F986" s="304"/>
      <c r="G986" s="304"/>
      <c r="H986" s="304"/>
      <c r="I986" s="304"/>
      <c r="J986" s="304"/>
      <c r="K986" s="304"/>
      <c r="L986" s="304"/>
      <c r="M986" s="304"/>
      <c r="N986" s="304"/>
      <c r="O986" s="304"/>
      <c r="P986" s="304"/>
      <c r="Q986" s="304"/>
      <c r="R986" s="304"/>
      <c r="S986" s="304"/>
      <c r="T986" s="304"/>
    </row>
    <row r="987">
      <c r="A987" s="304"/>
      <c r="B987" s="304"/>
      <c r="C987" s="304"/>
      <c r="D987" s="304"/>
      <c r="E987" s="304"/>
      <c r="F987" s="304"/>
      <c r="G987" s="304"/>
      <c r="H987" s="304"/>
      <c r="I987" s="304"/>
      <c r="J987" s="304"/>
      <c r="K987" s="304"/>
      <c r="L987" s="304"/>
      <c r="M987" s="304"/>
      <c r="N987" s="304"/>
      <c r="O987" s="304"/>
      <c r="P987" s="304"/>
      <c r="Q987" s="304"/>
      <c r="R987" s="304"/>
      <c r="S987" s="304"/>
      <c r="T987" s="304"/>
    </row>
    <row r="988">
      <c r="A988" s="304"/>
      <c r="B988" s="304"/>
      <c r="C988" s="304"/>
      <c r="D988" s="304"/>
      <c r="E988" s="304"/>
      <c r="F988" s="304"/>
      <c r="G988" s="304"/>
      <c r="H988" s="304"/>
      <c r="I988" s="304"/>
      <c r="J988" s="304"/>
      <c r="K988" s="304"/>
      <c r="L988" s="304"/>
      <c r="M988" s="304"/>
      <c r="N988" s="304"/>
      <c r="O988" s="304"/>
      <c r="P988" s="304"/>
      <c r="Q988" s="304"/>
      <c r="R988" s="304"/>
      <c r="S988" s="304"/>
      <c r="T988" s="304"/>
    </row>
    <row r="989">
      <c r="A989" s="304"/>
      <c r="B989" s="304"/>
      <c r="C989" s="304"/>
      <c r="D989" s="304"/>
      <c r="E989" s="304"/>
      <c r="F989" s="304"/>
      <c r="G989" s="304"/>
      <c r="H989" s="304"/>
      <c r="I989" s="304"/>
      <c r="J989" s="304"/>
      <c r="K989" s="304"/>
      <c r="L989" s="304"/>
      <c r="M989" s="304"/>
      <c r="N989" s="304"/>
      <c r="O989" s="304"/>
      <c r="P989" s="304"/>
      <c r="Q989" s="304"/>
      <c r="R989" s="304"/>
      <c r="S989" s="304"/>
      <c r="T989" s="304"/>
    </row>
    <row r="990">
      <c r="A990" s="304"/>
      <c r="B990" s="304"/>
      <c r="C990" s="304"/>
      <c r="D990" s="304"/>
      <c r="E990" s="304"/>
      <c r="F990" s="304"/>
      <c r="G990" s="304"/>
      <c r="H990" s="304"/>
      <c r="I990" s="304"/>
      <c r="J990" s="304"/>
      <c r="K990" s="304"/>
      <c r="L990" s="304"/>
      <c r="M990" s="304"/>
      <c r="N990" s="304"/>
      <c r="O990" s="304"/>
      <c r="P990" s="304"/>
      <c r="Q990" s="304"/>
      <c r="R990" s="304"/>
      <c r="S990" s="304"/>
      <c r="T990" s="304"/>
    </row>
    <row r="991">
      <c r="A991" s="304"/>
      <c r="B991" s="304"/>
      <c r="C991" s="304"/>
      <c r="D991" s="304"/>
      <c r="E991" s="304"/>
      <c r="F991" s="304"/>
      <c r="G991" s="304"/>
      <c r="H991" s="304"/>
      <c r="I991" s="304"/>
      <c r="J991" s="304"/>
      <c r="K991" s="304"/>
      <c r="L991" s="304"/>
      <c r="M991" s="304"/>
      <c r="N991" s="304"/>
      <c r="O991" s="304"/>
      <c r="P991" s="304"/>
      <c r="Q991" s="304"/>
      <c r="R991" s="304"/>
      <c r="S991" s="304"/>
      <c r="T991" s="304"/>
    </row>
    <row r="992">
      <c r="A992" s="304"/>
      <c r="B992" s="304"/>
      <c r="C992" s="304"/>
      <c r="D992" s="304"/>
      <c r="E992" s="304"/>
      <c r="F992" s="304"/>
      <c r="G992" s="304"/>
      <c r="H992" s="304"/>
      <c r="I992" s="304"/>
      <c r="J992" s="304"/>
      <c r="K992" s="304"/>
      <c r="L992" s="304"/>
      <c r="M992" s="304"/>
      <c r="N992" s="304"/>
      <c r="O992" s="304"/>
      <c r="P992" s="304"/>
      <c r="Q992" s="304"/>
      <c r="R992" s="304"/>
      <c r="S992" s="304"/>
      <c r="T992" s="304"/>
    </row>
    <row r="993">
      <c r="A993" s="304"/>
      <c r="B993" s="304"/>
      <c r="C993" s="304"/>
      <c r="D993" s="304"/>
      <c r="E993" s="304"/>
      <c r="F993" s="304"/>
      <c r="G993" s="304"/>
      <c r="H993" s="304"/>
      <c r="I993" s="304"/>
      <c r="J993" s="304"/>
      <c r="K993" s="304"/>
      <c r="L993" s="304"/>
      <c r="M993" s="304"/>
      <c r="N993" s="304"/>
      <c r="O993" s="304"/>
      <c r="P993" s="304"/>
      <c r="Q993" s="304"/>
      <c r="R993" s="304"/>
      <c r="S993" s="304"/>
      <c r="T993" s="304"/>
    </row>
    <row r="994">
      <c r="A994" s="304"/>
      <c r="B994" s="304"/>
      <c r="C994" s="304"/>
      <c r="D994" s="304"/>
      <c r="E994" s="304"/>
      <c r="F994" s="304"/>
      <c r="G994" s="304"/>
      <c r="H994" s="304"/>
      <c r="I994" s="304"/>
      <c r="J994" s="304"/>
      <c r="K994" s="304"/>
      <c r="L994" s="304"/>
      <c r="M994" s="304"/>
      <c r="N994" s="304"/>
      <c r="O994" s="304"/>
      <c r="P994" s="304"/>
      <c r="Q994" s="304"/>
      <c r="R994" s="304"/>
      <c r="S994" s="304"/>
      <c r="T994" s="304"/>
    </row>
    <row r="995">
      <c r="A995" s="304"/>
      <c r="B995" s="304"/>
      <c r="C995" s="304"/>
      <c r="D995" s="304"/>
      <c r="E995" s="304"/>
      <c r="F995" s="304"/>
      <c r="G995" s="304"/>
      <c r="H995" s="304"/>
      <c r="I995" s="304"/>
      <c r="J995" s="304"/>
      <c r="K995" s="304"/>
      <c r="L995" s="304"/>
      <c r="M995" s="304"/>
      <c r="N995" s="304"/>
      <c r="O995" s="304"/>
      <c r="P995" s="304"/>
      <c r="Q995" s="304"/>
      <c r="R995" s="304"/>
      <c r="S995" s="304"/>
      <c r="T995" s="304"/>
    </row>
    <row r="996">
      <c r="A996" s="304"/>
      <c r="B996" s="304"/>
      <c r="C996" s="304"/>
      <c r="D996" s="304"/>
      <c r="E996" s="304"/>
      <c r="F996" s="304"/>
      <c r="G996" s="304"/>
      <c r="H996" s="304"/>
      <c r="I996" s="304"/>
      <c r="J996" s="304"/>
      <c r="K996" s="304"/>
      <c r="L996" s="304"/>
      <c r="M996" s="304"/>
      <c r="N996" s="304"/>
      <c r="O996" s="304"/>
      <c r="P996" s="304"/>
      <c r="Q996" s="304"/>
      <c r="R996" s="304"/>
      <c r="S996" s="304"/>
      <c r="T996" s="304"/>
    </row>
    <row r="997">
      <c r="A997" s="304"/>
      <c r="B997" s="304"/>
      <c r="C997" s="304"/>
      <c r="D997" s="304"/>
      <c r="E997" s="304"/>
      <c r="F997" s="304"/>
      <c r="G997" s="304"/>
      <c r="H997" s="304"/>
      <c r="I997" s="304"/>
      <c r="J997" s="304"/>
      <c r="K997" s="304"/>
      <c r="L997" s="304"/>
      <c r="M997" s="304"/>
      <c r="N997" s="304"/>
      <c r="O997" s="304"/>
      <c r="P997" s="304"/>
      <c r="Q997" s="304"/>
      <c r="R997" s="304"/>
      <c r="S997" s="304"/>
      <c r="T997" s="304"/>
    </row>
    <row r="998">
      <c r="A998" s="304"/>
      <c r="B998" s="304"/>
      <c r="C998" s="304"/>
      <c r="D998" s="304"/>
      <c r="E998" s="304"/>
      <c r="F998" s="304"/>
      <c r="G998" s="304"/>
      <c r="H998" s="304"/>
      <c r="I998" s="304"/>
      <c r="J998" s="304"/>
      <c r="K998" s="304"/>
      <c r="L998" s="304"/>
      <c r="M998" s="304"/>
      <c r="N998" s="304"/>
      <c r="O998" s="304"/>
      <c r="P998" s="304"/>
      <c r="Q998" s="304"/>
      <c r="R998" s="304"/>
      <c r="S998" s="304"/>
      <c r="T998" s="304"/>
    </row>
    <row r="999">
      <c r="A999" s="304"/>
      <c r="B999" s="304"/>
      <c r="C999" s="304"/>
      <c r="D999" s="304"/>
      <c r="E999" s="304"/>
      <c r="F999" s="304"/>
      <c r="G999" s="304"/>
      <c r="H999" s="304"/>
      <c r="I999" s="304"/>
      <c r="J999" s="304"/>
      <c r="K999" s="304"/>
      <c r="L999" s="304"/>
      <c r="M999" s="304"/>
      <c r="N999" s="304"/>
      <c r="O999" s="304"/>
      <c r="P999" s="304"/>
      <c r="Q999" s="304"/>
      <c r="R999" s="304"/>
      <c r="S999" s="304"/>
      <c r="T999" s="304"/>
    </row>
    <row r="1000">
      <c r="A1000" s="304"/>
      <c r="B1000" s="304"/>
      <c r="C1000" s="304"/>
      <c r="D1000" s="304"/>
      <c r="E1000" s="304"/>
      <c r="F1000" s="304"/>
      <c r="G1000" s="304"/>
      <c r="H1000" s="304"/>
      <c r="I1000" s="304"/>
      <c r="J1000" s="304"/>
      <c r="K1000" s="304"/>
      <c r="L1000" s="304"/>
      <c r="M1000" s="304"/>
      <c r="N1000" s="304"/>
      <c r="O1000" s="304"/>
      <c r="P1000" s="304"/>
      <c r="Q1000" s="304"/>
      <c r="R1000" s="304"/>
      <c r="S1000" s="304"/>
      <c r="T1000" s="304"/>
    </row>
    <row r="1001" ht="15.75" customHeight="1">
      <c r="A1001" s="301"/>
      <c r="B1001" s="301"/>
      <c r="C1001" s="301"/>
      <c r="D1001" s="301"/>
      <c r="E1001" s="301"/>
      <c r="F1001" s="301"/>
      <c r="G1001" s="301"/>
      <c r="H1001" s="301"/>
      <c r="I1001" s="301"/>
      <c r="J1001" s="301"/>
      <c r="K1001" s="301"/>
      <c r="L1001" s="301"/>
      <c r="M1001" s="301"/>
      <c r="N1001" s="301"/>
      <c r="O1001" s="301"/>
      <c r="P1001" s="301"/>
      <c r="Q1001" s="301"/>
      <c r="R1001" s="301"/>
      <c r="S1001" s="301"/>
      <c r="T1001" s="301"/>
    </row>
    <row r="1002" ht="15.75" customHeight="1">
      <c r="A1002" s="301"/>
      <c r="B1002" s="301"/>
      <c r="C1002" s="301"/>
      <c r="D1002" s="301"/>
      <c r="E1002" s="301"/>
      <c r="F1002" s="301"/>
      <c r="G1002" s="301"/>
      <c r="H1002" s="301"/>
      <c r="I1002" s="301"/>
      <c r="J1002" s="301"/>
      <c r="K1002" s="301"/>
      <c r="L1002" s="301"/>
      <c r="M1002" s="301"/>
      <c r="N1002" s="301"/>
      <c r="O1002" s="301"/>
      <c r="P1002" s="301"/>
      <c r="Q1002" s="301"/>
      <c r="R1002" s="301"/>
      <c r="S1002" s="301"/>
      <c r="T1002" s="301"/>
    </row>
    <row r="1003" ht="15.75" customHeight="1">
      <c r="A1003" s="301"/>
      <c r="B1003" s="301"/>
      <c r="C1003" s="301"/>
      <c r="D1003" s="301"/>
      <c r="E1003" s="301"/>
      <c r="F1003" s="301"/>
      <c r="G1003" s="301"/>
      <c r="H1003" s="301"/>
      <c r="I1003" s="301"/>
      <c r="J1003" s="301"/>
      <c r="K1003" s="301"/>
      <c r="L1003" s="301"/>
      <c r="M1003" s="301"/>
      <c r="N1003" s="301"/>
      <c r="O1003" s="301"/>
      <c r="P1003" s="301"/>
      <c r="Q1003" s="301"/>
      <c r="R1003" s="301"/>
      <c r="S1003" s="301"/>
      <c r="T1003" s="301"/>
    </row>
    <row r="1004" ht="15.75" customHeight="1">
      <c r="A1004" s="301"/>
      <c r="B1004" s="301"/>
      <c r="C1004" s="301"/>
      <c r="D1004" s="301"/>
      <c r="E1004" s="301"/>
      <c r="F1004" s="301"/>
      <c r="G1004" s="301"/>
      <c r="H1004" s="301"/>
      <c r="I1004" s="301"/>
      <c r="J1004" s="301"/>
      <c r="K1004" s="301"/>
      <c r="L1004" s="301"/>
      <c r="M1004" s="301"/>
      <c r="N1004" s="301"/>
      <c r="O1004" s="301"/>
      <c r="P1004" s="301"/>
      <c r="Q1004" s="301"/>
      <c r="R1004" s="301"/>
      <c r="S1004" s="301"/>
      <c r="T1004" s="301"/>
    </row>
    <row r="1005" ht="15.75" customHeight="1">
      <c r="A1005" s="301"/>
      <c r="B1005" s="301"/>
      <c r="C1005" s="301"/>
      <c r="D1005" s="301"/>
      <c r="E1005" s="301"/>
      <c r="F1005" s="301"/>
      <c r="G1005" s="301"/>
      <c r="H1005" s="301"/>
      <c r="I1005" s="301"/>
      <c r="J1005" s="301"/>
      <c r="K1005" s="301"/>
      <c r="L1005" s="301"/>
      <c r="M1005" s="301"/>
      <c r="N1005" s="301"/>
      <c r="O1005" s="301"/>
      <c r="P1005" s="301"/>
      <c r="Q1005" s="301"/>
      <c r="R1005" s="301"/>
      <c r="S1005" s="301"/>
      <c r="T1005" s="301"/>
    </row>
    <row r="1006" ht="15.75" customHeight="1">
      <c r="A1006" s="301"/>
      <c r="B1006" s="301"/>
      <c r="C1006" s="301"/>
      <c r="D1006" s="301"/>
      <c r="E1006" s="301"/>
      <c r="F1006" s="301"/>
      <c r="G1006" s="301"/>
      <c r="H1006" s="301"/>
      <c r="I1006" s="301"/>
      <c r="J1006" s="301"/>
      <c r="K1006" s="301"/>
      <c r="L1006" s="301"/>
      <c r="M1006" s="301"/>
      <c r="N1006" s="301"/>
      <c r="O1006" s="301"/>
      <c r="P1006" s="301"/>
      <c r="Q1006" s="301"/>
      <c r="R1006" s="301"/>
      <c r="S1006" s="301"/>
      <c r="T1006" s="301"/>
    </row>
    <row r="1007" ht="15.75" customHeight="1">
      <c r="A1007" s="301"/>
      <c r="B1007" s="301"/>
      <c r="C1007" s="301"/>
      <c r="D1007" s="301"/>
      <c r="E1007" s="301"/>
      <c r="F1007" s="301"/>
      <c r="G1007" s="301"/>
      <c r="H1007" s="301"/>
      <c r="I1007" s="301"/>
      <c r="J1007" s="301"/>
      <c r="K1007" s="301"/>
      <c r="L1007" s="301"/>
      <c r="M1007" s="301"/>
      <c r="N1007" s="301"/>
      <c r="O1007" s="301"/>
      <c r="P1007" s="301"/>
      <c r="Q1007" s="301"/>
      <c r="R1007" s="301"/>
      <c r="S1007" s="301"/>
      <c r="T1007" s="301"/>
    </row>
    <row r="1008" ht="15.75" customHeight="1">
      <c r="A1008" s="301"/>
      <c r="B1008" s="301"/>
      <c r="C1008" s="301"/>
      <c r="D1008" s="301"/>
      <c r="E1008" s="301"/>
      <c r="F1008" s="301"/>
      <c r="G1008" s="301"/>
      <c r="H1008" s="301"/>
      <c r="I1008" s="301"/>
      <c r="J1008" s="301"/>
      <c r="K1008" s="301"/>
      <c r="L1008" s="301"/>
      <c r="M1008" s="301"/>
      <c r="N1008" s="301"/>
      <c r="O1008" s="301"/>
      <c r="P1008" s="301"/>
      <c r="Q1008" s="301"/>
      <c r="R1008" s="301"/>
      <c r="S1008" s="301"/>
      <c r="T1008" s="301"/>
    </row>
    <row r="1009" ht="15.75" customHeight="1">
      <c r="A1009" s="301"/>
      <c r="B1009" s="301"/>
      <c r="C1009" s="301"/>
      <c r="D1009" s="301"/>
      <c r="E1009" s="301"/>
      <c r="F1009" s="301"/>
      <c r="G1009" s="301"/>
      <c r="H1009" s="301"/>
      <c r="I1009" s="301"/>
      <c r="J1009" s="301"/>
      <c r="K1009" s="301"/>
      <c r="L1009" s="301"/>
      <c r="M1009" s="301"/>
      <c r="N1009" s="301"/>
      <c r="O1009" s="301"/>
      <c r="P1009" s="301"/>
      <c r="Q1009" s="301"/>
      <c r="R1009" s="301"/>
      <c r="S1009" s="301"/>
      <c r="T1009" s="301"/>
    </row>
    <row r="1010" ht="15.75" customHeight="1">
      <c r="A1010" s="301"/>
      <c r="B1010" s="301"/>
      <c r="C1010" s="301"/>
      <c r="D1010" s="301"/>
      <c r="E1010" s="301"/>
      <c r="F1010" s="301"/>
      <c r="G1010" s="301"/>
      <c r="H1010" s="301"/>
      <c r="I1010" s="301"/>
      <c r="J1010" s="301"/>
      <c r="K1010" s="301"/>
      <c r="L1010" s="301"/>
      <c r="M1010" s="301"/>
      <c r="N1010" s="301"/>
      <c r="O1010" s="301"/>
      <c r="P1010" s="301"/>
      <c r="Q1010" s="301"/>
      <c r="R1010" s="301"/>
      <c r="S1010" s="301"/>
      <c r="T1010" s="301"/>
    </row>
    <row r="1011" ht="15.75" customHeight="1">
      <c r="A1011" s="301"/>
      <c r="B1011" s="301"/>
      <c r="C1011" s="301"/>
      <c r="D1011" s="301"/>
      <c r="E1011" s="301"/>
      <c r="F1011" s="301"/>
      <c r="G1011" s="301"/>
      <c r="H1011" s="301"/>
      <c r="I1011" s="301"/>
      <c r="J1011" s="301"/>
      <c r="K1011" s="301"/>
      <c r="L1011" s="301"/>
      <c r="M1011" s="301"/>
      <c r="N1011" s="301"/>
      <c r="O1011" s="301"/>
      <c r="P1011" s="301"/>
      <c r="Q1011" s="301"/>
      <c r="R1011" s="301"/>
      <c r="S1011" s="301"/>
      <c r="T1011" s="301"/>
    </row>
    <row r="1012" ht="15.75" customHeight="1">
      <c r="A1012" s="301"/>
      <c r="B1012" s="301"/>
      <c r="C1012" s="301"/>
      <c r="D1012" s="301"/>
      <c r="E1012" s="301"/>
      <c r="F1012" s="301"/>
      <c r="G1012" s="301"/>
      <c r="H1012" s="301"/>
      <c r="I1012" s="301"/>
      <c r="J1012" s="301"/>
      <c r="K1012" s="301"/>
      <c r="L1012" s="301"/>
      <c r="M1012" s="301"/>
      <c r="N1012" s="301"/>
      <c r="O1012" s="301"/>
      <c r="P1012" s="301"/>
      <c r="Q1012" s="301"/>
      <c r="R1012" s="301"/>
      <c r="S1012" s="301"/>
      <c r="T1012" s="301"/>
    </row>
    <row r="1013" ht="15.75" customHeight="1">
      <c r="A1013" s="301"/>
      <c r="B1013" s="301"/>
      <c r="C1013" s="301"/>
      <c r="D1013" s="301"/>
      <c r="E1013" s="301"/>
      <c r="F1013" s="301"/>
      <c r="G1013" s="301"/>
      <c r="H1013" s="301"/>
      <c r="I1013" s="301"/>
      <c r="J1013" s="301"/>
      <c r="K1013" s="301"/>
      <c r="L1013" s="301"/>
      <c r="M1013" s="301"/>
      <c r="N1013" s="301"/>
      <c r="O1013" s="301"/>
      <c r="P1013" s="301"/>
      <c r="Q1013" s="301"/>
      <c r="R1013" s="301"/>
      <c r="S1013" s="301"/>
      <c r="T1013" s="301"/>
    </row>
    <row r="1014" ht="15.75" customHeight="1">
      <c r="A1014" s="301"/>
      <c r="B1014" s="301"/>
      <c r="C1014" s="301"/>
      <c r="D1014" s="301"/>
      <c r="E1014" s="301"/>
      <c r="F1014" s="301"/>
      <c r="G1014" s="301"/>
      <c r="H1014" s="301"/>
      <c r="I1014" s="301"/>
      <c r="J1014" s="301"/>
      <c r="K1014" s="301"/>
      <c r="L1014" s="301"/>
      <c r="M1014" s="301"/>
      <c r="N1014" s="301"/>
      <c r="O1014" s="301"/>
      <c r="P1014" s="301"/>
      <c r="Q1014" s="301"/>
      <c r="R1014" s="301"/>
      <c r="S1014" s="301"/>
      <c r="T1014" s="301"/>
    </row>
    <row r="1015" ht="15.75" customHeight="1">
      <c r="A1015" s="301"/>
      <c r="B1015" s="301"/>
      <c r="C1015" s="301"/>
      <c r="D1015" s="301"/>
      <c r="E1015" s="301"/>
      <c r="F1015" s="301"/>
      <c r="G1015" s="301"/>
      <c r="H1015" s="301"/>
      <c r="I1015" s="301"/>
      <c r="J1015" s="301"/>
      <c r="K1015" s="301"/>
      <c r="L1015" s="301"/>
      <c r="M1015" s="301"/>
      <c r="N1015" s="301"/>
      <c r="O1015" s="301"/>
      <c r="P1015" s="301"/>
      <c r="Q1015" s="301"/>
      <c r="R1015" s="301"/>
      <c r="S1015" s="301"/>
      <c r="T1015" s="301"/>
    </row>
    <row r="1016" ht="15.75" customHeight="1">
      <c r="A1016" s="301"/>
      <c r="B1016" s="301"/>
      <c r="C1016" s="301"/>
      <c r="D1016" s="301"/>
      <c r="E1016" s="301"/>
      <c r="F1016" s="301"/>
      <c r="G1016" s="301"/>
      <c r="H1016" s="301"/>
      <c r="I1016" s="301"/>
      <c r="J1016" s="301"/>
      <c r="K1016" s="301"/>
      <c r="L1016" s="301"/>
      <c r="M1016" s="301"/>
      <c r="N1016" s="301"/>
      <c r="O1016" s="301"/>
      <c r="P1016" s="301"/>
      <c r="Q1016" s="301"/>
      <c r="R1016" s="301"/>
      <c r="S1016" s="301"/>
      <c r="T1016" s="301"/>
    </row>
    <row r="1017" ht="15.75" customHeight="1">
      <c r="A1017" s="301"/>
      <c r="B1017" s="301"/>
      <c r="C1017" s="301"/>
      <c r="D1017" s="301"/>
      <c r="E1017" s="301"/>
      <c r="F1017" s="301"/>
      <c r="G1017" s="301"/>
      <c r="H1017" s="301"/>
      <c r="I1017" s="301"/>
      <c r="J1017" s="301"/>
      <c r="K1017" s="301"/>
      <c r="L1017" s="301"/>
      <c r="M1017" s="301"/>
      <c r="N1017" s="301"/>
      <c r="O1017" s="301"/>
      <c r="P1017" s="301"/>
      <c r="Q1017" s="301"/>
      <c r="R1017" s="301"/>
      <c r="S1017" s="301"/>
      <c r="T1017" s="301"/>
    </row>
    <row r="1018" ht="15.75" customHeight="1">
      <c r="A1018" s="301"/>
      <c r="B1018" s="301"/>
      <c r="C1018" s="301"/>
      <c r="D1018" s="301"/>
      <c r="E1018" s="301"/>
      <c r="F1018" s="301"/>
      <c r="G1018" s="301"/>
      <c r="H1018" s="301"/>
      <c r="I1018" s="301"/>
      <c r="J1018" s="301"/>
      <c r="K1018" s="301"/>
      <c r="L1018" s="301"/>
      <c r="M1018" s="301"/>
      <c r="N1018" s="301"/>
      <c r="O1018" s="301"/>
      <c r="P1018" s="301"/>
      <c r="Q1018" s="301"/>
      <c r="R1018" s="301"/>
      <c r="S1018" s="301"/>
      <c r="T1018" s="301"/>
    </row>
    <row r="1019" ht="15.75" customHeight="1">
      <c r="A1019" s="301"/>
      <c r="B1019" s="301"/>
      <c r="C1019" s="301"/>
      <c r="D1019" s="301"/>
      <c r="E1019" s="301"/>
      <c r="F1019" s="301"/>
      <c r="G1019" s="301"/>
      <c r="H1019" s="301"/>
      <c r="I1019" s="301"/>
      <c r="J1019" s="301"/>
      <c r="K1019" s="301"/>
      <c r="L1019" s="301"/>
      <c r="M1019" s="301"/>
      <c r="N1019" s="301"/>
      <c r="O1019" s="301"/>
      <c r="P1019" s="301"/>
      <c r="Q1019" s="301"/>
      <c r="R1019" s="301"/>
      <c r="S1019" s="301"/>
      <c r="T1019" s="301"/>
    </row>
    <row r="1020" ht="15.75" customHeight="1">
      <c r="A1020" s="301"/>
      <c r="B1020" s="301"/>
      <c r="C1020" s="301"/>
      <c r="D1020" s="301"/>
      <c r="E1020" s="301"/>
      <c r="F1020" s="301"/>
      <c r="G1020" s="301"/>
      <c r="H1020" s="301"/>
      <c r="I1020" s="301"/>
      <c r="J1020" s="301"/>
      <c r="K1020" s="301"/>
      <c r="L1020" s="301"/>
      <c r="M1020" s="301"/>
      <c r="N1020" s="301"/>
      <c r="O1020" s="301"/>
      <c r="P1020" s="301"/>
      <c r="Q1020" s="301"/>
      <c r="R1020" s="301"/>
      <c r="S1020" s="301"/>
      <c r="T1020" s="301"/>
    </row>
    <row r="1021" ht="15.75" customHeight="1">
      <c r="A1021" s="301"/>
      <c r="B1021" s="301"/>
      <c r="C1021" s="301"/>
      <c r="D1021" s="301"/>
      <c r="E1021" s="301"/>
      <c r="F1021" s="301"/>
      <c r="G1021" s="301"/>
      <c r="H1021" s="301"/>
      <c r="I1021" s="301"/>
      <c r="J1021" s="301"/>
      <c r="K1021" s="301"/>
      <c r="L1021" s="301"/>
      <c r="M1021" s="301"/>
      <c r="N1021" s="301"/>
      <c r="O1021" s="301"/>
      <c r="P1021" s="301"/>
      <c r="Q1021" s="301"/>
      <c r="R1021" s="301"/>
      <c r="S1021" s="301"/>
      <c r="T1021" s="301"/>
    </row>
    <row r="1022" ht="15.75" customHeight="1">
      <c r="A1022" s="301"/>
      <c r="B1022" s="301"/>
      <c r="C1022" s="301"/>
      <c r="D1022" s="301"/>
      <c r="E1022" s="301"/>
      <c r="F1022" s="301"/>
      <c r="G1022" s="301"/>
      <c r="H1022" s="301"/>
      <c r="I1022" s="301"/>
      <c r="J1022" s="301"/>
      <c r="K1022" s="301"/>
      <c r="L1022" s="301"/>
      <c r="M1022" s="301"/>
      <c r="N1022" s="301"/>
      <c r="O1022" s="301"/>
      <c r="P1022" s="301"/>
      <c r="Q1022" s="301"/>
      <c r="R1022" s="301"/>
      <c r="S1022" s="301"/>
      <c r="T1022" s="301"/>
    </row>
    <row r="1023" ht="15.75" customHeight="1">
      <c r="A1023" s="301"/>
      <c r="B1023" s="301"/>
      <c r="C1023" s="301"/>
      <c r="D1023" s="301"/>
      <c r="E1023" s="301"/>
      <c r="F1023" s="301"/>
      <c r="G1023" s="301"/>
      <c r="H1023" s="301"/>
      <c r="I1023" s="301"/>
      <c r="J1023" s="301"/>
      <c r="K1023" s="301"/>
      <c r="L1023" s="301"/>
      <c r="M1023" s="301"/>
      <c r="N1023" s="301"/>
      <c r="O1023" s="301"/>
      <c r="P1023" s="301"/>
      <c r="Q1023" s="301"/>
      <c r="R1023" s="301"/>
      <c r="S1023" s="301"/>
      <c r="T1023" s="301"/>
    </row>
    <row r="1024" ht="15.75" customHeight="1">
      <c r="A1024" s="301"/>
      <c r="B1024" s="301"/>
      <c r="C1024" s="301"/>
      <c r="D1024" s="301"/>
      <c r="E1024" s="301"/>
      <c r="F1024" s="301"/>
      <c r="G1024" s="301"/>
      <c r="H1024" s="301"/>
      <c r="I1024" s="301"/>
      <c r="J1024" s="301"/>
      <c r="K1024" s="301"/>
      <c r="L1024" s="301"/>
      <c r="M1024" s="301"/>
      <c r="N1024" s="301"/>
      <c r="O1024" s="301"/>
      <c r="P1024" s="301"/>
      <c r="Q1024" s="301"/>
      <c r="R1024" s="301"/>
      <c r="S1024" s="301"/>
      <c r="T1024" s="301"/>
    </row>
    <row r="1025" ht="15.75" customHeight="1">
      <c r="A1025" s="301"/>
      <c r="B1025" s="301"/>
      <c r="C1025" s="301"/>
      <c r="D1025" s="301"/>
      <c r="E1025" s="301"/>
      <c r="F1025" s="301"/>
      <c r="G1025" s="301"/>
      <c r="H1025" s="301"/>
      <c r="I1025" s="301"/>
      <c r="J1025" s="301"/>
      <c r="K1025" s="301"/>
      <c r="L1025" s="301"/>
      <c r="M1025" s="301"/>
      <c r="N1025" s="301"/>
      <c r="O1025" s="301"/>
      <c r="P1025" s="301"/>
      <c r="Q1025" s="301"/>
      <c r="R1025" s="301"/>
      <c r="S1025" s="301"/>
      <c r="T1025" s="301"/>
    </row>
  </sheetData>
  <autoFilter ref="$A$4:$Z$385"/>
  <hyperlinks>
    <hyperlink r:id="rId1" ref="A5"/>
    <hyperlink r:id="rId2" ref="A6"/>
    <hyperlink r:id="rId3" ref="A7"/>
    <hyperlink r:id="rId4" ref="A8"/>
    <hyperlink r:id="rId5" ref="A9"/>
    <hyperlink r:id="rId6" ref="A10"/>
    <hyperlink r:id="rId7" ref="A11"/>
    <hyperlink r:id="rId8" ref="A12"/>
    <hyperlink r:id="rId9" ref="A13"/>
    <hyperlink r:id="rId10" ref="A14"/>
    <hyperlink r:id="rId11" ref="A16"/>
    <hyperlink r:id="rId12" ref="A17"/>
    <hyperlink r:id="rId13" ref="A18"/>
    <hyperlink r:id="rId14" ref="A19"/>
    <hyperlink r:id="rId15" ref="A20"/>
    <hyperlink r:id="rId16" ref="A21"/>
    <hyperlink r:id="rId17" ref="A22"/>
    <hyperlink r:id="rId18" ref="A23"/>
    <hyperlink r:id="rId19" ref="A24"/>
    <hyperlink r:id="rId20" ref="A25"/>
    <hyperlink r:id="rId21" ref="A26"/>
    <hyperlink r:id="rId22" ref="A27"/>
    <hyperlink r:id="rId23" ref="A28"/>
    <hyperlink r:id="rId24" ref="A29"/>
    <hyperlink r:id="rId25" ref="A30"/>
    <hyperlink r:id="rId26" ref="A32"/>
    <hyperlink r:id="rId27" ref="A33"/>
    <hyperlink r:id="rId28" ref="A34"/>
    <hyperlink r:id="rId29" ref="A35"/>
    <hyperlink r:id="rId30" ref="A36"/>
    <hyperlink r:id="rId31" ref="A37"/>
    <hyperlink r:id="rId32" ref="A38"/>
    <hyperlink r:id="rId33" ref="A40"/>
    <hyperlink r:id="rId34" ref="A41"/>
    <hyperlink r:id="rId35" ref="A42"/>
    <hyperlink r:id="rId36" ref="A44"/>
    <hyperlink r:id="rId37" ref="A45"/>
    <hyperlink r:id="rId38" ref="A46"/>
    <hyperlink r:id="rId39" ref="A47"/>
    <hyperlink r:id="rId40" ref="A48"/>
    <hyperlink r:id="rId41" ref="A49"/>
    <hyperlink r:id="rId42" ref="A50"/>
    <hyperlink r:id="rId43" ref="A52"/>
    <hyperlink r:id="rId44" ref="A53"/>
    <hyperlink r:id="rId45" ref="A55"/>
    <hyperlink r:id="rId46" ref="A56"/>
    <hyperlink r:id="rId47" ref="A57"/>
    <hyperlink r:id="rId48" ref="A58"/>
    <hyperlink r:id="rId49" ref="A59"/>
    <hyperlink r:id="rId50" ref="A60"/>
    <hyperlink r:id="rId51" ref="A61"/>
    <hyperlink r:id="rId52" ref="A62"/>
    <hyperlink r:id="rId53" ref="A63"/>
    <hyperlink r:id="rId54" ref="A64"/>
    <hyperlink r:id="rId55" ref="A66"/>
    <hyperlink r:id="rId56" ref="A67"/>
    <hyperlink r:id="rId57" ref="A68"/>
    <hyperlink r:id="rId58" ref="A69"/>
    <hyperlink r:id="rId59" ref="A70"/>
    <hyperlink r:id="rId60" ref="A71"/>
    <hyperlink r:id="rId61" ref="A72"/>
    <hyperlink r:id="rId62" ref="A73"/>
    <hyperlink r:id="rId63" ref="A74"/>
    <hyperlink r:id="rId64" ref="A75"/>
    <hyperlink r:id="rId65" ref="A76"/>
    <hyperlink r:id="rId66" ref="A77"/>
    <hyperlink r:id="rId67" ref="A80"/>
    <hyperlink r:id="rId68" ref="A81"/>
    <hyperlink r:id="rId69" ref="A82"/>
    <hyperlink r:id="rId70" ref="A83"/>
    <hyperlink r:id="rId71" ref="A84"/>
    <hyperlink r:id="rId72" ref="A85"/>
    <hyperlink r:id="rId73" ref="A87"/>
    <hyperlink r:id="rId74" ref="A88"/>
    <hyperlink r:id="rId75" ref="A89"/>
    <hyperlink r:id="rId76" ref="A90"/>
    <hyperlink r:id="rId77" ref="A91"/>
    <hyperlink r:id="rId78" ref="A92"/>
    <hyperlink r:id="rId79" ref="A93"/>
    <hyperlink r:id="rId80" ref="A94"/>
    <hyperlink r:id="rId81" ref="A95"/>
    <hyperlink r:id="rId82" ref="A96"/>
    <hyperlink r:id="rId83" ref="A97"/>
    <hyperlink r:id="rId84" ref="A98"/>
    <hyperlink r:id="rId85" ref="A99"/>
    <hyperlink r:id="rId86" ref="A100"/>
    <hyperlink r:id="rId87" ref="A101"/>
    <hyperlink r:id="rId88" ref="A102"/>
    <hyperlink r:id="rId89" ref="A103"/>
    <hyperlink r:id="rId90" ref="A104"/>
    <hyperlink r:id="rId91" ref="A105"/>
    <hyperlink r:id="rId92" ref="A107"/>
    <hyperlink r:id="rId93" ref="A109"/>
    <hyperlink r:id="rId94" ref="A110"/>
    <hyperlink r:id="rId95" ref="A111"/>
    <hyperlink r:id="rId96" ref="A112"/>
    <hyperlink r:id="rId97" ref="A113"/>
    <hyperlink r:id="rId98" ref="A114"/>
    <hyperlink r:id="rId99" ref="A115"/>
    <hyperlink r:id="rId100" ref="A116"/>
    <hyperlink r:id="rId101" ref="A117"/>
    <hyperlink r:id="rId102" ref="A118"/>
    <hyperlink r:id="rId103" ref="A119"/>
    <hyperlink r:id="rId104" ref="A120"/>
    <hyperlink r:id="rId105" ref="A121"/>
    <hyperlink r:id="rId106" ref="A122"/>
    <hyperlink r:id="rId107" ref="A123"/>
    <hyperlink r:id="rId108" ref="A124"/>
    <hyperlink r:id="rId109" ref="A127"/>
    <hyperlink r:id="rId110" ref="A129"/>
    <hyperlink r:id="rId111" ref="A130"/>
    <hyperlink r:id="rId112" ref="A131"/>
    <hyperlink r:id="rId113" ref="A132"/>
    <hyperlink r:id="rId114" ref="A133"/>
    <hyperlink r:id="rId115" ref="A134"/>
    <hyperlink r:id="rId116" ref="A135"/>
    <hyperlink r:id="rId117" ref="A136"/>
    <hyperlink r:id="rId118" ref="A137"/>
    <hyperlink r:id="rId119" ref="A138"/>
    <hyperlink r:id="rId120" ref="A139"/>
    <hyperlink r:id="rId121" ref="A140"/>
    <hyperlink r:id="rId122" ref="A141"/>
    <hyperlink r:id="rId123" ref="A142"/>
    <hyperlink r:id="rId124" ref="A143"/>
    <hyperlink r:id="rId125" ref="A144"/>
    <hyperlink r:id="rId126" ref="A145"/>
    <hyperlink r:id="rId127" ref="A147"/>
    <hyperlink r:id="rId128" ref="A148"/>
    <hyperlink r:id="rId129" ref="A150"/>
    <hyperlink r:id="rId130" ref="A151"/>
    <hyperlink r:id="rId131" ref="A152"/>
    <hyperlink r:id="rId132" ref="A154"/>
    <hyperlink r:id="rId133" ref="A155"/>
    <hyperlink r:id="rId134" ref="A156"/>
    <hyperlink r:id="rId135" ref="A158"/>
    <hyperlink r:id="rId136" ref="A159"/>
    <hyperlink r:id="rId137" ref="A160"/>
    <hyperlink r:id="rId138" ref="A161"/>
    <hyperlink r:id="rId139" ref="A162"/>
    <hyperlink r:id="rId140" ref="A163"/>
    <hyperlink r:id="rId141" ref="A164"/>
    <hyperlink r:id="rId142" ref="A165"/>
    <hyperlink r:id="rId143" ref="A166"/>
    <hyperlink r:id="rId144" ref="A167"/>
    <hyperlink r:id="rId145" ref="A168"/>
    <hyperlink r:id="rId146" ref="A169"/>
    <hyperlink r:id="rId147" ref="A170"/>
    <hyperlink r:id="rId148" ref="A171"/>
    <hyperlink r:id="rId149" ref="A172"/>
    <hyperlink r:id="rId150" ref="A173"/>
    <hyperlink r:id="rId151" ref="A174"/>
    <hyperlink r:id="rId152" ref="A176"/>
    <hyperlink r:id="rId153" ref="A177"/>
    <hyperlink r:id="rId154" ref="A179"/>
    <hyperlink r:id="rId155" ref="A180"/>
    <hyperlink r:id="rId156" ref="A183"/>
    <hyperlink r:id="rId157" ref="A184"/>
    <hyperlink r:id="rId158" ref="A185"/>
    <hyperlink r:id="rId159" ref="A186"/>
    <hyperlink r:id="rId160" ref="A188"/>
    <hyperlink r:id="rId161" ref="A189"/>
    <hyperlink r:id="rId162" ref="A190"/>
    <hyperlink r:id="rId163" ref="A191"/>
    <hyperlink r:id="rId164" ref="A192"/>
    <hyperlink r:id="rId165" ref="A195"/>
    <hyperlink r:id="rId166" ref="A196"/>
    <hyperlink r:id="rId167" ref="A197"/>
    <hyperlink r:id="rId168" ref="A198"/>
    <hyperlink r:id="rId169" ref="A201"/>
    <hyperlink r:id="rId170" ref="A203"/>
    <hyperlink r:id="rId171" ref="A204"/>
    <hyperlink r:id="rId172" ref="G204"/>
    <hyperlink r:id="rId173" ref="A205"/>
    <hyperlink r:id="rId174" ref="A206"/>
    <hyperlink r:id="rId175" ref="A207"/>
    <hyperlink r:id="rId176" ref="A208"/>
    <hyperlink r:id="rId177" ref="A209"/>
    <hyperlink r:id="rId178" ref="A210"/>
    <hyperlink r:id="rId179" ref="A211"/>
    <hyperlink r:id="rId180" ref="A212"/>
    <hyperlink r:id="rId181" ref="A213"/>
    <hyperlink r:id="rId182" ref="A214"/>
    <hyperlink r:id="rId183" ref="A215"/>
    <hyperlink r:id="rId184" ref="A216"/>
    <hyperlink r:id="rId185" ref="A217"/>
    <hyperlink r:id="rId186" ref="A218"/>
    <hyperlink r:id="rId187" ref="A219"/>
    <hyperlink r:id="rId188" ref="A220"/>
    <hyperlink r:id="rId189" ref="A222"/>
    <hyperlink r:id="rId190" ref="A223"/>
    <hyperlink r:id="rId191" ref="A224"/>
    <hyperlink r:id="rId192" ref="A225"/>
    <hyperlink r:id="rId193" ref="A226"/>
    <hyperlink r:id="rId194" ref="A227"/>
    <hyperlink r:id="rId195" ref="A228"/>
    <hyperlink r:id="rId196" ref="A229"/>
    <hyperlink r:id="rId197" ref="A230"/>
    <hyperlink r:id="rId198" ref="A231"/>
    <hyperlink r:id="rId199" ref="A232"/>
    <hyperlink r:id="rId200" ref="A233"/>
    <hyperlink r:id="rId201" ref="A234"/>
    <hyperlink r:id="rId202" ref="A235"/>
    <hyperlink r:id="rId203" ref="A236"/>
    <hyperlink r:id="rId204" ref="A237"/>
    <hyperlink r:id="rId205" ref="A238"/>
    <hyperlink r:id="rId206" ref="A239"/>
    <hyperlink r:id="rId207" ref="A240"/>
    <hyperlink r:id="rId208" ref="A241"/>
    <hyperlink r:id="rId209" ref="A242"/>
    <hyperlink r:id="rId210" ref="A244"/>
    <hyperlink r:id="rId211" ref="A245"/>
    <hyperlink r:id="rId212" ref="A246"/>
    <hyperlink r:id="rId213" ref="A247"/>
    <hyperlink r:id="rId214" ref="A248"/>
    <hyperlink r:id="rId215" ref="A249"/>
    <hyperlink r:id="rId216" ref="A250"/>
    <hyperlink r:id="rId217" ref="A251"/>
    <hyperlink r:id="rId218" ref="A252"/>
    <hyperlink r:id="rId219" ref="A253"/>
    <hyperlink r:id="rId220" ref="A254"/>
    <hyperlink r:id="rId221" ref="A255"/>
    <hyperlink r:id="rId222" ref="A257"/>
    <hyperlink r:id="rId223" ref="A258"/>
    <hyperlink r:id="rId224" ref="A259"/>
    <hyperlink r:id="rId225" ref="A260"/>
    <hyperlink r:id="rId226" ref="A261"/>
    <hyperlink r:id="rId227" ref="A263"/>
    <hyperlink r:id="rId228" ref="A264"/>
    <hyperlink r:id="rId229" ref="A265"/>
    <hyperlink r:id="rId230" ref="A266"/>
    <hyperlink r:id="rId231" ref="A267"/>
    <hyperlink r:id="rId232" ref="A268"/>
    <hyperlink r:id="rId233" ref="A269"/>
    <hyperlink r:id="rId234" ref="A270"/>
    <hyperlink r:id="rId235" ref="A271"/>
    <hyperlink r:id="rId236" ref="A272"/>
    <hyperlink r:id="rId237" ref="A273"/>
    <hyperlink r:id="rId238" ref="A274"/>
    <hyperlink r:id="rId239" ref="A275"/>
    <hyperlink r:id="rId240" ref="A276"/>
    <hyperlink r:id="rId241" ref="A277"/>
    <hyperlink r:id="rId242" ref="A279"/>
    <hyperlink r:id="rId243" ref="A280"/>
    <hyperlink r:id="rId244" ref="A281"/>
    <hyperlink r:id="rId245" ref="A282"/>
    <hyperlink r:id="rId246" ref="A283"/>
    <hyperlink r:id="rId247" ref="A284"/>
    <hyperlink r:id="rId248" ref="A285"/>
    <hyperlink r:id="rId249" ref="A286"/>
    <hyperlink r:id="rId250" ref="A287"/>
    <hyperlink r:id="rId251" ref="A288"/>
    <hyperlink r:id="rId252" ref="A289"/>
    <hyperlink r:id="rId253" ref="A290"/>
    <hyperlink r:id="rId254" ref="A291"/>
    <hyperlink r:id="rId255" ref="A292"/>
    <hyperlink r:id="rId256" ref="A293"/>
    <hyperlink r:id="rId257" ref="A294"/>
    <hyperlink r:id="rId258" ref="A295"/>
    <hyperlink r:id="rId259" ref="A296"/>
    <hyperlink r:id="rId260" ref="A297"/>
    <hyperlink r:id="rId261" ref="A298"/>
    <hyperlink r:id="rId262" ref="A299"/>
    <hyperlink r:id="rId263" ref="A300"/>
    <hyperlink r:id="rId264" ref="A301"/>
    <hyperlink r:id="rId265" ref="A302"/>
    <hyperlink r:id="rId266" ref="A303"/>
    <hyperlink r:id="rId267" ref="A304"/>
    <hyperlink r:id="rId268" ref="A305"/>
    <hyperlink r:id="rId269" ref="A306"/>
    <hyperlink r:id="rId270" ref="A307"/>
    <hyperlink r:id="rId271" ref="A308"/>
    <hyperlink r:id="rId272" ref="A309"/>
    <hyperlink r:id="rId273" ref="A310"/>
    <hyperlink r:id="rId274" ref="A311"/>
    <hyperlink r:id="rId275" ref="A312"/>
    <hyperlink r:id="rId276" ref="A313"/>
    <hyperlink r:id="rId277" ref="A314"/>
    <hyperlink r:id="rId278" ref="A316"/>
    <hyperlink r:id="rId279" ref="A317"/>
    <hyperlink r:id="rId280" ref="A318"/>
    <hyperlink r:id="rId281" ref="A319"/>
    <hyperlink r:id="rId282" ref="A320"/>
    <hyperlink r:id="rId283" ref="A321"/>
    <hyperlink r:id="rId284" ref="A322"/>
    <hyperlink r:id="rId285" ref="A323"/>
    <hyperlink r:id="rId286" ref="A324"/>
    <hyperlink r:id="rId287" ref="A325"/>
    <hyperlink r:id="rId288" ref="A326"/>
    <hyperlink r:id="rId289" ref="A327"/>
    <hyperlink r:id="rId290" ref="A328"/>
    <hyperlink r:id="rId291" ref="A329"/>
    <hyperlink r:id="rId292" ref="A331"/>
    <hyperlink r:id="rId293" ref="A332"/>
    <hyperlink r:id="rId294" ref="A333"/>
    <hyperlink r:id="rId295" ref="A334"/>
    <hyperlink r:id="rId296" ref="A335"/>
    <hyperlink r:id="rId297" ref="A336"/>
    <hyperlink r:id="rId298" ref="A337"/>
    <hyperlink r:id="rId299" ref="A338"/>
    <hyperlink r:id="rId300" ref="A339"/>
    <hyperlink r:id="rId301" ref="A340"/>
    <hyperlink r:id="rId302" ref="A341"/>
    <hyperlink r:id="rId303" ref="A342"/>
    <hyperlink r:id="rId304" ref="A343"/>
    <hyperlink r:id="rId305" ref="A344"/>
    <hyperlink r:id="rId306" ref="A345"/>
    <hyperlink r:id="rId307" ref="A346"/>
    <hyperlink r:id="rId308" ref="A347"/>
    <hyperlink r:id="rId309" ref="A348"/>
    <hyperlink r:id="rId310" ref="A349"/>
    <hyperlink r:id="rId311" ref="A350"/>
    <hyperlink r:id="rId312" ref="A351"/>
    <hyperlink r:id="rId313" ref="A352"/>
    <hyperlink r:id="rId314" ref="A353"/>
    <hyperlink r:id="rId315" ref="A354"/>
    <hyperlink r:id="rId316" ref="A355"/>
    <hyperlink r:id="rId317" ref="A356"/>
    <hyperlink r:id="rId318" ref="A357"/>
    <hyperlink r:id="rId319" ref="A358"/>
    <hyperlink r:id="rId320" ref="A359"/>
    <hyperlink r:id="rId321" ref="A360"/>
    <hyperlink r:id="rId322" ref="A361"/>
    <hyperlink r:id="rId323" ref="A362"/>
    <hyperlink r:id="rId324" ref="A363"/>
    <hyperlink r:id="rId325" ref="A364"/>
    <hyperlink r:id="rId326" ref="A365"/>
    <hyperlink r:id="rId327" ref="A366"/>
    <hyperlink r:id="rId328" ref="A368"/>
    <hyperlink r:id="rId329" ref="A369"/>
    <hyperlink r:id="rId330" ref="A370"/>
    <hyperlink r:id="rId331" ref="A371"/>
    <hyperlink r:id="rId332" ref="A372"/>
    <hyperlink r:id="rId333" ref="A373"/>
    <hyperlink r:id="rId334" ref="A376"/>
    <hyperlink r:id="rId335" ref="A377"/>
    <hyperlink r:id="rId336" ref="A378"/>
    <hyperlink r:id="rId337" ref="A379"/>
    <hyperlink r:id="rId338" ref="A380"/>
    <hyperlink r:id="rId339" ref="A381"/>
    <hyperlink r:id="rId340" ref="A382"/>
    <hyperlink r:id="rId341" ref="A383"/>
    <hyperlink r:id="rId342" ref="A384"/>
    <hyperlink r:id="rId343" ref="A385"/>
    <hyperlink r:id="rId344" ref="A386"/>
    <hyperlink r:id="rId345" ref="A387"/>
    <hyperlink r:id="rId346" ref="A388"/>
    <hyperlink r:id="rId347" ref="A389"/>
    <hyperlink r:id="rId348" ref="A390"/>
    <hyperlink r:id="rId349" ref="A391"/>
    <hyperlink r:id="rId350" ref="A392"/>
    <hyperlink r:id="rId351" ref="A393"/>
    <hyperlink r:id="rId352" ref="A394"/>
    <hyperlink r:id="rId353" ref="A395"/>
    <hyperlink r:id="rId354" ref="A396"/>
    <hyperlink r:id="rId355" ref="A397"/>
    <hyperlink r:id="rId356" ref="A398"/>
    <hyperlink r:id="rId357" ref="A399"/>
    <hyperlink r:id="rId358" ref="A400"/>
    <hyperlink r:id="rId359" ref="A401"/>
    <hyperlink r:id="rId360" ref="A402"/>
    <hyperlink r:id="rId361" ref="A403"/>
    <hyperlink r:id="rId362" ref="A404"/>
    <hyperlink r:id="rId363" ref="A405"/>
    <hyperlink r:id="rId364" ref="A406"/>
    <hyperlink r:id="rId365" ref="A407"/>
    <hyperlink r:id="rId366" ref="A408"/>
    <hyperlink r:id="rId367" ref="A409"/>
    <hyperlink r:id="rId368" ref="A410"/>
  </hyperlinks>
  <drawing r:id="rId36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9.43"/>
    <col customWidth="1" min="2" max="2" width="78.43"/>
  </cols>
  <sheetData>
    <row r="1">
      <c r="A1" s="312" t="s">
        <v>1212</v>
      </c>
      <c r="B1" s="312"/>
      <c r="C1" s="313"/>
    </row>
    <row r="2">
      <c r="A2" s="312" t="s">
        <v>1213</v>
      </c>
      <c r="B2" s="312"/>
      <c r="C2" s="313"/>
    </row>
    <row r="3">
      <c r="A3" s="312" t="s">
        <v>1214</v>
      </c>
      <c r="B3" s="312"/>
      <c r="C3" s="313"/>
    </row>
    <row r="4">
      <c r="A4" s="312"/>
      <c r="B4" s="312"/>
      <c r="C4" s="313"/>
    </row>
    <row r="5">
      <c r="A5" s="312" t="s">
        <v>1215</v>
      </c>
      <c r="B5" s="312" t="s">
        <v>1216</v>
      </c>
      <c r="C5" s="313" t="s">
        <v>1217</v>
      </c>
    </row>
    <row r="6">
      <c r="A6" s="312" t="s">
        <v>1218</v>
      </c>
      <c r="B6" s="312" t="s">
        <v>1219</v>
      </c>
      <c r="C6" s="313">
        <f>IF(B6="Sim", 20, 0)</f>
        <v>20</v>
      </c>
    </row>
    <row r="7">
      <c r="A7" s="312" t="s">
        <v>1220</v>
      </c>
      <c r="B7" s="312" t="s">
        <v>1221</v>
      </c>
      <c r="C7" s="313">
        <f>IF(B7="Sim, inviabiliza atividades de ensino, pesquisa ou extensão", 15, IF(B7="Sim, inviabiliza atividades administrativas", 10, IF(B7="Não", 0, "")))</f>
        <v>0</v>
      </c>
    </row>
    <row r="8">
      <c r="A8" s="312" t="s">
        <v>1222</v>
      </c>
      <c r="B8" s="312" t="s">
        <v>1223</v>
      </c>
      <c r="C8" s="313">
        <f>IF(B8=" Aplicar recurso já disponível para execução de obras", 15, IF(B8="Estimar custos para capitação de recursos", 10, IF(B8="Execução interna SEINFRA (equipe de manutenção)", 5, "")))</f>
        <v>10</v>
      </c>
    </row>
    <row r="9">
      <c r="A9" s="312" t="s">
        <v>1224</v>
      </c>
      <c r="B9" s="312" t="s">
        <v>1219</v>
      </c>
      <c r="C9" s="313">
        <f>IF(B9="Sim", 5, 0)</f>
        <v>5</v>
      </c>
    </row>
    <row r="10">
      <c r="A10" s="312" t="s">
        <v>1225</v>
      </c>
      <c r="B10" s="312" t="s">
        <v>1221</v>
      </c>
      <c r="C10" s="313">
        <f>IF(B10="Sim", 10, 0)</f>
        <v>0</v>
      </c>
    </row>
    <row r="11">
      <c r="A11" s="312" t="s">
        <v>1226</v>
      </c>
      <c r="B11" s="312" t="s">
        <v>1219</v>
      </c>
      <c r="C11" s="313">
        <f t="shared" ref="C11:C12" si="1">IF(B11="Sim", 5, 0)</f>
        <v>5</v>
      </c>
    </row>
    <row r="12">
      <c r="A12" s="312" t="s">
        <v>1227</v>
      </c>
      <c r="B12" s="312" t="s">
        <v>1219</v>
      </c>
      <c r="C12" s="313">
        <f t="shared" si="1"/>
        <v>5</v>
      </c>
    </row>
    <row r="13">
      <c r="A13" s="312"/>
      <c r="B13" s="313"/>
      <c r="C13" s="313"/>
    </row>
    <row r="14">
      <c r="A14" s="312"/>
      <c r="B14" s="313" t="s">
        <v>1217</v>
      </c>
      <c r="C14" s="313">
        <f>SUM(C6:C12)</f>
        <v>45</v>
      </c>
    </row>
    <row r="15">
      <c r="A15" s="312"/>
      <c r="B15" s="313"/>
      <c r="C15" s="313"/>
    </row>
    <row r="16">
      <c r="A16" s="312"/>
      <c r="B16" s="313" t="s">
        <v>10</v>
      </c>
      <c r="C16" s="314" t="str">
        <f>IFS(C14&gt;60, "ALTA", C14&gt;30, "NORMAL", C14&gt;=0, "BAIXA")</f>
        <v>NORMAL</v>
      </c>
    </row>
    <row r="17">
      <c r="A17" s="312"/>
      <c r="B17" s="313"/>
      <c r="C17" s="313"/>
    </row>
    <row r="18">
      <c r="A18" s="312"/>
      <c r="B18" s="312" t="s">
        <v>1228</v>
      </c>
      <c r="C18" s="313"/>
    </row>
    <row r="19">
      <c r="A19" s="312"/>
      <c r="B19" s="312" t="s">
        <v>1229</v>
      </c>
      <c r="C19" s="313"/>
    </row>
    <row r="20">
      <c r="A20" s="312"/>
      <c r="B20" s="312" t="s">
        <v>1230</v>
      </c>
      <c r="C20" s="313"/>
    </row>
    <row r="21">
      <c r="A21" s="315"/>
    </row>
    <row r="22">
      <c r="A22" s="315"/>
    </row>
    <row r="23">
      <c r="A23" s="315"/>
    </row>
    <row r="24">
      <c r="A24" s="315"/>
    </row>
    <row r="25">
      <c r="A25" s="315"/>
    </row>
    <row r="26">
      <c r="A26" s="315"/>
    </row>
    <row r="27">
      <c r="A27" s="315"/>
    </row>
    <row r="28">
      <c r="A28" s="315"/>
    </row>
    <row r="29">
      <c r="A29" s="315"/>
    </row>
    <row r="30">
      <c r="A30" s="315"/>
    </row>
    <row r="31">
      <c r="A31" s="315"/>
    </row>
    <row r="32">
      <c r="A32" s="315"/>
    </row>
    <row r="33">
      <c r="A33" s="315"/>
    </row>
    <row r="34">
      <c r="A34" s="315"/>
    </row>
    <row r="35">
      <c r="A35" s="315"/>
    </row>
    <row r="36">
      <c r="A36" s="315"/>
    </row>
    <row r="37">
      <c r="A37" s="315"/>
    </row>
    <row r="38">
      <c r="A38" s="315"/>
    </row>
    <row r="39">
      <c r="A39" s="315"/>
    </row>
    <row r="40">
      <c r="A40" s="315"/>
    </row>
    <row r="41">
      <c r="A41" s="315"/>
    </row>
    <row r="42">
      <c r="A42" s="315"/>
    </row>
    <row r="43">
      <c r="A43" s="315"/>
    </row>
    <row r="44">
      <c r="A44" s="315"/>
    </row>
    <row r="45">
      <c r="A45" s="315"/>
    </row>
    <row r="46">
      <c r="A46" s="315"/>
    </row>
    <row r="47">
      <c r="A47" s="315"/>
    </row>
    <row r="48">
      <c r="A48" s="315"/>
    </row>
    <row r="49">
      <c r="A49" s="315"/>
    </row>
    <row r="50">
      <c r="A50" s="315"/>
    </row>
    <row r="51">
      <c r="A51" s="315"/>
    </row>
    <row r="52">
      <c r="A52" s="315"/>
    </row>
    <row r="53">
      <c r="A53" s="315"/>
    </row>
    <row r="54">
      <c r="A54" s="315"/>
    </row>
    <row r="55">
      <c r="A55" s="315"/>
    </row>
    <row r="56">
      <c r="A56" s="315"/>
    </row>
    <row r="57">
      <c r="A57" s="315"/>
    </row>
    <row r="58">
      <c r="A58" s="315"/>
    </row>
    <row r="59">
      <c r="A59" s="315"/>
    </row>
    <row r="60">
      <c r="A60" s="315"/>
    </row>
    <row r="61">
      <c r="A61" s="315"/>
    </row>
    <row r="62">
      <c r="A62" s="315"/>
    </row>
    <row r="63">
      <c r="A63" s="315"/>
    </row>
    <row r="64">
      <c r="A64" s="315"/>
    </row>
    <row r="65">
      <c r="A65" s="315"/>
    </row>
    <row r="66">
      <c r="A66" s="315"/>
    </row>
    <row r="67">
      <c r="A67" s="315"/>
    </row>
    <row r="68">
      <c r="A68" s="315"/>
    </row>
    <row r="69">
      <c r="A69" s="315"/>
    </row>
    <row r="70">
      <c r="A70" s="315"/>
    </row>
    <row r="71">
      <c r="A71" s="315"/>
    </row>
    <row r="72">
      <c r="A72" s="315"/>
    </row>
    <row r="73">
      <c r="A73" s="315"/>
    </row>
    <row r="74">
      <c r="A74" s="315"/>
    </row>
    <row r="75">
      <c r="A75" s="315"/>
    </row>
    <row r="76">
      <c r="A76" s="315"/>
    </row>
    <row r="77">
      <c r="A77" s="315"/>
    </row>
    <row r="78">
      <c r="A78" s="315"/>
    </row>
    <row r="79">
      <c r="A79" s="315"/>
    </row>
    <row r="80">
      <c r="A80" s="315"/>
    </row>
    <row r="81">
      <c r="A81" s="315"/>
    </row>
    <row r="82">
      <c r="A82" s="315"/>
    </row>
    <row r="83">
      <c r="A83" s="315"/>
    </row>
    <row r="84">
      <c r="A84" s="315"/>
    </row>
    <row r="85">
      <c r="A85" s="315"/>
    </row>
    <row r="86">
      <c r="A86" s="315"/>
    </row>
    <row r="87">
      <c r="A87" s="315"/>
    </row>
    <row r="88">
      <c r="A88" s="315"/>
    </row>
    <row r="89">
      <c r="A89" s="315"/>
    </row>
    <row r="90">
      <c r="A90" s="315"/>
    </row>
    <row r="91">
      <c r="A91" s="315"/>
    </row>
    <row r="92">
      <c r="A92" s="315"/>
    </row>
    <row r="93">
      <c r="A93" s="315"/>
    </row>
    <row r="94">
      <c r="A94" s="315"/>
    </row>
    <row r="95">
      <c r="A95" s="315"/>
    </row>
    <row r="96">
      <c r="A96" s="315"/>
    </row>
    <row r="97">
      <c r="A97" s="315"/>
    </row>
    <row r="98">
      <c r="A98" s="315"/>
    </row>
    <row r="99">
      <c r="A99" s="315"/>
    </row>
    <row r="100">
      <c r="A100" s="315"/>
    </row>
    <row r="101">
      <c r="A101" s="315"/>
    </row>
    <row r="102">
      <c r="A102" s="315"/>
    </row>
    <row r="103">
      <c r="A103" s="315"/>
    </row>
    <row r="104">
      <c r="A104" s="315"/>
    </row>
    <row r="105">
      <c r="A105" s="315"/>
    </row>
    <row r="106">
      <c r="A106" s="315"/>
    </row>
    <row r="107">
      <c r="A107" s="315"/>
    </row>
    <row r="108">
      <c r="A108" s="315"/>
    </row>
    <row r="109">
      <c r="A109" s="315"/>
    </row>
    <row r="110">
      <c r="A110" s="315"/>
    </row>
    <row r="111">
      <c r="A111" s="315"/>
    </row>
    <row r="112">
      <c r="A112" s="315"/>
    </row>
    <row r="113">
      <c r="A113" s="315"/>
    </row>
    <row r="114">
      <c r="A114" s="315"/>
    </row>
    <row r="115">
      <c r="A115" s="315"/>
    </row>
    <row r="116">
      <c r="A116" s="315"/>
    </row>
    <row r="117">
      <c r="A117" s="315"/>
    </row>
    <row r="118">
      <c r="A118" s="315"/>
    </row>
    <row r="119">
      <c r="A119" s="315"/>
    </row>
    <row r="120">
      <c r="A120" s="315"/>
    </row>
    <row r="121">
      <c r="A121" s="315"/>
    </row>
    <row r="122">
      <c r="A122" s="315"/>
    </row>
    <row r="123">
      <c r="A123" s="315"/>
    </row>
    <row r="124">
      <c r="A124" s="315"/>
    </row>
    <row r="125">
      <c r="A125" s="315"/>
    </row>
    <row r="126">
      <c r="A126" s="315"/>
    </row>
    <row r="127">
      <c r="A127" s="315"/>
    </row>
    <row r="128">
      <c r="A128" s="315"/>
    </row>
    <row r="129">
      <c r="A129" s="315"/>
    </row>
    <row r="130">
      <c r="A130" s="315"/>
    </row>
    <row r="131">
      <c r="A131" s="315"/>
    </row>
    <row r="132">
      <c r="A132" s="315"/>
    </row>
    <row r="133">
      <c r="A133" s="315"/>
    </row>
    <row r="134">
      <c r="A134" s="315"/>
    </row>
    <row r="135">
      <c r="A135" s="315"/>
    </row>
    <row r="136">
      <c r="A136" s="315"/>
    </row>
    <row r="137">
      <c r="A137" s="315"/>
    </row>
    <row r="138">
      <c r="A138" s="315"/>
    </row>
    <row r="139">
      <c r="A139" s="315"/>
    </row>
    <row r="140">
      <c r="A140" s="315"/>
    </row>
    <row r="141">
      <c r="A141" s="315"/>
    </row>
    <row r="142">
      <c r="A142" s="315"/>
    </row>
    <row r="143">
      <c r="A143" s="315"/>
    </row>
    <row r="144">
      <c r="A144" s="315"/>
    </row>
    <row r="145">
      <c r="A145" s="315"/>
    </row>
    <row r="146">
      <c r="A146" s="315"/>
    </row>
    <row r="147">
      <c r="A147" s="315"/>
    </row>
    <row r="148">
      <c r="A148" s="315"/>
    </row>
    <row r="149">
      <c r="A149" s="315"/>
    </row>
    <row r="150">
      <c r="A150" s="315"/>
    </row>
    <row r="151">
      <c r="A151" s="315"/>
    </row>
    <row r="152">
      <c r="A152" s="315"/>
    </row>
    <row r="153">
      <c r="A153" s="315"/>
    </row>
    <row r="154">
      <c r="A154" s="315"/>
    </row>
    <row r="155">
      <c r="A155" s="315"/>
    </row>
    <row r="156">
      <c r="A156" s="315"/>
    </row>
    <row r="157">
      <c r="A157" s="315"/>
    </row>
    <row r="158">
      <c r="A158" s="315"/>
    </row>
    <row r="159">
      <c r="A159" s="315"/>
    </row>
    <row r="160">
      <c r="A160" s="315"/>
    </row>
    <row r="161">
      <c r="A161" s="315"/>
    </row>
    <row r="162">
      <c r="A162" s="315"/>
    </row>
    <row r="163">
      <c r="A163" s="315"/>
    </row>
    <row r="164">
      <c r="A164" s="315"/>
    </row>
    <row r="165">
      <c r="A165" s="315"/>
    </row>
    <row r="166">
      <c r="A166" s="315"/>
    </row>
    <row r="167">
      <c r="A167" s="315"/>
    </row>
    <row r="168">
      <c r="A168" s="315"/>
    </row>
    <row r="169">
      <c r="A169" s="315"/>
    </row>
    <row r="170">
      <c r="A170" s="315"/>
    </row>
    <row r="171">
      <c r="A171" s="315"/>
    </row>
    <row r="172">
      <c r="A172" s="315"/>
    </row>
    <row r="173">
      <c r="A173" s="315"/>
    </row>
    <row r="174">
      <c r="A174" s="315"/>
    </row>
    <row r="175">
      <c r="A175" s="315"/>
    </row>
    <row r="176">
      <c r="A176" s="315"/>
    </row>
    <row r="177">
      <c r="A177" s="315"/>
    </row>
    <row r="178">
      <c r="A178" s="315"/>
    </row>
    <row r="179">
      <c r="A179" s="315"/>
    </row>
    <row r="180">
      <c r="A180" s="315"/>
    </row>
    <row r="181">
      <c r="A181" s="315"/>
    </row>
    <row r="182">
      <c r="A182" s="315"/>
    </row>
    <row r="183">
      <c r="A183" s="315"/>
    </row>
    <row r="184">
      <c r="A184" s="315"/>
    </row>
    <row r="185">
      <c r="A185" s="315"/>
    </row>
    <row r="186">
      <c r="A186" s="315"/>
    </row>
    <row r="187">
      <c r="A187" s="315"/>
    </row>
    <row r="188">
      <c r="A188" s="315"/>
    </row>
    <row r="189">
      <c r="A189" s="315"/>
    </row>
    <row r="190">
      <c r="A190" s="315"/>
    </row>
    <row r="191">
      <c r="A191" s="315"/>
    </row>
    <row r="192">
      <c r="A192" s="315"/>
    </row>
    <row r="193">
      <c r="A193" s="315"/>
    </row>
    <row r="194">
      <c r="A194" s="315"/>
    </row>
    <row r="195">
      <c r="A195" s="315"/>
    </row>
    <row r="196">
      <c r="A196" s="315"/>
    </row>
    <row r="197">
      <c r="A197" s="315"/>
    </row>
    <row r="198">
      <c r="A198" s="315"/>
    </row>
    <row r="199">
      <c r="A199" s="315"/>
    </row>
    <row r="200">
      <c r="A200" s="315"/>
    </row>
    <row r="201">
      <c r="A201" s="315"/>
    </row>
    <row r="202">
      <c r="A202" s="315"/>
    </row>
    <row r="203">
      <c r="A203" s="315"/>
    </row>
    <row r="204">
      <c r="A204" s="315"/>
    </row>
    <row r="205">
      <c r="A205" s="315"/>
    </row>
    <row r="206">
      <c r="A206" s="315"/>
    </row>
    <row r="207">
      <c r="A207" s="315"/>
    </row>
    <row r="208">
      <c r="A208" s="315"/>
    </row>
    <row r="209">
      <c r="A209" s="315"/>
    </row>
    <row r="210">
      <c r="A210" s="315"/>
    </row>
    <row r="211">
      <c r="A211" s="315"/>
    </row>
    <row r="212">
      <c r="A212" s="315"/>
    </row>
    <row r="213">
      <c r="A213" s="315"/>
    </row>
    <row r="214">
      <c r="A214" s="315"/>
    </row>
    <row r="215">
      <c r="A215" s="315"/>
    </row>
    <row r="216">
      <c r="A216" s="315"/>
    </row>
    <row r="217">
      <c r="A217" s="315"/>
    </row>
    <row r="218">
      <c r="A218" s="315"/>
    </row>
    <row r="219">
      <c r="A219" s="315"/>
    </row>
    <row r="220">
      <c r="A220" s="315"/>
    </row>
    <row r="221">
      <c r="A221" s="315"/>
    </row>
    <row r="222">
      <c r="A222" s="315"/>
    </row>
    <row r="223">
      <c r="A223" s="315"/>
    </row>
    <row r="224">
      <c r="A224" s="315"/>
    </row>
    <row r="225">
      <c r="A225" s="315"/>
    </row>
    <row r="226">
      <c r="A226" s="315"/>
    </row>
    <row r="227">
      <c r="A227" s="315"/>
    </row>
    <row r="228">
      <c r="A228" s="315"/>
    </row>
    <row r="229">
      <c r="A229" s="315"/>
    </row>
    <row r="230">
      <c r="A230" s="315"/>
    </row>
    <row r="231">
      <c r="A231" s="315"/>
    </row>
    <row r="232">
      <c r="A232" s="315"/>
    </row>
    <row r="233">
      <c r="A233" s="315"/>
    </row>
    <row r="234">
      <c r="A234" s="315"/>
    </row>
    <row r="235">
      <c r="A235" s="315"/>
    </row>
    <row r="236">
      <c r="A236" s="315"/>
    </row>
    <row r="237">
      <c r="A237" s="315"/>
    </row>
    <row r="238">
      <c r="A238" s="315"/>
    </row>
    <row r="239">
      <c r="A239" s="315"/>
    </row>
    <row r="240">
      <c r="A240" s="315"/>
    </row>
    <row r="241">
      <c r="A241" s="315"/>
    </row>
    <row r="242">
      <c r="A242" s="315"/>
    </row>
    <row r="243">
      <c r="A243" s="315"/>
    </row>
    <row r="244">
      <c r="A244" s="315"/>
    </row>
    <row r="245">
      <c r="A245" s="315"/>
    </row>
    <row r="246">
      <c r="A246" s="315"/>
    </row>
    <row r="247">
      <c r="A247" s="315"/>
    </row>
    <row r="248">
      <c r="A248" s="315"/>
    </row>
    <row r="249">
      <c r="A249" s="315"/>
    </row>
    <row r="250">
      <c r="A250" s="315"/>
    </row>
    <row r="251">
      <c r="A251" s="315"/>
    </row>
    <row r="252">
      <c r="A252" s="315"/>
    </row>
    <row r="253">
      <c r="A253" s="315"/>
    </row>
    <row r="254">
      <c r="A254" s="315"/>
    </row>
    <row r="255">
      <c r="A255" s="315"/>
    </row>
    <row r="256">
      <c r="A256" s="315"/>
    </row>
    <row r="257">
      <c r="A257" s="315"/>
    </row>
    <row r="258">
      <c r="A258" s="315"/>
    </row>
    <row r="259">
      <c r="A259" s="315"/>
    </row>
    <row r="260">
      <c r="A260" s="315"/>
    </row>
    <row r="261">
      <c r="A261" s="315"/>
    </row>
    <row r="262">
      <c r="A262" s="315"/>
    </row>
    <row r="263">
      <c r="A263" s="315"/>
    </row>
    <row r="264">
      <c r="A264" s="315"/>
    </row>
    <row r="265">
      <c r="A265" s="315"/>
    </row>
    <row r="266">
      <c r="A266" s="315"/>
    </row>
    <row r="267">
      <c r="A267" s="315"/>
    </row>
    <row r="268">
      <c r="A268" s="315"/>
    </row>
    <row r="269">
      <c r="A269" s="315"/>
    </row>
    <row r="270">
      <c r="A270" s="315"/>
    </row>
    <row r="271">
      <c r="A271" s="315"/>
    </row>
    <row r="272">
      <c r="A272" s="315"/>
    </row>
    <row r="273">
      <c r="A273" s="315"/>
    </row>
    <row r="274">
      <c r="A274" s="315"/>
    </row>
    <row r="275">
      <c r="A275" s="315"/>
    </row>
    <row r="276">
      <c r="A276" s="315"/>
    </row>
    <row r="277">
      <c r="A277" s="315"/>
    </row>
    <row r="278">
      <c r="A278" s="315"/>
    </row>
    <row r="279">
      <c r="A279" s="315"/>
    </row>
    <row r="280">
      <c r="A280" s="315"/>
    </row>
    <row r="281">
      <c r="A281" s="315"/>
    </row>
    <row r="282">
      <c r="A282" s="315"/>
    </row>
    <row r="283">
      <c r="A283" s="315"/>
    </row>
    <row r="284">
      <c r="A284" s="315"/>
    </row>
    <row r="285">
      <c r="A285" s="315"/>
    </row>
    <row r="286">
      <c r="A286" s="315"/>
    </row>
    <row r="287">
      <c r="A287" s="315"/>
    </row>
    <row r="288">
      <c r="A288" s="315"/>
    </row>
    <row r="289">
      <c r="A289" s="315"/>
    </row>
    <row r="290">
      <c r="A290" s="315"/>
    </row>
    <row r="291">
      <c r="A291" s="315"/>
    </row>
    <row r="292">
      <c r="A292" s="315"/>
    </row>
    <row r="293">
      <c r="A293" s="315"/>
    </row>
    <row r="294">
      <c r="A294" s="315"/>
    </row>
    <row r="295">
      <c r="A295" s="315"/>
    </row>
    <row r="296">
      <c r="A296" s="315"/>
    </row>
    <row r="297">
      <c r="A297" s="315"/>
    </row>
    <row r="298">
      <c r="A298" s="315"/>
    </row>
    <row r="299">
      <c r="A299" s="315"/>
    </row>
    <row r="300">
      <c r="A300" s="315"/>
    </row>
    <row r="301">
      <c r="A301" s="315"/>
    </row>
    <row r="302">
      <c r="A302" s="315"/>
    </row>
    <row r="303">
      <c r="A303" s="315"/>
    </row>
    <row r="304">
      <c r="A304" s="315"/>
    </row>
    <row r="305">
      <c r="A305" s="315"/>
    </row>
    <row r="306">
      <c r="A306" s="315"/>
    </row>
    <row r="307">
      <c r="A307" s="315"/>
    </row>
    <row r="308">
      <c r="A308" s="315"/>
    </row>
    <row r="309">
      <c r="A309" s="315"/>
    </row>
    <row r="310">
      <c r="A310" s="315"/>
    </row>
    <row r="311">
      <c r="A311" s="315"/>
    </row>
    <row r="312">
      <c r="A312" s="315"/>
    </row>
    <row r="313">
      <c r="A313" s="315"/>
    </row>
    <row r="314">
      <c r="A314" s="315"/>
    </row>
    <row r="315">
      <c r="A315" s="315"/>
    </row>
    <row r="316">
      <c r="A316" s="315"/>
    </row>
    <row r="317">
      <c r="A317" s="315"/>
    </row>
    <row r="318">
      <c r="A318" s="315"/>
    </row>
    <row r="319">
      <c r="A319" s="315"/>
    </row>
    <row r="320">
      <c r="A320" s="315"/>
    </row>
    <row r="321">
      <c r="A321" s="315"/>
    </row>
    <row r="322">
      <c r="A322" s="315"/>
    </row>
    <row r="323">
      <c r="A323" s="315"/>
    </row>
    <row r="324">
      <c r="A324" s="315"/>
    </row>
    <row r="325">
      <c r="A325" s="315"/>
    </row>
    <row r="326">
      <c r="A326" s="315"/>
    </row>
    <row r="327">
      <c r="A327" s="315"/>
    </row>
    <row r="328">
      <c r="A328" s="315"/>
    </row>
    <row r="329">
      <c r="A329" s="315"/>
    </row>
    <row r="330">
      <c r="A330" s="315"/>
    </row>
    <row r="331">
      <c r="A331" s="315"/>
    </row>
    <row r="332">
      <c r="A332" s="315"/>
    </row>
    <row r="333">
      <c r="A333" s="315"/>
    </row>
    <row r="334">
      <c r="A334" s="315"/>
    </row>
    <row r="335">
      <c r="A335" s="315"/>
    </row>
    <row r="336">
      <c r="A336" s="315"/>
    </row>
    <row r="337">
      <c r="A337" s="315"/>
    </row>
    <row r="338">
      <c r="A338" s="315"/>
    </row>
    <row r="339">
      <c r="A339" s="315"/>
    </row>
    <row r="340">
      <c r="A340" s="315"/>
    </row>
    <row r="341">
      <c r="A341" s="315"/>
    </row>
    <row r="342">
      <c r="A342" s="315"/>
    </row>
    <row r="343">
      <c r="A343" s="315"/>
    </row>
    <row r="344">
      <c r="A344" s="315"/>
    </row>
    <row r="345">
      <c r="A345" s="315"/>
    </row>
    <row r="346">
      <c r="A346" s="315"/>
    </row>
    <row r="347">
      <c r="A347" s="315"/>
    </row>
    <row r="348">
      <c r="A348" s="315"/>
    </row>
    <row r="349">
      <c r="A349" s="315"/>
    </row>
    <row r="350">
      <c r="A350" s="315"/>
    </row>
    <row r="351">
      <c r="A351" s="315"/>
    </row>
    <row r="352">
      <c r="A352" s="315"/>
    </row>
    <row r="353">
      <c r="A353" s="315"/>
    </row>
    <row r="354">
      <c r="A354" s="315"/>
    </row>
    <row r="355">
      <c r="A355" s="315"/>
    </row>
    <row r="356">
      <c r="A356" s="315"/>
    </row>
    <row r="357">
      <c r="A357" s="315"/>
    </row>
    <row r="358">
      <c r="A358" s="315"/>
    </row>
    <row r="359">
      <c r="A359" s="315"/>
    </row>
    <row r="360">
      <c r="A360" s="315"/>
    </row>
    <row r="361">
      <c r="A361" s="315"/>
    </row>
    <row r="362">
      <c r="A362" s="315"/>
    </row>
    <row r="363">
      <c r="A363" s="315"/>
    </row>
    <row r="364">
      <c r="A364" s="315"/>
    </row>
    <row r="365">
      <c r="A365" s="315"/>
    </row>
    <row r="366">
      <c r="A366" s="315"/>
    </row>
    <row r="367">
      <c r="A367" s="315"/>
    </row>
    <row r="368">
      <c r="A368" s="315"/>
    </row>
    <row r="369">
      <c r="A369" s="315"/>
    </row>
    <row r="370">
      <c r="A370" s="315"/>
    </row>
    <row r="371">
      <c r="A371" s="315"/>
    </row>
    <row r="372">
      <c r="A372" s="315"/>
    </row>
    <row r="373">
      <c r="A373" s="315"/>
    </row>
    <row r="374">
      <c r="A374" s="315"/>
    </row>
    <row r="375">
      <c r="A375" s="315"/>
    </row>
    <row r="376">
      <c r="A376" s="315"/>
    </row>
    <row r="377">
      <c r="A377" s="315"/>
    </row>
    <row r="378">
      <c r="A378" s="315"/>
    </row>
    <row r="379">
      <c r="A379" s="315"/>
    </row>
    <row r="380">
      <c r="A380" s="315"/>
    </row>
    <row r="381">
      <c r="A381" s="315"/>
    </row>
    <row r="382">
      <c r="A382" s="315"/>
    </row>
    <row r="383">
      <c r="A383" s="315"/>
    </row>
    <row r="384">
      <c r="A384" s="315"/>
    </row>
    <row r="385">
      <c r="A385" s="315"/>
    </row>
    <row r="386">
      <c r="A386" s="315"/>
    </row>
    <row r="387">
      <c r="A387" s="315"/>
    </row>
    <row r="388">
      <c r="A388" s="315"/>
    </row>
    <row r="389">
      <c r="A389" s="315"/>
    </row>
    <row r="390">
      <c r="A390" s="315"/>
    </row>
    <row r="391">
      <c r="A391" s="315"/>
    </row>
    <row r="392">
      <c r="A392" s="315"/>
    </row>
    <row r="393">
      <c r="A393" s="315"/>
    </row>
    <row r="394">
      <c r="A394" s="315"/>
    </row>
    <row r="395">
      <c r="A395" s="315"/>
    </row>
    <row r="396">
      <c r="A396" s="315"/>
    </row>
    <row r="397">
      <c r="A397" s="315"/>
    </row>
    <row r="398">
      <c r="A398" s="315"/>
    </row>
    <row r="399">
      <c r="A399" s="315"/>
    </row>
    <row r="400">
      <c r="A400" s="315"/>
    </row>
    <row r="401">
      <c r="A401" s="315"/>
    </row>
    <row r="402">
      <c r="A402" s="315"/>
    </row>
    <row r="403">
      <c r="A403" s="315"/>
    </row>
    <row r="404">
      <c r="A404" s="315"/>
    </row>
    <row r="405">
      <c r="A405" s="315"/>
    </row>
    <row r="406">
      <c r="A406" s="315"/>
    </row>
    <row r="407">
      <c r="A407" s="315"/>
    </row>
    <row r="408">
      <c r="A408" s="315"/>
    </row>
    <row r="409">
      <c r="A409" s="315"/>
    </row>
    <row r="410">
      <c r="A410" s="315"/>
    </row>
    <row r="411">
      <c r="A411" s="315"/>
    </row>
    <row r="412">
      <c r="A412" s="315"/>
    </row>
    <row r="413">
      <c r="A413" s="315"/>
    </row>
    <row r="414">
      <c r="A414" s="315"/>
    </row>
    <row r="415">
      <c r="A415" s="315"/>
    </row>
    <row r="416">
      <c r="A416" s="315"/>
    </row>
    <row r="417">
      <c r="A417" s="315"/>
    </row>
    <row r="418">
      <c r="A418" s="315"/>
    </row>
    <row r="419">
      <c r="A419" s="315"/>
    </row>
    <row r="420">
      <c r="A420" s="315"/>
    </row>
    <row r="421">
      <c r="A421" s="315"/>
    </row>
    <row r="422">
      <c r="A422" s="315"/>
    </row>
    <row r="423">
      <c r="A423" s="315"/>
    </row>
    <row r="424">
      <c r="A424" s="315"/>
    </row>
    <row r="425">
      <c r="A425" s="315"/>
    </row>
    <row r="426">
      <c r="A426" s="315"/>
    </row>
    <row r="427">
      <c r="A427" s="315"/>
    </row>
    <row r="428">
      <c r="A428" s="315"/>
    </row>
    <row r="429">
      <c r="A429" s="315"/>
    </row>
    <row r="430">
      <c r="A430" s="315"/>
    </row>
    <row r="431">
      <c r="A431" s="315"/>
    </row>
    <row r="432">
      <c r="A432" s="315"/>
    </row>
    <row r="433">
      <c r="A433" s="315"/>
    </row>
    <row r="434">
      <c r="A434" s="315"/>
    </row>
    <row r="435">
      <c r="A435" s="315"/>
    </row>
    <row r="436">
      <c r="A436" s="315"/>
    </row>
    <row r="437">
      <c r="A437" s="315"/>
    </row>
    <row r="438">
      <c r="A438" s="315"/>
    </row>
    <row r="439">
      <c r="A439" s="315"/>
    </row>
    <row r="440">
      <c r="A440" s="315"/>
    </row>
    <row r="441">
      <c r="A441" s="315"/>
    </row>
    <row r="442">
      <c r="A442" s="315"/>
    </row>
    <row r="443">
      <c r="A443" s="315"/>
    </row>
    <row r="444">
      <c r="A444" s="315"/>
    </row>
    <row r="445">
      <c r="A445" s="315"/>
    </row>
    <row r="446">
      <c r="A446" s="315"/>
    </row>
    <row r="447">
      <c r="A447" s="315"/>
    </row>
    <row r="448">
      <c r="A448" s="315"/>
    </row>
    <row r="449">
      <c r="A449" s="315"/>
    </row>
    <row r="450">
      <c r="A450" s="315"/>
    </row>
    <row r="451">
      <c r="A451" s="315"/>
    </row>
    <row r="452">
      <c r="A452" s="315"/>
    </row>
    <row r="453">
      <c r="A453" s="315"/>
    </row>
    <row r="454">
      <c r="A454" s="315"/>
    </row>
    <row r="455">
      <c r="A455" s="315"/>
    </row>
    <row r="456">
      <c r="A456" s="315"/>
    </row>
    <row r="457">
      <c r="A457" s="315"/>
    </row>
    <row r="458">
      <c r="A458" s="315"/>
    </row>
    <row r="459">
      <c r="A459" s="315"/>
    </row>
    <row r="460">
      <c r="A460" s="315"/>
    </row>
    <row r="461">
      <c r="A461" s="315"/>
    </row>
    <row r="462">
      <c r="A462" s="315"/>
    </row>
    <row r="463">
      <c r="A463" s="315"/>
    </row>
    <row r="464">
      <c r="A464" s="315"/>
    </row>
    <row r="465">
      <c r="A465" s="315"/>
    </row>
    <row r="466">
      <c r="A466" s="315"/>
    </row>
    <row r="467">
      <c r="A467" s="315"/>
    </row>
    <row r="468">
      <c r="A468" s="315"/>
    </row>
    <row r="469">
      <c r="A469" s="315"/>
    </row>
    <row r="470">
      <c r="A470" s="315"/>
    </row>
    <row r="471">
      <c r="A471" s="315"/>
    </row>
    <row r="472">
      <c r="A472" s="315"/>
    </row>
    <row r="473">
      <c r="A473" s="315"/>
    </row>
    <row r="474">
      <c r="A474" s="315"/>
    </row>
    <row r="475">
      <c r="A475" s="315"/>
    </row>
    <row r="476">
      <c r="A476" s="315"/>
    </row>
    <row r="477">
      <c r="A477" s="315"/>
    </row>
    <row r="478">
      <c r="A478" s="315"/>
    </row>
    <row r="479">
      <c r="A479" s="315"/>
    </row>
    <row r="480">
      <c r="A480" s="315"/>
    </row>
    <row r="481">
      <c r="A481" s="315"/>
    </row>
    <row r="482">
      <c r="A482" s="315"/>
    </row>
    <row r="483">
      <c r="A483" s="315"/>
    </row>
    <row r="484">
      <c r="A484" s="315"/>
    </row>
    <row r="485">
      <c r="A485" s="315"/>
    </row>
    <row r="486">
      <c r="A486" s="315"/>
    </row>
    <row r="487">
      <c r="A487" s="315"/>
    </row>
    <row r="488">
      <c r="A488" s="315"/>
    </row>
    <row r="489">
      <c r="A489" s="315"/>
    </row>
    <row r="490">
      <c r="A490" s="315"/>
    </row>
    <row r="491">
      <c r="A491" s="315"/>
    </row>
    <row r="492">
      <c r="A492" s="315"/>
    </row>
    <row r="493">
      <c r="A493" s="315"/>
    </row>
    <row r="494">
      <c r="A494" s="315"/>
    </row>
    <row r="495">
      <c r="A495" s="315"/>
    </row>
    <row r="496">
      <c r="A496" s="315"/>
    </row>
    <row r="497">
      <c r="A497" s="315"/>
    </row>
    <row r="498">
      <c r="A498" s="315"/>
    </row>
    <row r="499">
      <c r="A499" s="315"/>
    </row>
    <row r="500">
      <c r="A500" s="315"/>
    </row>
    <row r="501">
      <c r="A501" s="315"/>
    </row>
    <row r="502">
      <c r="A502" s="315"/>
    </row>
    <row r="503">
      <c r="A503" s="315"/>
    </row>
    <row r="504">
      <c r="A504" s="315"/>
    </row>
    <row r="505">
      <c r="A505" s="315"/>
    </row>
    <row r="506">
      <c r="A506" s="315"/>
    </row>
    <row r="507">
      <c r="A507" s="315"/>
    </row>
    <row r="508">
      <c r="A508" s="315"/>
    </row>
    <row r="509">
      <c r="A509" s="315"/>
    </row>
    <row r="510">
      <c r="A510" s="315"/>
    </row>
    <row r="511">
      <c r="A511" s="315"/>
    </row>
    <row r="512">
      <c r="A512" s="315"/>
    </row>
    <row r="513">
      <c r="A513" s="315"/>
    </row>
    <row r="514">
      <c r="A514" s="315"/>
    </row>
    <row r="515">
      <c r="A515" s="315"/>
    </row>
    <row r="516">
      <c r="A516" s="315"/>
    </row>
    <row r="517">
      <c r="A517" s="315"/>
    </row>
    <row r="518">
      <c r="A518" s="315"/>
    </row>
    <row r="519">
      <c r="A519" s="315"/>
    </row>
    <row r="520">
      <c r="A520" s="315"/>
    </row>
    <row r="521">
      <c r="A521" s="315"/>
    </row>
    <row r="522">
      <c r="A522" s="315"/>
    </row>
    <row r="523">
      <c r="A523" s="315"/>
    </row>
    <row r="524">
      <c r="A524" s="315"/>
    </row>
    <row r="525">
      <c r="A525" s="315"/>
    </row>
    <row r="526">
      <c r="A526" s="315"/>
    </row>
    <row r="527">
      <c r="A527" s="315"/>
    </row>
    <row r="528">
      <c r="A528" s="315"/>
    </row>
    <row r="529">
      <c r="A529" s="315"/>
    </row>
    <row r="530">
      <c r="A530" s="315"/>
    </row>
    <row r="531">
      <c r="A531" s="315"/>
    </row>
    <row r="532">
      <c r="A532" s="315"/>
    </row>
    <row r="533">
      <c r="A533" s="315"/>
    </row>
    <row r="534">
      <c r="A534" s="315"/>
    </row>
    <row r="535">
      <c r="A535" s="315"/>
    </row>
    <row r="536">
      <c r="A536" s="315"/>
    </row>
    <row r="537">
      <c r="A537" s="315"/>
    </row>
    <row r="538">
      <c r="A538" s="315"/>
    </row>
    <row r="539">
      <c r="A539" s="315"/>
    </row>
    <row r="540">
      <c r="A540" s="315"/>
    </row>
    <row r="541">
      <c r="A541" s="315"/>
    </row>
    <row r="542">
      <c r="A542" s="315"/>
    </row>
    <row r="543">
      <c r="A543" s="315"/>
    </row>
    <row r="544">
      <c r="A544" s="315"/>
    </row>
    <row r="545">
      <c r="A545" s="315"/>
    </row>
    <row r="546">
      <c r="A546" s="315"/>
    </row>
    <row r="547">
      <c r="A547" s="315"/>
    </row>
    <row r="548">
      <c r="A548" s="315"/>
    </row>
    <row r="549">
      <c r="A549" s="315"/>
    </row>
    <row r="550">
      <c r="A550" s="315"/>
    </row>
    <row r="551">
      <c r="A551" s="315"/>
    </row>
    <row r="552">
      <c r="A552" s="315"/>
    </row>
    <row r="553">
      <c r="A553" s="315"/>
    </row>
    <row r="554">
      <c r="A554" s="315"/>
    </row>
    <row r="555">
      <c r="A555" s="315"/>
    </row>
    <row r="556">
      <c r="A556" s="315"/>
    </row>
    <row r="557">
      <c r="A557" s="315"/>
    </row>
    <row r="558">
      <c r="A558" s="315"/>
    </row>
    <row r="559">
      <c r="A559" s="315"/>
    </row>
    <row r="560">
      <c r="A560" s="315"/>
    </row>
    <row r="561">
      <c r="A561" s="315"/>
    </row>
    <row r="562">
      <c r="A562" s="315"/>
    </row>
    <row r="563">
      <c r="A563" s="315"/>
    </row>
    <row r="564">
      <c r="A564" s="315"/>
    </row>
    <row r="565">
      <c r="A565" s="315"/>
    </row>
    <row r="566">
      <c r="A566" s="315"/>
    </row>
    <row r="567">
      <c r="A567" s="315"/>
    </row>
    <row r="568">
      <c r="A568" s="315"/>
    </row>
    <row r="569">
      <c r="A569" s="315"/>
    </row>
    <row r="570">
      <c r="A570" s="315"/>
    </row>
    <row r="571">
      <c r="A571" s="315"/>
    </row>
    <row r="572">
      <c r="A572" s="315"/>
    </row>
    <row r="573">
      <c r="A573" s="315"/>
    </row>
    <row r="574">
      <c r="A574" s="315"/>
    </row>
    <row r="575">
      <c r="A575" s="315"/>
    </row>
    <row r="576">
      <c r="A576" s="315"/>
    </row>
    <row r="577">
      <c r="A577" s="315"/>
    </row>
    <row r="578">
      <c r="A578" s="315"/>
    </row>
    <row r="579">
      <c r="A579" s="315"/>
    </row>
    <row r="580">
      <c r="A580" s="315"/>
    </row>
    <row r="581">
      <c r="A581" s="315"/>
    </row>
    <row r="582">
      <c r="A582" s="315"/>
    </row>
    <row r="583">
      <c r="A583" s="315"/>
    </row>
    <row r="584">
      <c r="A584" s="315"/>
    </row>
    <row r="585">
      <c r="A585" s="315"/>
    </row>
    <row r="586">
      <c r="A586" s="315"/>
    </row>
    <row r="587">
      <c r="A587" s="315"/>
    </row>
    <row r="588">
      <c r="A588" s="315"/>
    </row>
    <row r="589">
      <c r="A589" s="315"/>
    </row>
    <row r="590">
      <c r="A590" s="315"/>
    </row>
    <row r="591">
      <c r="A591" s="315"/>
    </row>
    <row r="592">
      <c r="A592" s="315"/>
    </row>
    <row r="593">
      <c r="A593" s="315"/>
    </row>
    <row r="594">
      <c r="A594" s="315"/>
    </row>
    <row r="595">
      <c r="A595" s="315"/>
    </row>
    <row r="596">
      <c r="A596" s="315"/>
    </row>
    <row r="597">
      <c r="A597" s="315"/>
    </row>
    <row r="598">
      <c r="A598" s="315"/>
    </row>
    <row r="599">
      <c r="A599" s="315"/>
    </row>
    <row r="600">
      <c r="A600" s="315"/>
    </row>
    <row r="601">
      <c r="A601" s="315"/>
    </row>
    <row r="602">
      <c r="A602" s="315"/>
    </row>
    <row r="603">
      <c r="A603" s="315"/>
    </row>
    <row r="604">
      <c r="A604" s="315"/>
    </row>
    <row r="605">
      <c r="A605" s="315"/>
    </row>
    <row r="606">
      <c r="A606" s="315"/>
    </row>
    <row r="607">
      <c r="A607" s="315"/>
    </row>
    <row r="608">
      <c r="A608" s="315"/>
    </row>
    <row r="609">
      <c r="A609" s="315"/>
    </row>
    <row r="610">
      <c r="A610" s="315"/>
    </row>
    <row r="611">
      <c r="A611" s="315"/>
    </row>
    <row r="612">
      <c r="A612" s="315"/>
    </row>
    <row r="613">
      <c r="A613" s="315"/>
    </row>
    <row r="614">
      <c r="A614" s="315"/>
    </row>
    <row r="615">
      <c r="A615" s="315"/>
    </row>
    <row r="616">
      <c r="A616" s="315"/>
    </row>
    <row r="617">
      <c r="A617" s="315"/>
    </row>
    <row r="618">
      <c r="A618" s="315"/>
    </row>
    <row r="619">
      <c r="A619" s="315"/>
    </row>
    <row r="620">
      <c r="A620" s="315"/>
    </row>
    <row r="621">
      <c r="A621" s="315"/>
    </row>
    <row r="622">
      <c r="A622" s="315"/>
    </row>
    <row r="623">
      <c r="A623" s="315"/>
    </row>
    <row r="624">
      <c r="A624" s="315"/>
    </row>
    <row r="625">
      <c r="A625" s="315"/>
    </row>
    <row r="626">
      <c r="A626" s="315"/>
    </row>
    <row r="627">
      <c r="A627" s="315"/>
    </row>
    <row r="628">
      <c r="A628" s="315"/>
    </row>
    <row r="629">
      <c r="A629" s="315"/>
    </row>
    <row r="630">
      <c r="A630" s="315"/>
    </row>
    <row r="631">
      <c r="A631" s="315"/>
    </row>
    <row r="632">
      <c r="A632" s="315"/>
    </row>
    <row r="633">
      <c r="A633" s="315"/>
    </row>
    <row r="634">
      <c r="A634" s="315"/>
    </row>
    <row r="635">
      <c r="A635" s="315"/>
    </row>
    <row r="636">
      <c r="A636" s="315"/>
    </row>
    <row r="637">
      <c r="A637" s="315"/>
    </row>
    <row r="638">
      <c r="A638" s="315"/>
    </row>
    <row r="639">
      <c r="A639" s="315"/>
    </row>
    <row r="640">
      <c r="A640" s="315"/>
    </row>
    <row r="641">
      <c r="A641" s="315"/>
    </row>
    <row r="642">
      <c r="A642" s="315"/>
    </row>
    <row r="643">
      <c r="A643" s="315"/>
    </row>
    <row r="644">
      <c r="A644" s="315"/>
    </row>
    <row r="645">
      <c r="A645" s="315"/>
    </row>
    <row r="646">
      <c r="A646" s="315"/>
    </row>
    <row r="647">
      <c r="A647" s="315"/>
    </row>
    <row r="648">
      <c r="A648" s="315"/>
    </row>
    <row r="649">
      <c r="A649" s="315"/>
    </row>
    <row r="650">
      <c r="A650" s="315"/>
    </row>
    <row r="651">
      <c r="A651" s="315"/>
    </row>
    <row r="652">
      <c r="A652" s="315"/>
    </row>
    <row r="653">
      <c r="A653" s="315"/>
    </row>
    <row r="654">
      <c r="A654" s="315"/>
    </row>
    <row r="655">
      <c r="A655" s="315"/>
    </row>
    <row r="656">
      <c r="A656" s="315"/>
    </row>
    <row r="657">
      <c r="A657" s="315"/>
    </row>
    <row r="658">
      <c r="A658" s="315"/>
    </row>
    <row r="659">
      <c r="A659" s="315"/>
    </row>
    <row r="660">
      <c r="A660" s="315"/>
    </row>
    <row r="661">
      <c r="A661" s="315"/>
    </row>
    <row r="662">
      <c r="A662" s="315"/>
    </row>
    <row r="663">
      <c r="A663" s="315"/>
    </row>
    <row r="664">
      <c r="A664" s="315"/>
    </row>
    <row r="665">
      <c r="A665" s="315"/>
    </row>
    <row r="666">
      <c r="A666" s="315"/>
    </row>
    <row r="667">
      <c r="A667" s="315"/>
    </row>
    <row r="668">
      <c r="A668" s="315"/>
    </row>
    <row r="669">
      <c r="A669" s="315"/>
    </row>
    <row r="670">
      <c r="A670" s="315"/>
    </row>
    <row r="671">
      <c r="A671" s="315"/>
    </row>
    <row r="672">
      <c r="A672" s="315"/>
    </row>
    <row r="673">
      <c r="A673" s="315"/>
    </row>
    <row r="674">
      <c r="A674" s="315"/>
    </row>
    <row r="675">
      <c r="A675" s="315"/>
    </row>
    <row r="676">
      <c r="A676" s="315"/>
    </row>
    <row r="677">
      <c r="A677" s="315"/>
    </row>
    <row r="678">
      <c r="A678" s="315"/>
    </row>
    <row r="679">
      <c r="A679" s="315"/>
    </row>
    <row r="680">
      <c r="A680" s="315"/>
    </row>
    <row r="681">
      <c r="A681" s="315"/>
    </row>
    <row r="682">
      <c r="A682" s="315"/>
    </row>
    <row r="683">
      <c r="A683" s="315"/>
    </row>
    <row r="684">
      <c r="A684" s="315"/>
    </row>
    <row r="685">
      <c r="A685" s="315"/>
    </row>
    <row r="686">
      <c r="A686" s="315"/>
    </row>
    <row r="687">
      <c r="A687" s="315"/>
    </row>
    <row r="688">
      <c r="A688" s="315"/>
    </row>
    <row r="689">
      <c r="A689" s="315"/>
    </row>
    <row r="690">
      <c r="A690" s="315"/>
    </row>
    <row r="691">
      <c r="A691" s="315"/>
    </row>
    <row r="692">
      <c r="A692" s="315"/>
    </row>
    <row r="693">
      <c r="A693" s="315"/>
    </row>
    <row r="694">
      <c r="A694" s="315"/>
    </row>
    <row r="695">
      <c r="A695" s="315"/>
    </row>
    <row r="696">
      <c r="A696" s="315"/>
    </row>
    <row r="697">
      <c r="A697" s="315"/>
    </row>
    <row r="698">
      <c r="A698" s="315"/>
    </row>
    <row r="699">
      <c r="A699" s="315"/>
    </row>
    <row r="700">
      <c r="A700" s="315"/>
    </row>
    <row r="701">
      <c r="A701" s="315"/>
    </row>
    <row r="702">
      <c r="A702" s="315"/>
    </row>
    <row r="703">
      <c r="A703" s="315"/>
    </row>
    <row r="704">
      <c r="A704" s="315"/>
    </row>
    <row r="705">
      <c r="A705" s="315"/>
    </row>
    <row r="706">
      <c r="A706" s="315"/>
    </row>
    <row r="707">
      <c r="A707" s="315"/>
    </row>
    <row r="708">
      <c r="A708" s="315"/>
    </row>
    <row r="709">
      <c r="A709" s="315"/>
    </row>
    <row r="710">
      <c r="A710" s="315"/>
    </row>
    <row r="711">
      <c r="A711" s="315"/>
    </row>
    <row r="712">
      <c r="A712" s="315"/>
    </row>
    <row r="713">
      <c r="A713" s="315"/>
    </row>
    <row r="714">
      <c r="A714" s="315"/>
    </row>
    <row r="715">
      <c r="A715" s="315"/>
    </row>
    <row r="716">
      <c r="A716" s="315"/>
    </row>
    <row r="717">
      <c r="A717" s="315"/>
    </row>
    <row r="718">
      <c r="A718" s="315"/>
    </row>
    <row r="719">
      <c r="A719" s="315"/>
    </row>
    <row r="720">
      <c r="A720" s="315"/>
    </row>
    <row r="721">
      <c r="A721" s="315"/>
    </row>
    <row r="722">
      <c r="A722" s="315"/>
    </row>
    <row r="723">
      <c r="A723" s="315"/>
    </row>
    <row r="724">
      <c r="A724" s="315"/>
    </row>
    <row r="725">
      <c r="A725" s="315"/>
    </row>
    <row r="726">
      <c r="A726" s="315"/>
    </row>
    <row r="727">
      <c r="A727" s="315"/>
    </row>
    <row r="728">
      <c r="A728" s="315"/>
    </row>
    <row r="729">
      <c r="A729" s="315"/>
    </row>
    <row r="730">
      <c r="A730" s="315"/>
    </row>
    <row r="731">
      <c r="A731" s="315"/>
    </row>
    <row r="732">
      <c r="A732" s="315"/>
    </row>
    <row r="733">
      <c r="A733" s="315"/>
    </row>
    <row r="734">
      <c r="A734" s="315"/>
    </row>
    <row r="735">
      <c r="A735" s="315"/>
    </row>
    <row r="736">
      <c r="A736" s="315"/>
    </row>
    <row r="737">
      <c r="A737" s="315"/>
    </row>
    <row r="738">
      <c r="A738" s="315"/>
    </row>
    <row r="739">
      <c r="A739" s="315"/>
    </row>
    <row r="740">
      <c r="A740" s="315"/>
    </row>
    <row r="741">
      <c r="A741" s="315"/>
    </row>
    <row r="742">
      <c r="A742" s="315"/>
    </row>
    <row r="743">
      <c r="A743" s="315"/>
    </row>
    <row r="744">
      <c r="A744" s="315"/>
    </row>
    <row r="745">
      <c r="A745" s="315"/>
    </row>
    <row r="746">
      <c r="A746" s="315"/>
    </row>
    <row r="747">
      <c r="A747" s="315"/>
    </row>
    <row r="748">
      <c r="A748" s="315"/>
    </row>
    <row r="749">
      <c r="A749" s="315"/>
    </row>
    <row r="750">
      <c r="A750" s="315"/>
    </row>
    <row r="751">
      <c r="A751" s="315"/>
    </row>
    <row r="752">
      <c r="A752" s="315"/>
    </row>
    <row r="753">
      <c r="A753" s="315"/>
    </row>
    <row r="754">
      <c r="A754" s="315"/>
    </row>
    <row r="755">
      <c r="A755" s="315"/>
    </row>
    <row r="756">
      <c r="A756" s="315"/>
    </row>
    <row r="757">
      <c r="A757" s="315"/>
    </row>
    <row r="758">
      <c r="A758" s="315"/>
    </row>
    <row r="759">
      <c r="A759" s="315"/>
    </row>
    <row r="760">
      <c r="A760" s="315"/>
    </row>
    <row r="761">
      <c r="A761" s="315"/>
    </row>
    <row r="762">
      <c r="A762" s="315"/>
    </row>
    <row r="763">
      <c r="A763" s="315"/>
    </row>
    <row r="764">
      <c r="A764" s="315"/>
    </row>
    <row r="765">
      <c r="A765" s="315"/>
    </row>
    <row r="766">
      <c r="A766" s="315"/>
    </row>
    <row r="767">
      <c r="A767" s="315"/>
    </row>
    <row r="768">
      <c r="A768" s="315"/>
    </row>
    <row r="769">
      <c r="A769" s="315"/>
    </row>
    <row r="770">
      <c r="A770" s="315"/>
    </row>
    <row r="771">
      <c r="A771" s="315"/>
    </row>
    <row r="772">
      <c r="A772" s="315"/>
    </row>
    <row r="773">
      <c r="A773" s="315"/>
    </row>
    <row r="774">
      <c r="A774" s="315"/>
    </row>
    <row r="775">
      <c r="A775" s="315"/>
    </row>
    <row r="776">
      <c r="A776" s="315"/>
    </row>
    <row r="777">
      <c r="A777" s="315"/>
    </row>
    <row r="778">
      <c r="A778" s="315"/>
    </row>
    <row r="779">
      <c r="A779" s="315"/>
    </row>
    <row r="780">
      <c r="A780" s="315"/>
    </row>
    <row r="781">
      <c r="A781" s="315"/>
    </row>
    <row r="782">
      <c r="A782" s="315"/>
    </row>
    <row r="783">
      <c r="A783" s="315"/>
    </row>
    <row r="784">
      <c r="A784" s="315"/>
    </row>
    <row r="785">
      <c r="A785" s="315"/>
    </row>
    <row r="786">
      <c r="A786" s="315"/>
    </row>
    <row r="787">
      <c r="A787" s="315"/>
    </row>
    <row r="788">
      <c r="A788" s="315"/>
    </row>
    <row r="789">
      <c r="A789" s="315"/>
    </row>
    <row r="790">
      <c r="A790" s="315"/>
    </row>
    <row r="791">
      <c r="A791" s="315"/>
    </row>
    <row r="792">
      <c r="A792" s="315"/>
    </row>
    <row r="793">
      <c r="A793" s="315"/>
    </row>
    <row r="794">
      <c r="A794" s="315"/>
    </row>
    <row r="795">
      <c r="A795" s="315"/>
    </row>
    <row r="796">
      <c r="A796" s="315"/>
    </row>
    <row r="797">
      <c r="A797" s="315"/>
    </row>
    <row r="798">
      <c r="A798" s="315"/>
    </row>
    <row r="799">
      <c r="A799" s="315"/>
    </row>
    <row r="800">
      <c r="A800" s="315"/>
    </row>
    <row r="801">
      <c r="A801" s="315"/>
    </row>
    <row r="802">
      <c r="A802" s="315"/>
    </row>
    <row r="803">
      <c r="A803" s="315"/>
    </row>
    <row r="804">
      <c r="A804" s="315"/>
    </row>
    <row r="805">
      <c r="A805" s="315"/>
    </row>
    <row r="806">
      <c r="A806" s="315"/>
    </row>
    <row r="807">
      <c r="A807" s="315"/>
    </row>
    <row r="808">
      <c r="A808" s="315"/>
    </row>
    <row r="809">
      <c r="A809" s="315"/>
    </row>
    <row r="810">
      <c r="A810" s="315"/>
    </row>
    <row r="811">
      <c r="A811" s="315"/>
    </row>
    <row r="812">
      <c r="A812" s="315"/>
    </row>
    <row r="813">
      <c r="A813" s="315"/>
    </row>
    <row r="814">
      <c r="A814" s="315"/>
    </row>
    <row r="815">
      <c r="A815" s="315"/>
    </row>
    <row r="816">
      <c r="A816" s="315"/>
    </row>
    <row r="817">
      <c r="A817" s="315"/>
    </row>
    <row r="818">
      <c r="A818" s="315"/>
    </row>
    <row r="819">
      <c r="A819" s="315"/>
    </row>
    <row r="820">
      <c r="A820" s="315"/>
    </row>
    <row r="821">
      <c r="A821" s="315"/>
    </row>
    <row r="822">
      <c r="A822" s="315"/>
    </row>
    <row r="823">
      <c r="A823" s="315"/>
    </row>
    <row r="824">
      <c r="A824" s="315"/>
    </row>
    <row r="825">
      <c r="A825" s="315"/>
    </row>
    <row r="826">
      <c r="A826" s="315"/>
    </row>
    <row r="827">
      <c r="A827" s="315"/>
    </row>
    <row r="828">
      <c r="A828" s="315"/>
    </row>
    <row r="829">
      <c r="A829" s="315"/>
    </row>
    <row r="830">
      <c r="A830" s="315"/>
    </row>
    <row r="831">
      <c r="A831" s="315"/>
    </row>
    <row r="832">
      <c r="A832" s="315"/>
    </row>
    <row r="833">
      <c r="A833" s="315"/>
    </row>
    <row r="834">
      <c r="A834" s="315"/>
    </row>
    <row r="835">
      <c r="A835" s="315"/>
    </row>
    <row r="836">
      <c r="A836" s="315"/>
    </row>
    <row r="837">
      <c r="A837" s="315"/>
    </row>
    <row r="838">
      <c r="A838" s="315"/>
    </row>
    <row r="839">
      <c r="A839" s="315"/>
    </row>
    <row r="840">
      <c r="A840" s="315"/>
    </row>
    <row r="841">
      <c r="A841" s="315"/>
    </row>
    <row r="842">
      <c r="A842" s="315"/>
    </row>
    <row r="843">
      <c r="A843" s="315"/>
    </row>
    <row r="844">
      <c r="A844" s="315"/>
    </row>
    <row r="845">
      <c r="A845" s="315"/>
    </row>
    <row r="846">
      <c r="A846" s="315"/>
    </row>
    <row r="847">
      <c r="A847" s="315"/>
    </row>
    <row r="848">
      <c r="A848" s="315"/>
    </row>
    <row r="849">
      <c r="A849" s="315"/>
    </row>
    <row r="850">
      <c r="A850" s="315"/>
    </row>
    <row r="851">
      <c r="A851" s="315"/>
    </row>
    <row r="852">
      <c r="A852" s="315"/>
    </row>
    <row r="853">
      <c r="A853" s="315"/>
    </row>
    <row r="854">
      <c r="A854" s="315"/>
    </row>
    <row r="855">
      <c r="A855" s="315"/>
    </row>
    <row r="856">
      <c r="A856" s="315"/>
    </row>
    <row r="857">
      <c r="A857" s="315"/>
    </row>
    <row r="858">
      <c r="A858" s="315"/>
    </row>
    <row r="859">
      <c r="A859" s="315"/>
    </row>
    <row r="860">
      <c r="A860" s="315"/>
    </row>
    <row r="861">
      <c r="A861" s="315"/>
    </row>
    <row r="862">
      <c r="A862" s="315"/>
    </row>
    <row r="863">
      <c r="A863" s="315"/>
    </row>
    <row r="864">
      <c r="A864" s="315"/>
    </row>
    <row r="865">
      <c r="A865" s="315"/>
    </row>
    <row r="866">
      <c r="A866" s="315"/>
    </row>
    <row r="867">
      <c r="A867" s="315"/>
    </row>
    <row r="868">
      <c r="A868" s="315"/>
    </row>
    <row r="869">
      <c r="A869" s="315"/>
    </row>
    <row r="870">
      <c r="A870" s="315"/>
    </row>
    <row r="871">
      <c r="A871" s="315"/>
    </row>
    <row r="872">
      <c r="A872" s="315"/>
    </row>
    <row r="873">
      <c r="A873" s="315"/>
    </row>
    <row r="874">
      <c r="A874" s="315"/>
    </row>
    <row r="875">
      <c r="A875" s="315"/>
    </row>
    <row r="876">
      <c r="A876" s="315"/>
    </row>
    <row r="877">
      <c r="A877" s="315"/>
    </row>
    <row r="878">
      <c r="A878" s="315"/>
    </row>
    <row r="879">
      <c r="A879" s="315"/>
    </row>
    <row r="880">
      <c r="A880" s="315"/>
    </row>
    <row r="881">
      <c r="A881" s="315"/>
    </row>
    <row r="882">
      <c r="A882" s="315"/>
    </row>
    <row r="883">
      <c r="A883" s="315"/>
    </row>
    <row r="884">
      <c r="A884" s="315"/>
    </row>
    <row r="885">
      <c r="A885" s="315"/>
    </row>
    <row r="886">
      <c r="A886" s="315"/>
    </row>
    <row r="887">
      <c r="A887" s="315"/>
    </row>
    <row r="888">
      <c r="A888" s="315"/>
    </row>
    <row r="889">
      <c r="A889" s="315"/>
    </row>
    <row r="890">
      <c r="A890" s="315"/>
    </row>
    <row r="891">
      <c r="A891" s="315"/>
    </row>
    <row r="892">
      <c r="A892" s="315"/>
    </row>
    <row r="893">
      <c r="A893" s="315"/>
    </row>
    <row r="894">
      <c r="A894" s="315"/>
    </row>
    <row r="895">
      <c r="A895" s="315"/>
    </row>
    <row r="896">
      <c r="A896" s="315"/>
    </row>
    <row r="897">
      <c r="A897" s="315"/>
    </row>
    <row r="898">
      <c r="A898" s="315"/>
    </row>
    <row r="899">
      <c r="A899" s="315"/>
    </row>
    <row r="900">
      <c r="A900" s="315"/>
    </row>
    <row r="901">
      <c r="A901" s="315"/>
    </row>
    <row r="902">
      <c r="A902" s="315"/>
    </row>
    <row r="903">
      <c r="A903" s="315"/>
    </row>
    <row r="904">
      <c r="A904" s="315"/>
    </row>
    <row r="905">
      <c r="A905" s="315"/>
    </row>
    <row r="906">
      <c r="A906" s="315"/>
    </row>
    <row r="907">
      <c r="A907" s="315"/>
    </row>
    <row r="908">
      <c r="A908" s="315"/>
    </row>
    <row r="909">
      <c r="A909" s="315"/>
    </row>
    <row r="910">
      <c r="A910" s="315"/>
    </row>
    <row r="911">
      <c r="A911" s="315"/>
    </row>
    <row r="912">
      <c r="A912" s="315"/>
    </row>
    <row r="913">
      <c r="A913" s="315"/>
    </row>
    <row r="914">
      <c r="A914" s="315"/>
    </row>
    <row r="915">
      <c r="A915" s="315"/>
    </row>
    <row r="916">
      <c r="A916" s="315"/>
    </row>
    <row r="917">
      <c r="A917" s="315"/>
    </row>
    <row r="918">
      <c r="A918" s="315"/>
    </row>
    <row r="919">
      <c r="A919" s="315"/>
    </row>
    <row r="920">
      <c r="A920" s="315"/>
    </row>
    <row r="921">
      <c r="A921" s="315"/>
    </row>
    <row r="922">
      <c r="A922" s="315"/>
    </row>
    <row r="923">
      <c r="A923" s="315"/>
    </row>
    <row r="924">
      <c r="A924" s="315"/>
    </row>
    <row r="925">
      <c r="A925" s="315"/>
    </row>
    <row r="926">
      <c r="A926" s="315"/>
    </row>
    <row r="927">
      <c r="A927" s="315"/>
    </row>
    <row r="928">
      <c r="A928" s="315"/>
    </row>
    <row r="929">
      <c r="A929" s="315"/>
    </row>
    <row r="930">
      <c r="A930" s="315"/>
    </row>
    <row r="931">
      <c r="A931" s="315"/>
    </row>
    <row r="932">
      <c r="A932" s="315"/>
    </row>
    <row r="933">
      <c r="A933" s="315"/>
    </row>
    <row r="934">
      <c r="A934" s="315"/>
    </row>
    <row r="935">
      <c r="A935" s="315"/>
    </row>
    <row r="936">
      <c r="A936" s="315"/>
    </row>
    <row r="937">
      <c r="A937" s="315"/>
    </row>
    <row r="938">
      <c r="A938" s="315"/>
    </row>
    <row r="939">
      <c r="A939" s="315"/>
    </row>
    <row r="940">
      <c r="A940" s="315"/>
    </row>
    <row r="941">
      <c r="A941" s="315"/>
    </row>
    <row r="942">
      <c r="A942" s="315"/>
    </row>
    <row r="943">
      <c r="A943" s="315"/>
    </row>
    <row r="944">
      <c r="A944" s="315"/>
    </row>
    <row r="945">
      <c r="A945" s="315"/>
    </row>
    <row r="946">
      <c r="A946" s="315"/>
    </row>
    <row r="947">
      <c r="A947" s="315"/>
    </row>
    <row r="948">
      <c r="A948" s="315"/>
    </row>
    <row r="949">
      <c r="A949" s="315"/>
    </row>
    <row r="950">
      <c r="A950" s="315"/>
    </row>
    <row r="951">
      <c r="A951" s="315"/>
    </row>
    <row r="952">
      <c r="A952" s="315"/>
    </row>
    <row r="953">
      <c r="A953" s="315"/>
    </row>
    <row r="954">
      <c r="A954" s="315"/>
    </row>
    <row r="955">
      <c r="A955" s="315"/>
    </row>
    <row r="956">
      <c r="A956" s="315"/>
    </row>
    <row r="957">
      <c r="A957" s="315"/>
    </row>
    <row r="958">
      <c r="A958" s="315"/>
    </row>
    <row r="959">
      <c r="A959" s="315"/>
    </row>
    <row r="960">
      <c r="A960" s="315"/>
    </row>
    <row r="961">
      <c r="A961" s="315"/>
    </row>
    <row r="962">
      <c r="A962" s="315"/>
    </row>
    <row r="963">
      <c r="A963" s="315"/>
    </row>
    <row r="964">
      <c r="A964" s="315"/>
    </row>
    <row r="965">
      <c r="A965" s="315"/>
    </row>
    <row r="966">
      <c r="A966" s="315"/>
    </row>
    <row r="967">
      <c r="A967" s="315"/>
    </row>
    <row r="968">
      <c r="A968" s="315"/>
    </row>
    <row r="969">
      <c r="A969" s="315"/>
    </row>
    <row r="970">
      <c r="A970" s="315"/>
    </row>
    <row r="971">
      <c r="A971" s="315"/>
    </row>
    <row r="972">
      <c r="A972" s="315"/>
    </row>
    <row r="973">
      <c r="A973" s="315"/>
    </row>
    <row r="974">
      <c r="A974" s="315"/>
    </row>
    <row r="975">
      <c r="A975" s="315"/>
    </row>
    <row r="976">
      <c r="A976" s="315"/>
    </row>
    <row r="977">
      <c r="A977" s="315"/>
    </row>
    <row r="978">
      <c r="A978" s="315"/>
    </row>
    <row r="979">
      <c r="A979" s="315"/>
    </row>
    <row r="980">
      <c r="A980" s="315"/>
    </row>
    <row r="981">
      <c r="A981" s="315"/>
    </row>
    <row r="982">
      <c r="A982" s="315"/>
    </row>
    <row r="983">
      <c r="A983" s="315"/>
    </row>
    <row r="984">
      <c r="A984" s="315"/>
    </row>
    <row r="985">
      <c r="A985" s="315"/>
    </row>
    <row r="986">
      <c r="A986" s="315"/>
    </row>
    <row r="987">
      <c r="A987" s="315"/>
    </row>
    <row r="988">
      <c r="A988" s="315"/>
    </row>
    <row r="989">
      <c r="A989" s="315"/>
    </row>
    <row r="990">
      <c r="A990" s="315"/>
    </row>
    <row r="991">
      <c r="A991" s="315"/>
    </row>
    <row r="992">
      <c r="A992" s="315"/>
    </row>
    <row r="993">
      <c r="A993" s="315"/>
    </row>
    <row r="994">
      <c r="A994" s="315"/>
    </row>
    <row r="995">
      <c r="A995" s="315"/>
    </row>
    <row r="996">
      <c r="A996" s="315"/>
    </row>
    <row r="997">
      <c r="A997" s="315"/>
    </row>
    <row r="998">
      <c r="A998" s="315"/>
    </row>
    <row r="999">
      <c r="A999" s="315"/>
    </row>
    <row r="1000">
      <c r="A1000" s="315"/>
    </row>
    <row r="1001">
      <c r="A1001" s="315"/>
    </row>
    <row r="1002">
      <c r="A1002" s="315"/>
    </row>
  </sheetData>
  <conditionalFormatting sqref="C16">
    <cfRule type="containsText" dxfId="1" priority="1" operator="containsText" text="ALTA">
      <formula>NOT(ISERROR(SEARCH(("ALTA"),(C16))))</formula>
    </cfRule>
  </conditionalFormatting>
  <conditionalFormatting sqref="C16">
    <cfRule type="containsText" dxfId="2" priority="2" operator="containsText" text="NORMAL">
      <formula>NOT(ISERROR(SEARCH(("NORMAL"),(C16))))</formula>
    </cfRule>
  </conditionalFormatting>
  <conditionalFormatting sqref="C16">
    <cfRule type="containsText" dxfId="3" priority="3" operator="containsText" text="BAIXA">
      <formula>NOT(ISERROR(SEARCH(("BAIXA"),(C16))))</formula>
    </cfRule>
  </conditionalFormatting>
  <dataValidations>
    <dataValidation type="list" allowBlank="1" showErrorMessage="1" sqref="B8">
      <formula1>"Aplicar recurso já disponível para execução de obras,Estimar custos para capitação de recursos,Execução interna SEINFRA (equipe de manutenção)"</formula1>
    </dataValidation>
    <dataValidation type="list" allowBlank="1" showErrorMessage="1" sqref="B6 B9:B12">
      <formula1>"Sim,Não"</formula1>
    </dataValidation>
    <dataValidation type="list" allowBlank="1" showErrorMessage="1" sqref="B7">
      <formula1>"Sim,inviabiliza atividades de ensino,pesquisa ou extensão,Sim,inviabiliza atividades administrativas,Não"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18.29"/>
    <col customWidth="1" min="3" max="3" width="19.0"/>
    <col customWidth="1" min="4" max="4" width="34.0"/>
    <col customWidth="1" min="5" max="6" width="17.29"/>
    <col customWidth="1" min="7" max="7" width="17.57"/>
    <col customWidth="1" min="8" max="8" width="12.43"/>
    <col customWidth="1" min="9" max="9" width="32.43"/>
    <col customWidth="1" min="10" max="10" width="13.57"/>
  </cols>
  <sheetData>
    <row r="1" ht="18.0" customHeight="1">
      <c r="A1" s="316"/>
      <c r="J1" s="316"/>
    </row>
    <row r="2">
      <c r="A2" s="317" t="s">
        <v>1231</v>
      </c>
      <c r="J2" s="317"/>
    </row>
    <row r="3" ht="18.75" customHeight="1">
      <c r="A3" s="318" t="s">
        <v>1232</v>
      </c>
      <c r="B3" s="319" t="s">
        <v>3</v>
      </c>
      <c r="C3" s="318" t="s">
        <v>5</v>
      </c>
      <c r="D3" s="320" t="s">
        <v>8</v>
      </c>
      <c r="E3" s="318" t="s">
        <v>11</v>
      </c>
      <c r="F3" s="319" t="s">
        <v>12</v>
      </c>
      <c r="G3" s="318" t="s">
        <v>15</v>
      </c>
      <c r="H3" s="318" t="s">
        <v>10</v>
      </c>
      <c r="I3" s="321" t="s">
        <v>1233</v>
      </c>
      <c r="J3" s="322" t="s">
        <v>1234</v>
      </c>
    </row>
    <row r="4" ht="19.5" customHeight="1">
      <c r="A4" s="323" t="s">
        <v>1235</v>
      </c>
      <c r="B4" s="324"/>
      <c r="C4" s="324"/>
      <c r="D4" s="324"/>
      <c r="E4" s="324"/>
      <c r="F4" s="324"/>
      <c r="G4" s="324"/>
      <c r="H4" s="324"/>
      <c r="I4" s="325"/>
      <c r="J4" s="326"/>
    </row>
    <row r="5" ht="41.25" customHeight="1">
      <c r="A5" s="327" t="s">
        <v>1099</v>
      </c>
      <c r="B5" s="328">
        <v>44695.0</v>
      </c>
      <c r="C5" s="327" t="s">
        <v>1236</v>
      </c>
      <c r="D5" s="329" t="s">
        <v>1237</v>
      </c>
      <c r="E5" s="327" t="s">
        <v>41</v>
      </c>
      <c r="F5" s="328"/>
      <c r="G5" s="327"/>
      <c r="H5" s="327"/>
      <c r="I5" s="330" t="s">
        <v>1102</v>
      </c>
      <c r="J5" s="331"/>
    </row>
    <row r="6" ht="123.0" customHeight="1">
      <c r="A6" s="327" t="s">
        <v>1086</v>
      </c>
      <c r="B6" s="328">
        <v>44700.0</v>
      </c>
      <c r="C6" s="327" t="s">
        <v>1238</v>
      </c>
      <c r="D6" s="329" t="s">
        <v>1087</v>
      </c>
      <c r="E6" s="327" t="s">
        <v>152</v>
      </c>
      <c r="F6" s="328">
        <v>44722.0</v>
      </c>
      <c r="G6" s="327" t="s">
        <v>42</v>
      </c>
      <c r="H6" s="327"/>
      <c r="I6" s="330" t="s">
        <v>1088</v>
      </c>
      <c r="J6" s="331" t="s">
        <v>1221</v>
      </c>
    </row>
    <row r="7" ht="58.5" customHeight="1">
      <c r="A7" s="332" t="s">
        <v>730</v>
      </c>
      <c r="B7" s="333">
        <v>45253.0</v>
      </c>
      <c r="C7" s="332" t="s">
        <v>1239</v>
      </c>
      <c r="D7" s="330" t="s">
        <v>1240</v>
      </c>
      <c r="E7" s="332" t="s">
        <v>110</v>
      </c>
      <c r="F7" s="333">
        <v>45253.0</v>
      </c>
      <c r="G7" s="334" t="s">
        <v>42</v>
      </c>
      <c r="H7" s="332"/>
      <c r="I7" s="330" t="s">
        <v>732</v>
      </c>
      <c r="J7" s="331" t="s">
        <v>1221</v>
      </c>
    </row>
    <row r="8" ht="58.5" customHeight="1">
      <c r="A8" s="335"/>
      <c r="B8" s="336"/>
      <c r="C8" s="334" t="s">
        <v>161</v>
      </c>
      <c r="D8" s="334" t="s">
        <v>780</v>
      </c>
      <c r="E8" s="334" t="s">
        <v>41</v>
      </c>
      <c r="F8" s="337"/>
      <c r="G8" s="334" t="s">
        <v>42</v>
      </c>
      <c r="H8" s="338"/>
      <c r="I8" s="334" t="s">
        <v>781</v>
      </c>
      <c r="J8" s="331" t="s">
        <v>1241</v>
      </c>
    </row>
    <row r="9" ht="58.5" customHeight="1">
      <c r="A9" s="338"/>
      <c r="B9" s="339"/>
      <c r="C9" s="334" t="s">
        <v>161</v>
      </c>
      <c r="D9" s="200" t="s">
        <v>799</v>
      </c>
      <c r="E9" s="200" t="s">
        <v>497</v>
      </c>
      <c r="F9" s="337"/>
      <c r="G9" s="334" t="s">
        <v>42</v>
      </c>
      <c r="H9" s="338"/>
      <c r="I9" s="334" t="s">
        <v>800</v>
      </c>
      <c r="J9" s="331" t="s">
        <v>1241</v>
      </c>
    </row>
    <row r="10" ht="58.5" customHeight="1">
      <c r="A10" s="338"/>
      <c r="B10" s="339"/>
      <c r="C10" s="334"/>
      <c r="D10" s="334" t="s">
        <v>746</v>
      </c>
      <c r="E10" s="334" t="s">
        <v>110</v>
      </c>
      <c r="F10" s="337"/>
      <c r="G10" s="334" t="s">
        <v>42</v>
      </c>
      <c r="H10" s="338"/>
      <c r="I10" s="334" t="s">
        <v>747</v>
      </c>
      <c r="J10" s="340"/>
    </row>
    <row r="11" ht="58.5" customHeight="1">
      <c r="A11" s="338" t="s">
        <v>863</v>
      </c>
      <c r="B11" s="339"/>
      <c r="C11" s="334"/>
      <c r="D11" s="334" t="s">
        <v>864</v>
      </c>
      <c r="E11" s="334" t="s">
        <v>1242</v>
      </c>
      <c r="F11" s="337"/>
      <c r="G11" s="334" t="s">
        <v>42</v>
      </c>
      <c r="H11" s="338"/>
      <c r="I11" s="334" t="s">
        <v>776</v>
      </c>
      <c r="J11" s="331" t="s">
        <v>1241</v>
      </c>
    </row>
    <row r="12" ht="58.5" customHeight="1">
      <c r="A12" s="338" t="s">
        <v>847</v>
      </c>
      <c r="B12" s="339"/>
      <c r="C12" s="334"/>
      <c r="D12" s="334" t="s">
        <v>848</v>
      </c>
      <c r="E12" s="338" t="s">
        <v>41</v>
      </c>
      <c r="F12" s="337"/>
      <c r="G12" s="334" t="s">
        <v>42</v>
      </c>
      <c r="H12" s="338"/>
      <c r="I12" s="334" t="s">
        <v>776</v>
      </c>
      <c r="J12" s="331" t="s">
        <v>1241</v>
      </c>
    </row>
    <row r="13" ht="58.5" customHeight="1">
      <c r="A13" s="338" t="s">
        <v>866</v>
      </c>
      <c r="B13" s="339"/>
      <c r="C13" s="334" t="s">
        <v>154</v>
      </c>
      <c r="D13" s="334" t="s">
        <v>867</v>
      </c>
      <c r="E13" s="338" t="s">
        <v>110</v>
      </c>
      <c r="F13" s="337"/>
      <c r="G13" s="334" t="s">
        <v>42</v>
      </c>
      <c r="H13" s="338"/>
      <c r="I13" s="334" t="s">
        <v>776</v>
      </c>
      <c r="J13" s="331" t="s">
        <v>1241</v>
      </c>
    </row>
    <row r="14" ht="58.5" customHeight="1">
      <c r="A14" s="338" t="s">
        <v>868</v>
      </c>
      <c r="B14" s="339"/>
      <c r="C14" s="334"/>
      <c r="D14" s="334" t="s">
        <v>869</v>
      </c>
      <c r="E14" s="338" t="s">
        <v>110</v>
      </c>
      <c r="F14" s="337"/>
      <c r="G14" s="334" t="s">
        <v>42</v>
      </c>
      <c r="H14" s="338"/>
      <c r="I14" s="334" t="s">
        <v>776</v>
      </c>
      <c r="J14" s="331" t="s">
        <v>1241</v>
      </c>
    </row>
    <row r="15" ht="58.5" customHeight="1">
      <c r="A15" s="198" t="s">
        <v>829</v>
      </c>
      <c r="B15" s="339"/>
      <c r="C15" s="334" t="s">
        <v>1243</v>
      </c>
      <c r="D15" s="334" t="s">
        <v>830</v>
      </c>
      <c r="E15" s="338" t="s">
        <v>110</v>
      </c>
      <c r="F15" s="337"/>
      <c r="G15" s="334" t="s">
        <v>42</v>
      </c>
      <c r="H15" s="338"/>
      <c r="I15" s="334" t="s">
        <v>776</v>
      </c>
      <c r="J15" s="331" t="s">
        <v>1241</v>
      </c>
    </row>
    <row r="16" ht="58.5" customHeight="1">
      <c r="A16" s="338" t="s">
        <v>831</v>
      </c>
      <c r="B16" s="339"/>
      <c r="C16" s="334" t="s">
        <v>1244</v>
      </c>
      <c r="D16" s="334" t="s">
        <v>833</v>
      </c>
      <c r="E16" s="338" t="s">
        <v>110</v>
      </c>
      <c r="F16" s="337"/>
      <c r="G16" s="334" t="s">
        <v>42</v>
      </c>
      <c r="H16" s="338"/>
      <c r="I16" s="334" t="s">
        <v>776</v>
      </c>
      <c r="J16" s="331" t="s">
        <v>1241</v>
      </c>
    </row>
    <row r="17" ht="58.5" customHeight="1">
      <c r="A17" s="338" t="s">
        <v>822</v>
      </c>
      <c r="B17" s="339"/>
      <c r="C17" s="334" t="s">
        <v>359</v>
      </c>
      <c r="D17" s="334" t="s">
        <v>824</v>
      </c>
      <c r="E17" s="338" t="s">
        <v>128</v>
      </c>
      <c r="F17" s="337"/>
      <c r="G17" s="334" t="s">
        <v>42</v>
      </c>
      <c r="H17" s="338"/>
      <c r="I17" s="334" t="s">
        <v>776</v>
      </c>
      <c r="J17" s="331" t="s">
        <v>1241</v>
      </c>
    </row>
    <row r="18" ht="58.5" customHeight="1">
      <c r="A18" s="338" t="s">
        <v>825</v>
      </c>
      <c r="B18" s="339"/>
      <c r="C18" s="334" t="s">
        <v>1245</v>
      </c>
      <c r="D18" s="334" t="s">
        <v>1246</v>
      </c>
      <c r="E18" s="338" t="s">
        <v>1247</v>
      </c>
      <c r="F18" s="337"/>
      <c r="G18" s="334" t="s">
        <v>42</v>
      </c>
      <c r="H18" s="338"/>
      <c r="I18" s="334" t="s">
        <v>776</v>
      </c>
      <c r="J18" s="331" t="s">
        <v>1241</v>
      </c>
    </row>
    <row r="19" ht="58.5" customHeight="1">
      <c r="A19" s="338" t="s">
        <v>774</v>
      </c>
      <c r="B19" s="339">
        <v>45166.0</v>
      </c>
      <c r="C19" s="334" t="s">
        <v>1248</v>
      </c>
      <c r="D19" s="334" t="s">
        <v>1249</v>
      </c>
      <c r="E19" s="338" t="s">
        <v>41</v>
      </c>
      <c r="F19" s="337"/>
      <c r="G19" s="334" t="s">
        <v>42</v>
      </c>
      <c r="H19" s="338"/>
      <c r="I19" s="334" t="s">
        <v>776</v>
      </c>
      <c r="J19" s="331" t="s">
        <v>1241</v>
      </c>
    </row>
    <row r="20" ht="58.5" customHeight="1">
      <c r="A20" s="338" t="s">
        <v>870</v>
      </c>
      <c r="B20" s="339">
        <v>45076.0</v>
      </c>
      <c r="C20" s="334" t="s">
        <v>624</v>
      </c>
      <c r="D20" s="334" t="s">
        <v>1250</v>
      </c>
      <c r="E20" s="338" t="s">
        <v>128</v>
      </c>
      <c r="F20" s="337"/>
      <c r="G20" s="334" t="s">
        <v>42</v>
      </c>
      <c r="H20" s="338"/>
      <c r="I20" s="334" t="s">
        <v>1251</v>
      </c>
      <c r="J20" s="331" t="s">
        <v>1241</v>
      </c>
    </row>
    <row r="21" ht="94.5" customHeight="1">
      <c r="A21" s="338" t="s">
        <v>1009</v>
      </c>
      <c r="B21" s="339">
        <v>44797.0</v>
      </c>
      <c r="C21" s="338" t="s">
        <v>1252</v>
      </c>
      <c r="D21" s="334" t="s">
        <v>1010</v>
      </c>
      <c r="E21" s="338" t="s">
        <v>128</v>
      </c>
      <c r="F21" s="337">
        <v>45135.0</v>
      </c>
      <c r="G21" s="338" t="s">
        <v>42</v>
      </c>
      <c r="H21" s="338"/>
      <c r="I21" s="334" t="s">
        <v>1011</v>
      </c>
      <c r="J21" s="341" t="s">
        <v>1221</v>
      </c>
    </row>
    <row r="22" ht="19.5" customHeight="1">
      <c r="A22" s="338" t="s">
        <v>1006</v>
      </c>
      <c r="B22" s="339">
        <v>44804.0</v>
      </c>
      <c r="C22" s="338" t="s">
        <v>375</v>
      </c>
      <c r="D22" s="334" t="s">
        <v>1253</v>
      </c>
      <c r="E22" s="338" t="s">
        <v>128</v>
      </c>
      <c r="F22" s="337">
        <v>44874.0</v>
      </c>
      <c r="G22" s="338" t="s">
        <v>42</v>
      </c>
      <c r="H22" s="338"/>
      <c r="I22" s="342" t="s">
        <v>1254</v>
      </c>
      <c r="J22" s="341" t="s">
        <v>1221</v>
      </c>
    </row>
    <row r="23" ht="58.5" customHeight="1">
      <c r="A23" s="338" t="s">
        <v>748</v>
      </c>
      <c r="B23" s="339">
        <v>45239.0</v>
      </c>
      <c r="C23" s="338" t="s">
        <v>1239</v>
      </c>
      <c r="D23" s="334" t="s">
        <v>749</v>
      </c>
      <c r="E23" s="338" t="s">
        <v>110</v>
      </c>
      <c r="F23" s="337">
        <v>44942.0</v>
      </c>
      <c r="G23" s="334" t="s">
        <v>42</v>
      </c>
      <c r="H23" s="338"/>
      <c r="I23" s="334" t="s">
        <v>750</v>
      </c>
      <c r="J23" s="341" t="s">
        <v>1221</v>
      </c>
    </row>
    <row r="24" ht="58.5" customHeight="1">
      <c r="A24" s="338" t="s">
        <v>959</v>
      </c>
      <c r="B24" s="339">
        <v>44956.0</v>
      </c>
      <c r="C24" s="338" t="s">
        <v>77</v>
      </c>
      <c r="D24" s="334" t="s">
        <v>1255</v>
      </c>
      <c r="E24" s="338" t="s">
        <v>497</v>
      </c>
      <c r="F24" s="337">
        <v>45125.0</v>
      </c>
      <c r="G24" s="334" t="s">
        <v>42</v>
      </c>
      <c r="H24" s="338"/>
      <c r="I24" s="334" t="s">
        <v>1256</v>
      </c>
      <c r="J24" s="341" t="s">
        <v>1221</v>
      </c>
    </row>
    <row r="25" ht="58.5" customHeight="1">
      <c r="A25" s="338" t="s">
        <v>932</v>
      </c>
      <c r="B25" s="339">
        <v>44987.0</v>
      </c>
      <c r="C25" s="338" t="s">
        <v>633</v>
      </c>
      <c r="D25" s="334" t="s">
        <v>933</v>
      </c>
      <c r="E25" s="338" t="s">
        <v>75</v>
      </c>
      <c r="F25" s="337">
        <v>45019.0</v>
      </c>
      <c r="G25" s="334" t="s">
        <v>1257</v>
      </c>
      <c r="H25" s="338"/>
      <c r="I25" s="334" t="s">
        <v>934</v>
      </c>
      <c r="J25" s="341" t="s">
        <v>1221</v>
      </c>
    </row>
    <row r="26" ht="58.5" customHeight="1">
      <c r="A26" s="338" t="s">
        <v>882</v>
      </c>
      <c r="B26" s="339">
        <v>45050.0</v>
      </c>
      <c r="C26" s="334" t="s">
        <v>633</v>
      </c>
      <c r="D26" s="334" t="s">
        <v>883</v>
      </c>
      <c r="E26" s="338" t="s">
        <v>152</v>
      </c>
      <c r="F26" s="337">
        <v>45135.0</v>
      </c>
      <c r="G26" s="334" t="s">
        <v>42</v>
      </c>
      <c r="H26" s="338"/>
      <c r="I26" s="334" t="s">
        <v>884</v>
      </c>
      <c r="J26" s="341" t="s">
        <v>1221</v>
      </c>
    </row>
    <row r="27" ht="58.5" customHeight="1">
      <c r="A27" s="338" t="s">
        <v>895</v>
      </c>
      <c r="B27" s="339">
        <v>45034.0</v>
      </c>
      <c r="C27" s="334" t="s">
        <v>133</v>
      </c>
      <c r="D27" s="334" t="s">
        <v>896</v>
      </c>
      <c r="E27" s="338" t="s">
        <v>128</v>
      </c>
      <c r="F27" s="337">
        <v>45055.0</v>
      </c>
      <c r="G27" s="334" t="s">
        <v>42</v>
      </c>
      <c r="H27" s="338"/>
      <c r="I27" s="334" t="s">
        <v>897</v>
      </c>
      <c r="J27" s="341" t="s">
        <v>1219</v>
      </c>
    </row>
    <row r="28" ht="58.5" customHeight="1">
      <c r="A28" s="338" t="s">
        <v>888</v>
      </c>
      <c r="B28" s="339">
        <v>45048.0</v>
      </c>
      <c r="C28" s="334" t="s">
        <v>24</v>
      </c>
      <c r="D28" s="334" t="s">
        <v>889</v>
      </c>
      <c r="E28" s="338" t="s">
        <v>110</v>
      </c>
      <c r="F28" s="337">
        <v>45135.0</v>
      </c>
      <c r="G28" s="334" t="s">
        <v>42</v>
      </c>
      <c r="H28" s="338"/>
      <c r="I28" s="334" t="s">
        <v>890</v>
      </c>
      <c r="J28" s="343"/>
    </row>
    <row r="29" ht="58.5" customHeight="1">
      <c r="A29" s="338" t="s">
        <v>876</v>
      </c>
      <c r="B29" s="339">
        <v>45069.0</v>
      </c>
      <c r="C29" s="334" t="s">
        <v>1258</v>
      </c>
      <c r="D29" s="334" t="s">
        <v>877</v>
      </c>
      <c r="E29" s="338" t="s">
        <v>128</v>
      </c>
      <c r="F29" s="337">
        <v>45135.0</v>
      </c>
      <c r="G29" s="334" t="s">
        <v>42</v>
      </c>
      <c r="H29" s="338"/>
      <c r="I29" s="334" t="s">
        <v>878</v>
      </c>
      <c r="J29" s="341" t="s">
        <v>1221</v>
      </c>
    </row>
    <row r="30" ht="58.5" customHeight="1">
      <c r="A30" s="338" t="s">
        <v>839</v>
      </c>
      <c r="B30" s="339">
        <v>45105.0</v>
      </c>
      <c r="C30" s="334" t="s">
        <v>1259</v>
      </c>
      <c r="D30" s="334" t="s">
        <v>840</v>
      </c>
      <c r="E30" s="338" t="s">
        <v>41</v>
      </c>
      <c r="F30" s="337">
        <v>45124.0</v>
      </c>
      <c r="G30" s="334" t="s">
        <v>42</v>
      </c>
      <c r="H30" s="338"/>
      <c r="I30" s="334" t="s">
        <v>1260</v>
      </c>
      <c r="J30" s="341" t="s">
        <v>1221</v>
      </c>
    </row>
    <row r="31" ht="58.5" customHeight="1">
      <c r="A31" s="338" t="s">
        <v>1038</v>
      </c>
      <c r="B31" s="339">
        <v>44813.0</v>
      </c>
      <c r="C31" s="334" t="s">
        <v>1252</v>
      </c>
      <c r="D31" s="334" t="s">
        <v>1039</v>
      </c>
      <c r="E31" s="338" t="s">
        <v>128</v>
      </c>
      <c r="F31" s="337">
        <v>45135.0</v>
      </c>
      <c r="G31" s="334" t="s">
        <v>42</v>
      </c>
      <c r="H31" s="338"/>
      <c r="I31" s="334" t="s">
        <v>1040</v>
      </c>
      <c r="J31" s="341" t="s">
        <v>1221</v>
      </c>
    </row>
    <row r="32" ht="58.5" customHeight="1">
      <c r="A32" s="338" t="s">
        <v>818</v>
      </c>
      <c r="B32" s="339">
        <v>45138.0</v>
      </c>
      <c r="C32" s="334" t="s">
        <v>38</v>
      </c>
      <c r="D32" s="334" t="s">
        <v>819</v>
      </c>
      <c r="E32" s="338" t="s">
        <v>128</v>
      </c>
      <c r="F32" s="337">
        <v>45138.0</v>
      </c>
      <c r="G32" s="334" t="s">
        <v>42</v>
      </c>
      <c r="H32" s="338"/>
      <c r="I32" s="334" t="s">
        <v>820</v>
      </c>
      <c r="J32" s="341" t="s">
        <v>1219</v>
      </c>
    </row>
    <row r="33" ht="58.5" customHeight="1">
      <c r="A33" s="338" t="s">
        <v>788</v>
      </c>
      <c r="B33" s="339">
        <v>45140.0</v>
      </c>
      <c r="C33" s="334" t="s">
        <v>309</v>
      </c>
      <c r="D33" s="334" t="s">
        <v>789</v>
      </c>
      <c r="E33" s="338" t="s">
        <v>41</v>
      </c>
      <c r="F33" s="337">
        <v>45148.0</v>
      </c>
      <c r="G33" s="334" t="s">
        <v>42</v>
      </c>
      <c r="H33" s="338"/>
      <c r="I33" s="334" t="s">
        <v>1261</v>
      </c>
      <c r="J33" s="343"/>
    </row>
    <row r="34" ht="58.5" customHeight="1">
      <c r="A34" s="338" t="s">
        <v>782</v>
      </c>
      <c r="B34" s="339">
        <v>45142.0</v>
      </c>
      <c r="C34" s="334" t="s">
        <v>1262</v>
      </c>
      <c r="D34" s="334" t="s">
        <v>783</v>
      </c>
      <c r="E34" s="338" t="s">
        <v>128</v>
      </c>
      <c r="F34" s="337">
        <v>45156.0</v>
      </c>
      <c r="G34" s="334" t="s">
        <v>42</v>
      </c>
      <c r="H34" s="338"/>
      <c r="I34" s="334" t="s">
        <v>784</v>
      </c>
      <c r="J34" s="343"/>
    </row>
    <row r="35" ht="58.5" customHeight="1">
      <c r="A35" s="338" t="s">
        <v>777</v>
      </c>
      <c r="B35" s="339">
        <v>45156.0</v>
      </c>
      <c r="C35" s="334" t="s">
        <v>459</v>
      </c>
      <c r="D35" s="334" t="s">
        <v>778</v>
      </c>
      <c r="E35" s="198" t="s">
        <v>255</v>
      </c>
      <c r="F35" s="337">
        <v>45240.0</v>
      </c>
      <c r="G35" s="334" t="s">
        <v>42</v>
      </c>
      <c r="H35" s="338"/>
      <c r="I35" s="334" t="s">
        <v>779</v>
      </c>
      <c r="J35" s="341" t="s">
        <v>1221</v>
      </c>
    </row>
    <row r="36" ht="58.5" customHeight="1">
      <c r="A36" s="338" t="s">
        <v>767</v>
      </c>
      <c r="B36" s="339">
        <v>45181.0</v>
      </c>
      <c r="C36" s="334" t="s">
        <v>981</v>
      </c>
      <c r="D36" s="334" t="s">
        <v>1263</v>
      </c>
      <c r="E36" s="338" t="s">
        <v>128</v>
      </c>
      <c r="F36" s="337">
        <v>45182.0</v>
      </c>
      <c r="G36" s="334" t="s">
        <v>42</v>
      </c>
      <c r="H36" s="338"/>
      <c r="I36" s="334"/>
      <c r="J36" s="341" t="s">
        <v>1219</v>
      </c>
    </row>
    <row r="37" ht="58.5" customHeight="1">
      <c r="A37" s="338" t="s">
        <v>739</v>
      </c>
      <c r="B37" s="339">
        <v>45244.0</v>
      </c>
      <c r="C37" s="338" t="s">
        <v>1264</v>
      </c>
      <c r="D37" s="334" t="s">
        <v>740</v>
      </c>
      <c r="E37" s="338" t="s">
        <v>110</v>
      </c>
      <c r="F37" s="337">
        <v>45246.0</v>
      </c>
      <c r="G37" s="334" t="s">
        <v>42</v>
      </c>
      <c r="H37" s="338"/>
      <c r="I37" s="334" t="s">
        <v>741</v>
      </c>
      <c r="J37" s="340"/>
    </row>
    <row r="38" ht="58.5" customHeight="1">
      <c r="A38" s="332" t="s">
        <v>1015</v>
      </c>
      <c r="B38" s="333">
        <v>44781.0</v>
      </c>
      <c r="C38" s="332" t="s">
        <v>1238</v>
      </c>
      <c r="D38" s="330" t="s">
        <v>1265</v>
      </c>
      <c r="E38" s="332" t="s">
        <v>110</v>
      </c>
      <c r="F38" s="333">
        <v>45253.0</v>
      </c>
      <c r="G38" s="330" t="s">
        <v>42</v>
      </c>
      <c r="H38" s="332"/>
      <c r="I38" s="330" t="s">
        <v>1017</v>
      </c>
      <c r="J38" s="341" t="s">
        <v>1219</v>
      </c>
    </row>
    <row r="39" ht="58.5" customHeight="1">
      <c r="A39" s="338" t="s">
        <v>854</v>
      </c>
      <c r="B39" s="339">
        <v>45084.0</v>
      </c>
      <c r="C39" s="334" t="s">
        <v>133</v>
      </c>
      <c r="D39" s="334" t="s">
        <v>855</v>
      </c>
      <c r="E39" s="338" t="s">
        <v>497</v>
      </c>
      <c r="F39" s="337">
        <v>45126.0</v>
      </c>
      <c r="G39" s="334" t="s">
        <v>42</v>
      </c>
      <c r="H39" s="338"/>
      <c r="I39" s="334" t="s">
        <v>856</v>
      </c>
      <c r="J39" s="341" t="s">
        <v>1219</v>
      </c>
    </row>
    <row r="40" ht="58.5" customHeight="1">
      <c r="A40" s="338" t="s">
        <v>898</v>
      </c>
      <c r="B40" s="339">
        <v>45030.0</v>
      </c>
      <c r="C40" s="334" t="s">
        <v>133</v>
      </c>
      <c r="D40" s="334" t="s">
        <v>899</v>
      </c>
      <c r="E40" s="338" t="s">
        <v>497</v>
      </c>
      <c r="F40" s="337">
        <v>45126.0</v>
      </c>
      <c r="G40" s="334" t="s">
        <v>42</v>
      </c>
      <c r="H40" s="338"/>
      <c r="I40" s="334" t="s">
        <v>900</v>
      </c>
      <c r="J40" s="341" t="s">
        <v>1221</v>
      </c>
    </row>
    <row r="41" ht="58.5" customHeight="1">
      <c r="A41" s="338" t="s">
        <v>815</v>
      </c>
      <c r="B41" s="339">
        <v>45106.0</v>
      </c>
      <c r="C41" s="334" t="s">
        <v>726</v>
      </c>
      <c r="D41" s="334" t="s">
        <v>816</v>
      </c>
      <c r="E41" s="338" t="s">
        <v>152</v>
      </c>
      <c r="F41" s="337">
        <v>45124.0</v>
      </c>
      <c r="G41" s="334" t="s">
        <v>1266</v>
      </c>
      <c r="H41" s="338"/>
      <c r="I41" s="334" t="s">
        <v>817</v>
      </c>
      <c r="J41" s="341" t="s">
        <v>1221</v>
      </c>
    </row>
    <row r="42" ht="58.5" customHeight="1">
      <c r="A42" s="338" t="s">
        <v>837</v>
      </c>
      <c r="B42" s="339">
        <v>45112.0</v>
      </c>
      <c r="C42" s="334" t="s">
        <v>561</v>
      </c>
      <c r="D42" s="334" t="s">
        <v>802</v>
      </c>
      <c r="E42" s="338"/>
      <c r="F42" s="337"/>
      <c r="G42" s="334" t="s">
        <v>42</v>
      </c>
      <c r="H42" s="338"/>
      <c r="I42" s="334" t="s">
        <v>838</v>
      </c>
      <c r="J42" s="343"/>
    </row>
    <row r="43" ht="15.75" customHeight="1">
      <c r="A43" s="330" t="s">
        <v>1127</v>
      </c>
      <c r="B43" s="344">
        <v>44652.0</v>
      </c>
      <c r="C43" s="330" t="s">
        <v>213</v>
      </c>
      <c r="D43" s="330" t="s">
        <v>1128</v>
      </c>
      <c r="E43" s="332" t="s">
        <v>152</v>
      </c>
      <c r="F43" s="345">
        <v>44873.0</v>
      </c>
      <c r="G43" s="330" t="s">
        <v>42</v>
      </c>
      <c r="H43" s="330"/>
      <c r="I43" s="330" t="s">
        <v>1129</v>
      </c>
      <c r="J43" s="341" t="s">
        <v>1221</v>
      </c>
    </row>
    <row r="44" ht="58.5" customHeight="1">
      <c r="A44" s="338" t="s">
        <v>908</v>
      </c>
      <c r="B44" s="339">
        <v>45006.0</v>
      </c>
      <c r="C44" s="338" t="s">
        <v>1267</v>
      </c>
      <c r="D44" s="334" t="s">
        <v>909</v>
      </c>
      <c r="E44" s="338" t="s">
        <v>128</v>
      </c>
      <c r="F44" s="337">
        <v>45015.0</v>
      </c>
      <c r="G44" s="334" t="s">
        <v>42</v>
      </c>
      <c r="H44" s="338"/>
      <c r="I44" s="334" t="s">
        <v>910</v>
      </c>
      <c r="J44" s="341" t="s">
        <v>1221</v>
      </c>
    </row>
    <row r="45" ht="58.5" customHeight="1">
      <c r="A45" s="338" t="s">
        <v>834</v>
      </c>
      <c r="B45" s="339">
        <v>45134.0</v>
      </c>
      <c r="C45" s="334" t="s">
        <v>309</v>
      </c>
      <c r="D45" s="334" t="s">
        <v>835</v>
      </c>
      <c r="E45" s="338" t="s">
        <v>497</v>
      </c>
      <c r="F45" s="337">
        <v>45109.0</v>
      </c>
      <c r="G45" s="334" t="s">
        <v>42</v>
      </c>
      <c r="H45" s="338"/>
      <c r="I45" s="200" t="s">
        <v>836</v>
      </c>
      <c r="J45" s="341" t="s">
        <v>1221</v>
      </c>
    </row>
    <row r="46" ht="15.75" customHeight="1">
      <c r="A46" s="330" t="s">
        <v>1202</v>
      </c>
      <c r="B46" s="344">
        <v>43585.0</v>
      </c>
      <c r="C46" s="330" t="s">
        <v>1203</v>
      </c>
      <c r="D46" s="330" t="s">
        <v>1204</v>
      </c>
      <c r="E46" s="330" t="s">
        <v>41</v>
      </c>
      <c r="F46" s="344"/>
      <c r="G46" s="330"/>
      <c r="H46" s="330"/>
      <c r="I46" s="330" t="s">
        <v>1268</v>
      </c>
      <c r="J46" s="343"/>
    </row>
    <row r="47" ht="58.5" customHeight="1">
      <c r="A47" s="338" t="s">
        <v>879</v>
      </c>
      <c r="B47" s="339">
        <v>45064.0</v>
      </c>
      <c r="C47" s="334" t="s">
        <v>1269</v>
      </c>
      <c r="D47" s="334" t="s">
        <v>1270</v>
      </c>
      <c r="E47" s="338" t="s">
        <v>497</v>
      </c>
      <c r="F47" s="337">
        <v>45089.0</v>
      </c>
      <c r="G47" s="334" t="s">
        <v>42</v>
      </c>
      <c r="H47" s="338"/>
      <c r="I47" s="334" t="s">
        <v>881</v>
      </c>
      <c r="J47" s="341" t="s">
        <v>1221</v>
      </c>
    </row>
    <row r="48" ht="58.5" customHeight="1">
      <c r="A48" s="338" t="s">
        <v>842</v>
      </c>
      <c r="B48" s="339">
        <v>45093.0</v>
      </c>
      <c r="C48" s="334" t="s">
        <v>1271</v>
      </c>
      <c r="D48" s="334" t="s">
        <v>843</v>
      </c>
      <c r="E48" s="338" t="s">
        <v>128</v>
      </c>
      <c r="F48" s="337">
        <v>45110.0</v>
      </c>
      <c r="G48" s="334" t="s">
        <v>42</v>
      </c>
      <c r="H48" s="338"/>
      <c r="I48" s="334" t="s">
        <v>844</v>
      </c>
      <c r="J48" s="341" t="s">
        <v>1221</v>
      </c>
    </row>
    <row r="49" ht="15.75" customHeight="1">
      <c r="A49" s="346" t="s">
        <v>1184</v>
      </c>
      <c r="B49" s="347">
        <v>44453.0</v>
      </c>
      <c r="C49" s="346" t="s">
        <v>1272</v>
      </c>
      <c r="D49" s="330" t="s">
        <v>1273</v>
      </c>
      <c r="E49" s="330" t="s">
        <v>41</v>
      </c>
      <c r="F49" s="348">
        <v>44453.0</v>
      </c>
      <c r="G49" s="349" t="s">
        <v>42</v>
      </c>
      <c r="H49" s="330"/>
      <c r="I49" s="350" t="s">
        <v>1186</v>
      </c>
      <c r="J49" s="351"/>
    </row>
    <row r="50" ht="58.5" customHeight="1">
      <c r="A50" s="338" t="s">
        <v>922</v>
      </c>
      <c r="B50" s="339">
        <v>44993.0</v>
      </c>
      <c r="C50" s="338" t="s">
        <v>1274</v>
      </c>
      <c r="D50" s="334" t="s">
        <v>1275</v>
      </c>
      <c r="E50" s="338" t="s">
        <v>41</v>
      </c>
      <c r="F50" s="337">
        <v>44993.0</v>
      </c>
      <c r="G50" s="334" t="s">
        <v>42</v>
      </c>
      <c r="H50" s="338"/>
      <c r="I50" s="334" t="s">
        <v>924</v>
      </c>
      <c r="J50" s="341" t="s">
        <v>1221</v>
      </c>
    </row>
    <row r="51" ht="58.5" customHeight="1">
      <c r="A51" s="338" t="s">
        <v>901</v>
      </c>
      <c r="B51" s="339">
        <v>45026.0</v>
      </c>
      <c r="C51" s="334" t="s">
        <v>903</v>
      </c>
      <c r="D51" s="334" t="s">
        <v>1276</v>
      </c>
      <c r="E51" s="338" t="s">
        <v>152</v>
      </c>
      <c r="F51" s="337">
        <v>6695742.0</v>
      </c>
      <c r="G51" s="334" t="s">
        <v>42</v>
      </c>
      <c r="H51" s="338"/>
      <c r="I51" s="334" t="s">
        <v>904</v>
      </c>
      <c r="J51" s="341" t="s">
        <v>1219</v>
      </c>
    </row>
    <row r="52" ht="58.5" customHeight="1">
      <c r="A52" s="338" t="s">
        <v>891</v>
      </c>
      <c r="B52" s="339">
        <v>45040.0</v>
      </c>
      <c r="C52" s="334" t="s">
        <v>1277</v>
      </c>
      <c r="D52" s="334" t="s">
        <v>893</v>
      </c>
      <c r="E52" s="338" t="s">
        <v>110</v>
      </c>
      <c r="F52" s="337">
        <v>45043.0</v>
      </c>
      <c r="G52" s="334" t="s">
        <v>42</v>
      </c>
      <c r="H52" s="338"/>
      <c r="I52" s="334" t="s">
        <v>894</v>
      </c>
      <c r="J52" s="341" t="s">
        <v>1221</v>
      </c>
    </row>
    <row r="53" ht="58.5" customHeight="1">
      <c r="A53" s="338" t="s">
        <v>935</v>
      </c>
      <c r="B53" s="339">
        <v>44985.0</v>
      </c>
      <c r="C53" s="338" t="s">
        <v>291</v>
      </c>
      <c r="D53" s="334" t="s">
        <v>1278</v>
      </c>
      <c r="E53" s="338" t="s">
        <v>497</v>
      </c>
      <c r="F53" s="337">
        <v>45043.0</v>
      </c>
      <c r="G53" s="334" t="s">
        <v>42</v>
      </c>
      <c r="H53" s="338"/>
      <c r="I53" s="334" t="s">
        <v>938</v>
      </c>
      <c r="J53" s="343"/>
    </row>
    <row r="54" ht="58.5" customHeight="1">
      <c r="A54" s="332" t="s">
        <v>963</v>
      </c>
      <c r="B54" s="333">
        <v>44946.0</v>
      </c>
      <c r="C54" s="332" t="s">
        <v>291</v>
      </c>
      <c r="D54" s="330" t="s">
        <v>1279</v>
      </c>
      <c r="E54" s="332" t="s">
        <v>497</v>
      </c>
      <c r="F54" s="345">
        <v>45043.0</v>
      </c>
      <c r="G54" s="330" t="s">
        <v>42</v>
      </c>
      <c r="H54" s="332"/>
      <c r="I54" s="334" t="s">
        <v>1280</v>
      </c>
      <c r="J54" s="341" t="s">
        <v>1221</v>
      </c>
    </row>
    <row r="55" ht="34.5" customHeight="1">
      <c r="A55" s="332" t="s">
        <v>1089</v>
      </c>
      <c r="B55" s="345">
        <v>44700.0</v>
      </c>
      <c r="C55" s="332" t="s">
        <v>1281</v>
      </c>
      <c r="D55" s="330" t="s">
        <v>1090</v>
      </c>
      <c r="E55" s="332" t="s">
        <v>152</v>
      </c>
      <c r="F55" s="345">
        <v>44722.0</v>
      </c>
      <c r="G55" s="332" t="s">
        <v>42</v>
      </c>
      <c r="H55" s="332"/>
      <c r="I55" s="330" t="s">
        <v>1091</v>
      </c>
      <c r="J55" s="341" t="s">
        <v>1221</v>
      </c>
    </row>
    <row r="56" ht="15.75" customHeight="1">
      <c r="A56" s="330" t="s">
        <v>1133</v>
      </c>
      <c r="B56" s="344">
        <v>44651.0</v>
      </c>
      <c r="C56" s="330" t="s">
        <v>1267</v>
      </c>
      <c r="D56" s="330" t="s">
        <v>1134</v>
      </c>
      <c r="E56" s="330" t="s">
        <v>128</v>
      </c>
      <c r="F56" s="344">
        <v>44684.0</v>
      </c>
      <c r="G56" s="330" t="s">
        <v>42</v>
      </c>
      <c r="H56" s="330"/>
      <c r="I56" s="330" t="s">
        <v>1135</v>
      </c>
      <c r="J56" s="341" t="s">
        <v>1221</v>
      </c>
    </row>
    <row r="57" ht="45.0" customHeight="1">
      <c r="A57" s="332" t="s">
        <v>1094</v>
      </c>
      <c r="B57" s="352">
        <v>44697.0</v>
      </c>
      <c r="C57" s="332" t="s">
        <v>161</v>
      </c>
      <c r="D57" s="197" t="s">
        <v>880</v>
      </c>
      <c r="E57" s="332" t="s">
        <v>152</v>
      </c>
      <c r="F57" s="345">
        <v>44697.0</v>
      </c>
      <c r="G57" s="196" t="s">
        <v>42</v>
      </c>
      <c r="H57" s="332"/>
      <c r="I57" s="330" t="s">
        <v>1095</v>
      </c>
      <c r="J57" s="341" t="s">
        <v>1221</v>
      </c>
    </row>
    <row r="58" ht="58.5" customHeight="1">
      <c r="A58" s="338" t="s">
        <v>885</v>
      </c>
      <c r="B58" s="339">
        <v>45049.0</v>
      </c>
      <c r="C58" s="334" t="s">
        <v>1143</v>
      </c>
      <c r="D58" s="334" t="s">
        <v>843</v>
      </c>
      <c r="E58" s="338" t="s">
        <v>152</v>
      </c>
      <c r="F58" s="337">
        <v>45055.0</v>
      </c>
      <c r="G58" s="334" t="s">
        <v>42</v>
      </c>
      <c r="H58" s="338"/>
      <c r="I58" s="334" t="s">
        <v>886</v>
      </c>
      <c r="J58" s="341" t="s">
        <v>1221</v>
      </c>
    </row>
    <row r="59" ht="58.5" customHeight="1">
      <c r="A59" s="338" t="s">
        <v>946</v>
      </c>
      <c r="B59" s="339">
        <v>44957.0</v>
      </c>
      <c r="C59" s="338" t="s">
        <v>1282</v>
      </c>
      <c r="D59" s="334" t="s">
        <v>947</v>
      </c>
      <c r="E59" s="338" t="s">
        <v>110</v>
      </c>
      <c r="F59" s="337">
        <v>44967.0</v>
      </c>
      <c r="G59" s="334" t="s">
        <v>42</v>
      </c>
      <c r="H59" s="338"/>
      <c r="I59" s="334" t="s">
        <v>1283</v>
      </c>
      <c r="J59" s="341" t="s">
        <v>1219</v>
      </c>
    </row>
    <row r="60" ht="58.5" customHeight="1">
      <c r="A60" s="338" t="s">
        <v>911</v>
      </c>
      <c r="B60" s="339">
        <v>44999.0</v>
      </c>
      <c r="C60" s="338" t="s">
        <v>1284</v>
      </c>
      <c r="D60" s="334" t="s">
        <v>912</v>
      </c>
      <c r="E60" s="338" t="s">
        <v>1285</v>
      </c>
      <c r="F60" s="337">
        <v>44999.0</v>
      </c>
      <c r="G60" s="334" t="s">
        <v>42</v>
      </c>
      <c r="H60" s="338"/>
      <c r="I60" s="334" t="s">
        <v>913</v>
      </c>
      <c r="J60" s="341" t="s">
        <v>1221</v>
      </c>
    </row>
    <row r="61" ht="58.5" customHeight="1">
      <c r="A61" s="338" t="s">
        <v>914</v>
      </c>
      <c r="B61" s="339">
        <v>44999.0</v>
      </c>
      <c r="C61" s="338" t="s">
        <v>915</v>
      </c>
      <c r="D61" s="334" t="s">
        <v>916</v>
      </c>
      <c r="E61" s="338" t="s">
        <v>497</v>
      </c>
      <c r="F61" s="337">
        <v>45012.0</v>
      </c>
      <c r="G61" s="334" t="s">
        <v>42</v>
      </c>
      <c r="H61" s="338"/>
      <c r="I61" s="334" t="s">
        <v>917</v>
      </c>
      <c r="J61" s="341" t="s">
        <v>1219</v>
      </c>
    </row>
    <row r="62" ht="58.5" customHeight="1">
      <c r="A62" s="338" t="s">
        <v>929</v>
      </c>
      <c r="B62" s="339">
        <v>44991.0</v>
      </c>
      <c r="C62" s="338" t="s">
        <v>1286</v>
      </c>
      <c r="D62" s="334" t="s">
        <v>930</v>
      </c>
      <c r="E62" s="338" t="s">
        <v>128</v>
      </c>
      <c r="F62" s="337">
        <v>44991.0</v>
      </c>
      <c r="G62" s="334" t="s">
        <v>42</v>
      </c>
      <c r="H62" s="338"/>
      <c r="I62" s="334" t="s">
        <v>931</v>
      </c>
      <c r="J62" s="341" t="s">
        <v>1219</v>
      </c>
    </row>
    <row r="63" ht="58.5" customHeight="1">
      <c r="A63" s="338" t="s">
        <v>1065</v>
      </c>
      <c r="B63" s="339">
        <v>44763.0</v>
      </c>
      <c r="C63" s="338" t="s">
        <v>195</v>
      </c>
      <c r="D63" s="200" t="s">
        <v>1066</v>
      </c>
      <c r="E63" s="338" t="s">
        <v>152</v>
      </c>
      <c r="F63" s="345">
        <v>44771.0</v>
      </c>
      <c r="G63" s="334" t="s">
        <v>42</v>
      </c>
      <c r="H63" s="338"/>
      <c r="I63" s="334" t="s">
        <v>1067</v>
      </c>
      <c r="J63" s="341" t="s">
        <v>1219</v>
      </c>
    </row>
    <row r="64" ht="58.5" customHeight="1">
      <c r="A64" s="338" t="s">
        <v>942</v>
      </c>
      <c r="B64" s="339">
        <v>44960.0</v>
      </c>
      <c r="C64" s="338" t="s">
        <v>943</v>
      </c>
      <c r="D64" s="334" t="s">
        <v>944</v>
      </c>
      <c r="E64" s="338" t="s">
        <v>75</v>
      </c>
      <c r="F64" s="337">
        <v>44960.0</v>
      </c>
      <c r="G64" s="334" t="s">
        <v>42</v>
      </c>
      <c r="H64" s="338"/>
      <c r="I64" s="334" t="s">
        <v>945</v>
      </c>
      <c r="J64" s="341" t="s">
        <v>1221</v>
      </c>
    </row>
    <row r="65" ht="58.5" customHeight="1">
      <c r="A65" s="338" t="s">
        <v>973</v>
      </c>
      <c r="B65" s="339">
        <v>44914.0</v>
      </c>
      <c r="C65" s="338" t="s">
        <v>1287</v>
      </c>
      <c r="D65" s="334" t="s">
        <v>975</v>
      </c>
      <c r="E65" s="338" t="s">
        <v>41</v>
      </c>
      <c r="F65" s="337">
        <v>44939.0</v>
      </c>
      <c r="G65" s="334" t="s">
        <v>42</v>
      </c>
      <c r="H65" s="338"/>
      <c r="I65" s="334" t="s">
        <v>976</v>
      </c>
      <c r="J65" s="341" t="s">
        <v>1221</v>
      </c>
    </row>
    <row r="66" ht="58.5" customHeight="1">
      <c r="A66" s="338" t="s">
        <v>965</v>
      </c>
      <c r="B66" s="339">
        <v>44937.0</v>
      </c>
      <c r="C66" s="338" t="s">
        <v>161</v>
      </c>
      <c r="D66" s="334" t="s">
        <v>966</v>
      </c>
      <c r="E66" s="338" t="s">
        <v>128</v>
      </c>
      <c r="F66" s="337">
        <v>44939.0</v>
      </c>
      <c r="G66" s="334" t="s">
        <v>42</v>
      </c>
      <c r="H66" s="338"/>
      <c r="I66" s="334" t="s">
        <v>1288</v>
      </c>
      <c r="J66" s="341" t="s">
        <v>1219</v>
      </c>
    </row>
    <row r="67" ht="58.5" customHeight="1">
      <c r="A67" s="338" t="s">
        <v>968</v>
      </c>
      <c r="B67" s="339">
        <v>44935.0</v>
      </c>
      <c r="C67" s="338" t="s">
        <v>427</v>
      </c>
      <c r="D67" s="334" t="s">
        <v>969</v>
      </c>
      <c r="E67" s="338" t="s">
        <v>128</v>
      </c>
      <c r="F67" s="337">
        <v>44936.0</v>
      </c>
      <c r="G67" s="334" t="s">
        <v>42</v>
      </c>
      <c r="H67" s="338"/>
      <c r="I67" s="334" t="s">
        <v>1289</v>
      </c>
      <c r="J67" s="341" t="s">
        <v>1219</v>
      </c>
    </row>
    <row r="68" ht="58.5" customHeight="1">
      <c r="A68" s="338" t="s">
        <v>980</v>
      </c>
      <c r="B68" s="339">
        <v>44903.0</v>
      </c>
      <c r="C68" s="338" t="s">
        <v>1290</v>
      </c>
      <c r="D68" s="334" t="s">
        <v>982</v>
      </c>
      <c r="E68" s="338" t="s">
        <v>110</v>
      </c>
      <c r="F68" s="337">
        <v>44903.0</v>
      </c>
      <c r="G68" s="334" t="s">
        <v>42</v>
      </c>
      <c r="H68" s="338"/>
      <c r="I68" s="334" t="s">
        <v>983</v>
      </c>
      <c r="J68" s="341" t="s">
        <v>1219</v>
      </c>
    </row>
    <row r="69" ht="19.5" customHeight="1">
      <c r="A69" s="332" t="s">
        <v>988</v>
      </c>
      <c r="B69" s="333">
        <v>44901.0</v>
      </c>
      <c r="C69" s="332" t="s">
        <v>1291</v>
      </c>
      <c r="D69" s="330" t="s">
        <v>989</v>
      </c>
      <c r="E69" s="332" t="s">
        <v>128</v>
      </c>
      <c r="F69" s="345">
        <v>44939.0</v>
      </c>
      <c r="G69" s="330" t="s">
        <v>42</v>
      </c>
      <c r="H69" s="332"/>
      <c r="I69" s="332"/>
      <c r="J69" s="341" t="s">
        <v>1221</v>
      </c>
    </row>
    <row r="70" ht="15.75" customHeight="1">
      <c r="B70" s="309"/>
      <c r="D70" s="298"/>
      <c r="E70" s="299"/>
      <c r="F70" s="353"/>
      <c r="G70" s="299"/>
      <c r="H70" s="299"/>
      <c r="I70" s="354"/>
      <c r="J70" s="354"/>
    </row>
    <row r="71" ht="15.75" customHeight="1">
      <c r="B71" s="309"/>
      <c r="D71" s="298"/>
      <c r="E71" s="299"/>
      <c r="F71" s="353"/>
      <c r="G71" s="299"/>
      <c r="H71" s="299"/>
      <c r="I71" s="354"/>
      <c r="J71" s="354"/>
    </row>
    <row r="72" ht="15.75" customHeight="1">
      <c r="B72" s="309"/>
      <c r="D72" s="298"/>
      <c r="E72" s="299"/>
      <c r="F72" s="353"/>
      <c r="G72" s="299"/>
      <c r="H72" s="299"/>
      <c r="I72" s="354"/>
      <c r="J72" s="354"/>
    </row>
    <row r="73" ht="15.75" customHeight="1">
      <c r="B73" s="309"/>
      <c r="D73" s="298"/>
      <c r="E73" s="299"/>
      <c r="F73" s="353"/>
      <c r="G73" s="299"/>
      <c r="H73" s="299"/>
      <c r="I73" s="354"/>
      <c r="J73" s="354"/>
    </row>
    <row r="74" ht="15.75" customHeight="1">
      <c r="B74" s="309"/>
      <c r="D74" s="298"/>
      <c r="E74" s="299"/>
      <c r="F74" s="353"/>
      <c r="G74" s="299"/>
      <c r="H74" s="299"/>
      <c r="I74" s="354"/>
      <c r="J74" s="354"/>
    </row>
    <row r="75" ht="15.75" customHeight="1">
      <c r="B75" s="309"/>
      <c r="D75" s="298"/>
      <c r="E75" s="299"/>
      <c r="F75" s="353"/>
      <c r="G75" s="299"/>
      <c r="H75" s="299"/>
      <c r="I75" s="354"/>
      <c r="J75" s="354"/>
    </row>
    <row r="76" ht="15.75" customHeight="1">
      <c r="B76" s="309"/>
      <c r="D76" s="298"/>
      <c r="E76" s="299"/>
      <c r="F76" s="353"/>
      <c r="G76" s="299"/>
      <c r="H76" s="299"/>
      <c r="I76" s="354"/>
      <c r="J76" s="354"/>
    </row>
    <row r="77" ht="15.75" customHeight="1">
      <c r="B77" s="309"/>
      <c r="D77" s="298"/>
      <c r="E77" s="299"/>
      <c r="F77" s="353"/>
      <c r="G77" s="299"/>
      <c r="H77" s="299"/>
      <c r="I77" s="354"/>
      <c r="J77" s="354"/>
    </row>
    <row r="78" ht="15.75" customHeight="1">
      <c r="B78" s="309"/>
      <c r="D78" s="298"/>
      <c r="E78" s="299"/>
      <c r="F78" s="353"/>
      <c r="G78" s="299"/>
      <c r="H78" s="299"/>
      <c r="I78" s="354"/>
      <c r="J78" s="354"/>
    </row>
    <row r="79" ht="15.75" customHeight="1">
      <c r="B79" s="309"/>
      <c r="D79" s="298"/>
      <c r="E79" s="299"/>
      <c r="F79" s="353"/>
      <c r="G79" s="299"/>
      <c r="H79" s="299"/>
      <c r="I79" s="354"/>
      <c r="J79" s="354"/>
    </row>
    <row r="80" ht="15.75" customHeight="1">
      <c r="B80" s="309"/>
      <c r="D80" s="298"/>
      <c r="E80" s="299"/>
      <c r="F80" s="353"/>
      <c r="G80" s="299"/>
      <c r="H80" s="299"/>
      <c r="I80" s="354"/>
      <c r="J80" s="354"/>
    </row>
    <row r="81" ht="15.75" customHeight="1">
      <c r="B81" s="309"/>
      <c r="D81" s="298"/>
      <c r="E81" s="299"/>
      <c r="F81" s="353"/>
      <c r="G81" s="299"/>
      <c r="H81" s="299"/>
      <c r="I81" s="354"/>
      <c r="J81" s="354"/>
    </row>
    <row r="82" ht="15.75" customHeight="1">
      <c r="B82" s="309"/>
      <c r="D82" s="298"/>
      <c r="E82" s="299"/>
      <c r="F82" s="353"/>
      <c r="G82" s="299"/>
      <c r="H82" s="299"/>
      <c r="I82" s="354"/>
      <c r="J82" s="354"/>
    </row>
    <row r="83" ht="15.75" customHeight="1">
      <c r="B83" s="309"/>
      <c r="D83" s="298"/>
      <c r="E83" s="299"/>
      <c r="F83" s="353"/>
      <c r="G83" s="299"/>
      <c r="H83" s="299"/>
      <c r="I83" s="354"/>
      <c r="J83" s="354"/>
    </row>
    <row r="84" ht="15.75" customHeight="1">
      <c r="B84" s="309"/>
      <c r="D84" s="298"/>
      <c r="E84" s="299"/>
      <c r="F84" s="353"/>
      <c r="G84" s="299"/>
      <c r="H84" s="299"/>
      <c r="I84" s="354"/>
      <c r="J84" s="354"/>
    </row>
    <row r="85" ht="15.75" customHeight="1">
      <c r="B85" s="309"/>
      <c r="D85" s="298"/>
      <c r="E85" s="299"/>
      <c r="F85" s="353"/>
      <c r="G85" s="299"/>
      <c r="H85" s="299"/>
      <c r="I85" s="354"/>
      <c r="J85" s="354"/>
    </row>
    <row r="86" ht="15.75" customHeight="1">
      <c r="B86" s="309"/>
      <c r="D86" s="298"/>
      <c r="E86" s="299"/>
      <c r="F86" s="353"/>
      <c r="G86" s="299"/>
      <c r="H86" s="299"/>
      <c r="I86" s="354"/>
      <c r="J86" s="354"/>
    </row>
    <row r="87" ht="15.75" customHeight="1">
      <c r="B87" s="309"/>
      <c r="D87" s="298"/>
      <c r="E87" s="299"/>
      <c r="F87" s="353"/>
      <c r="G87" s="299"/>
      <c r="H87" s="299"/>
      <c r="I87" s="354"/>
      <c r="J87" s="354"/>
    </row>
    <row r="88" ht="15.75" customHeight="1">
      <c r="B88" s="309"/>
      <c r="D88" s="298"/>
      <c r="E88" s="299"/>
      <c r="F88" s="353"/>
      <c r="G88" s="299"/>
      <c r="H88" s="299"/>
      <c r="I88" s="354"/>
      <c r="J88" s="354"/>
    </row>
    <row r="89" ht="15.75" customHeight="1">
      <c r="B89" s="309"/>
      <c r="D89" s="298"/>
      <c r="E89" s="299"/>
      <c r="F89" s="353"/>
      <c r="G89" s="299"/>
      <c r="H89" s="299"/>
      <c r="I89" s="354"/>
      <c r="J89" s="354"/>
    </row>
    <row r="90" ht="15.75" customHeight="1">
      <c r="B90" s="309"/>
      <c r="D90" s="298"/>
      <c r="E90" s="299"/>
      <c r="F90" s="353"/>
      <c r="G90" s="299"/>
      <c r="H90" s="299"/>
      <c r="I90" s="354"/>
      <c r="J90" s="354"/>
    </row>
    <row r="91" ht="15.75" customHeight="1">
      <c r="B91" s="309"/>
      <c r="D91" s="298"/>
      <c r="E91" s="299"/>
      <c r="F91" s="353"/>
      <c r="G91" s="299"/>
      <c r="H91" s="299"/>
      <c r="I91" s="354"/>
      <c r="J91" s="354"/>
    </row>
    <row r="92" ht="15.75" customHeight="1">
      <c r="B92" s="309"/>
      <c r="D92" s="298"/>
      <c r="E92" s="299"/>
      <c r="F92" s="353"/>
      <c r="G92" s="299"/>
      <c r="H92" s="299"/>
      <c r="I92" s="354"/>
      <c r="J92" s="354"/>
    </row>
    <row r="93" ht="15.75" customHeight="1">
      <c r="B93" s="309"/>
      <c r="D93" s="298"/>
      <c r="E93" s="299"/>
      <c r="F93" s="353"/>
      <c r="G93" s="299"/>
      <c r="H93" s="299"/>
      <c r="I93" s="354"/>
      <c r="J93" s="354"/>
    </row>
    <row r="94" ht="15.75" customHeight="1">
      <c r="B94" s="309"/>
      <c r="D94" s="298"/>
      <c r="E94" s="299"/>
      <c r="F94" s="353"/>
      <c r="G94" s="299"/>
      <c r="H94" s="299"/>
      <c r="I94" s="354"/>
      <c r="J94" s="354"/>
    </row>
    <row r="95" ht="15.75" customHeight="1">
      <c r="B95" s="309"/>
      <c r="D95" s="298"/>
      <c r="E95" s="299"/>
      <c r="F95" s="353"/>
      <c r="G95" s="299"/>
      <c r="H95" s="299"/>
      <c r="I95" s="354"/>
      <c r="J95" s="354"/>
    </row>
    <row r="96" ht="15.75" customHeight="1">
      <c r="B96" s="309"/>
      <c r="D96" s="298"/>
      <c r="E96" s="299"/>
      <c r="F96" s="353"/>
      <c r="G96" s="299"/>
      <c r="H96" s="299"/>
      <c r="I96" s="354"/>
      <c r="J96" s="354"/>
    </row>
    <row r="97" ht="15.75" customHeight="1">
      <c r="B97" s="309"/>
      <c r="D97" s="298"/>
      <c r="E97" s="299"/>
      <c r="F97" s="353"/>
      <c r="G97" s="299"/>
      <c r="H97" s="299"/>
      <c r="I97" s="354"/>
      <c r="J97" s="354"/>
    </row>
    <row r="98" ht="15.75" customHeight="1">
      <c r="B98" s="309"/>
      <c r="D98" s="298"/>
      <c r="E98" s="299"/>
      <c r="F98" s="353"/>
      <c r="G98" s="299"/>
      <c r="H98" s="299"/>
      <c r="I98" s="354"/>
      <c r="J98" s="354"/>
    </row>
    <row r="99" ht="15.75" customHeight="1">
      <c r="B99" s="309"/>
      <c r="D99" s="298"/>
      <c r="E99" s="299"/>
      <c r="F99" s="353"/>
      <c r="G99" s="299"/>
      <c r="H99" s="299"/>
      <c r="I99" s="354"/>
      <c r="J99" s="354"/>
    </row>
    <row r="100" ht="15.75" customHeight="1">
      <c r="B100" s="309"/>
      <c r="D100" s="298"/>
      <c r="E100" s="299"/>
      <c r="F100" s="353"/>
      <c r="G100" s="299"/>
      <c r="H100" s="299"/>
      <c r="I100" s="354"/>
      <c r="J100" s="354"/>
    </row>
    <row r="101" ht="15.75" customHeight="1">
      <c r="B101" s="309"/>
      <c r="D101" s="298"/>
      <c r="E101" s="299"/>
      <c r="F101" s="353"/>
      <c r="G101" s="299"/>
      <c r="H101" s="299"/>
      <c r="I101" s="354"/>
      <c r="J101" s="354"/>
    </row>
    <row r="102" ht="15.75" customHeight="1">
      <c r="B102" s="309"/>
      <c r="D102" s="298"/>
      <c r="E102" s="299"/>
      <c r="F102" s="353"/>
      <c r="G102" s="299"/>
      <c r="H102" s="299"/>
      <c r="I102" s="354"/>
      <c r="J102" s="354"/>
    </row>
    <row r="103" ht="15.75" customHeight="1">
      <c r="B103" s="309"/>
      <c r="D103" s="298"/>
      <c r="E103" s="299"/>
      <c r="F103" s="353"/>
      <c r="G103" s="299"/>
      <c r="H103" s="299"/>
      <c r="I103" s="354"/>
      <c r="J103" s="354"/>
    </row>
    <row r="104" ht="15.75" customHeight="1">
      <c r="B104" s="309"/>
      <c r="D104" s="298"/>
      <c r="E104" s="299"/>
      <c r="F104" s="353"/>
      <c r="G104" s="299"/>
      <c r="H104" s="299"/>
      <c r="I104" s="354"/>
      <c r="J104" s="354"/>
    </row>
    <row r="105" ht="15.75" customHeight="1">
      <c r="B105" s="309"/>
      <c r="D105" s="298"/>
      <c r="E105" s="299"/>
      <c r="F105" s="353"/>
      <c r="G105" s="299"/>
      <c r="H105" s="299"/>
      <c r="I105" s="354"/>
      <c r="J105" s="354"/>
    </row>
    <row r="106" ht="15.75" customHeight="1">
      <c r="B106" s="309"/>
      <c r="D106" s="298"/>
      <c r="E106" s="299"/>
      <c r="F106" s="353"/>
      <c r="G106" s="299"/>
      <c r="H106" s="299"/>
      <c r="I106" s="354"/>
      <c r="J106" s="354"/>
    </row>
    <row r="107" ht="15.75" customHeight="1">
      <c r="B107" s="309"/>
      <c r="D107" s="298"/>
      <c r="E107" s="299"/>
      <c r="F107" s="353"/>
      <c r="G107" s="299"/>
      <c r="H107" s="299"/>
      <c r="I107" s="354"/>
      <c r="J107" s="354"/>
    </row>
    <row r="108" ht="15.75" customHeight="1">
      <c r="B108" s="309"/>
      <c r="D108" s="298"/>
      <c r="E108" s="299"/>
      <c r="F108" s="353"/>
      <c r="G108" s="299"/>
      <c r="H108" s="299"/>
      <c r="I108" s="354"/>
      <c r="J108" s="354"/>
    </row>
    <row r="109" ht="15.75" customHeight="1">
      <c r="B109" s="309"/>
      <c r="D109" s="298"/>
      <c r="E109" s="299"/>
      <c r="F109" s="353"/>
      <c r="G109" s="299"/>
      <c r="H109" s="299"/>
      <c r="I109" s="354"/>
      <c r="J109" s="354"/>
    </row>
    <row r="110" ht="15.75" customHeight="1">
      <c r="B110" s="309"/>
      <c r="D110" s="298"/>
      <c r="E110" s="299"/>
      <c r="F110" s="353"/>
      <c r="G110" s="299"/>
      <c r="H110" s="299"/>
      <c r="I110" s="354"/>
      <c r="J110" s="354"/>
    </row>
    <row r="111" ht="15.75" customHeight="1">
      <c r="B111" s="309"/>
      <c r="D111" s="298"/>
      <c r="E111" s="299"/>
      <c r="F111" s="353"/>
      <c r="G111" s="299"/>
      <c r="H111" s="299"/>
      <c r="I111" s="354"/>
      <c r="J111" s="354"/>
    </row>
    <row r="112" ht="15.75" customHeight="1">
      <c r="B112" s="309"/>
      <c r="D112" s="298"/>
      <c r="E112" s="299"/>
      <c r="F112" s="353"/>
      <c r="G112" s="299"/>
      <c r="H112" s="299"/>
      <c r="I112" s="354"/>
      <c r="J112" s="354"/>
    </row>
    <row r="113" ht="15.75" customHeight="1">
      <c r="B113" s="309"/>
      <c r="D113" s="298"/>
      <c r="E113" s="299"/>
      <c r="F113" s="353"/>
      <c r="G113" s="299"/>
      <c r="H113" s="299"/>
      <c r="I113" s="354"/>
      <c r="J113" s="354"/>
    </row>
    <row r="114" ht="15.75" customHeight="1">
      <c r="B114" s="309"/>
      <c r="D114" s="298"/>
      <c r="E114" s="299"/>
      <c r="F114" s="353"/>
      <c r="G114" s="299"/>
      <c r="H114" s="299"/>
      <c r="I114" s="354"/>
      <c r="J114" s="354"/>
    </row>
    <row r="115" ht="15.75" customHeight="1">
      <c r="B115" s="309"/>
      <c r="D115" s="298"/>
      <c r="E115" s="299"/>
      <c r="F115" s="353"/>
      <c r="G115" s="299"/>
      <c r="H115" s="299"/>
      <c r="I115" s="354"/>
      <c r="J115" s="354"/>
    </row>
    <row r="116" ht="15.75" customHeight="1">
      <c r="B116" s="309"/>
      <c r="D116" s="298"/>
      <c r="E116" s="299"/>
      <c r="F116" s="353"/>
      <c r="G116" s="299"/>
      <c r="H116" s="299"/>
      <c r="I116" s="354"/>
      <c r="J116" s="354"/>
    </row>
    <row r="117" ht="15.75" customHeight="1">
      <c r="B117" s="309"/>
      <c r="D117" s="298"/>
      <c r="E117" s="299"/>
      <c r="F117" s="353"/>
      <c r="G117" s="299"/>
      <c r="H117" s="299"/>
      <c r="I117" s="354"/>
      <c r="J117" s="354"/>
    </row>
    <row r="118" ht="15.75" customHeight="1">
      <c r="B118" s="309"/>
      <c r="D118" s="298"/>
      <c r="E118" s="299"/>
      <c r="F118" s="353"/>
      <c r="G118" s="299"/>
      <c r="H118" s="299"/>
      <c r="I118" s="354"/>
      <c r="J118" s="354"/>
    </row>
    <row r="119" ht="15.75" customHeight="1">
      <c r="B119" s="309"/>
      <c r="D119" s="298"/>
      <c r="E119" s="299"/>
      <c r="F119" s="353"/>
      <c r="G119" s="299"/>
      <c r="H119" s="299"/>
      <c r="I119" s="354"/>
      <c r="J119" s="354"/>
    </row>
    <row r="120" ht="15.75" customHeight="1">
      <c r="B120" s="309"/>
      <c r="D120" s="298"/>
      <c r="E120" s="299"/>
      <c r="F120" s="353"/>
      <c r="G120" s="299"/>
      <c r="H120" s="299"/>
      <c r="I120" s="354"/>
      <c r="J120" s="354"/>
    </row>
    <row r="121" ht="15.75" customHeight="1">
      <c r="B121" s="309"/>
      <c r="D121" s="298"/>
      <c r="E121" s="299"/>
      <c r="F121" s="353"/>
      <c r="G121" s="299"/>
      <c r="H121" s="299"/>
      <c r="I121" s="354"/>
      <c r="J121" s="354"/>
    </row>
    <row r="122" ht="15.75" customHeight="1">
      <c r="B122" s="309"/>
      <c r="D122" s="298"/>
      <c r="E122" s="299"/>
      <c r="F122" s="353"/>
      <c r="G122" s="299"/>
      <c r="H122" s="299"/>
      <c r="I122" s="354"/>
      <c r="J122" s="354"/>
    </row>
    <row r="123" ht="15.75" customHeight="1">
      <c r="B123" s="309"/>
      <c r="D123" s="298"/>
      <c r="E123" s="299"/>
      <c r="F123" s="353"/>
      <c r="G123" s="299"/>
      <c r="H123" s="299"/>
      <c r="I123" s="354"/>
      <c r="J123" s="354"/>
    </row>
    <row r="124" ht="15.75" customHeight="1">
      <c r="B124" s="309"/>
      <c r="D124" s="298"/>
      <c r="E124" s="299"/>
      <c r="F124" s="353"/>
      <c r="G124" s="299"/>
      <c r="H124" s="299"/>
      <c r="I124" s="354"/>
      <c r="J124" s="354"/>
    </row>
    <row r="125" ht="15.75" customHeight="1">
      <c r="B125" s="309"/>
      <c r="D125" s="298"/>
      <c r="E125" s="299"/>
      <c r="F125" s="353"/>
      <c r="G125" s="299"/>
      <c r="H125" s="299"/>
      <c r="I125" s="354"/>
      <c r="J125" s="354"/>
    </row>
    <row r="126" ht="15.75" customHeight="1">
      <c r="B126" s="309"/>
      <c r="D126" s="298"/>
      <c r="E126" s="299"/>
      <c r="F126" s="353"/>
      <c r="G126" s="299"/>
      <c r="H126" s="299"/>
      <c r="I126" s="354"/>
      <c r="J126" s="354"/>
    </row>
    <row r="127" ht="15.75" customHeight="1">
      <c r="B127" s="309"/>
      <c r="D127" s="298"/>
      <c r="E127" s="299"/>
      <c r="F127" s="353"/>
      <c r="G127" s="299"/>
      <c r="H127" s="299"/>
      <c r="I127" s="354"/>
      <c r="J127" s="354"/>
    </row>
    <row r="128" ht="15.75" customHeight="1">
      <c r="B128" s="309"/>
      <c r="D128" s="298"/>
      <c r="E128" s="299"/>
      <c r="F128" s="353"/>
      <c r="G128" s="299"/>
      <c r="H128" s="299"/>
      <c r="I128" s="354"/>
      <c r="J128" s="354"/>
    </row>
    <row r="129" ht="15.75" customHeight="1">
      <c r="B129" s="309"/>
      <c r="D129" s="298"/>
      <c r="E129" s="299"/>
      <c r="F129" s="353"/>
      <c r="G129" s="299"/>
      <c r="H129" s="299"/>
      <c r="I129" s="354"/>
      <c r="J129" s="354"/>
    </row>
    <row r="130" ht="15.75" customHeight="1">
      <c r="B130" s="309"/>
      <c r="D130" s="298"/>
      <c r="E130" s="299"/>
      <c r="F130" s="353"/>
      <c r="G130" s="299"/>
      <c r="H130" s="299"/>
      <c r="I130" s="354"/>
      <c r="J130" s="354"/>
    </row>
    <row r="131" ht="15.75" customHeight="1">
      <c r="B131" s="309"/>
      <c r="D131" s="298"/>
      <c r="E131" s="299"/>
      <c r="F131" s="353"/>
      <c r="G131" s="299"/>
      <c r="H131" s="299"/>
      <c r="I131" s="354"/>
      <c r="J131" s="354"/>
    </row>
    <row r="132" ht="15.75" customHeight="1">
      <c r="B132" s="309"/>
      <c r="D132" s="298"/>
      <c r="E132" s="299"/>
      <c r="F132" s="353"/>
      <c r="G132" s="299"/>
      <c r="H132" s="299"/>
      <c r="I132" s="354"/>
      <c r="J132" s="354"/>
    </row>
    <row r="133" ht="15.75" customHeight="1">
      <c r="B133" s="309"/>
      <c r="D133" s="298"/>
      <c r="E133" s="299"/>
      <c r="F133" s="353"/>
      <c r="G133" s="299"/>
      <c r="H133" s="299"/>
      <c r="I133" s="354"/>
      <c r="J133" s="354"/>
    </row>
    <row r="134" ht="15.75" customHeight="1">
      <c r="B134" s="309"/>
      <c r="D134" s="298"/>
      <c r="E134" s="299"/>
      <c r="F134" s="353"/>
      <c r="G134" s="299"/>
      <c r="H134" s="299"/>
      <c r="I134" s="354"/>
      <c r="J134" s="354"/>
    </row>
    <row r="135" ht="15.75" customHeight="1">
      <c r="B135" s="309"/>
      <c r="D135" s="298"/>
      <c r="E135" s="299"/>
      <c r="F135" s="353"/>
      <c r="G135" s="299"/>
      <c r="H135" s="299"/>
      <c r="I135" s="354"/>
      <c r="J135" s="354"/>
    </row>
    <row r="136" ht="15.75" customHeight="1">
      <c r="B136" s="309"/>
      <c r="D136" s="298"/>
      <c r="E136" s="299"/>
      <c r="F136" s="353"/>
      <c r="G136" s="299"/>
      <c r="H136" s="299"/>
      <c r="I136" s="354"/>
      <c r="J136" s="354"/>
    </row>
    <row r="137" ht="15.75" customHeight="1">
      <c r="B137" s="309"/>
      <c r="D137" s="298"/>
      <c r="E137" s="299"/>
      <c r="F137" s="353"/>
      <c r="G137" s="299"/>
      <c r="H137" s="299"/>
      <c r="I137" s="354"/>
      <c r="J137" s="354"/>
    </row>
    <row r="138" ht="15.75" customHeight="1">
      <c r="B138" s="309"/>
      <c r="D138" s="298"/>
      <c r="E138" s="299"/>
      <c r="F138" s="353"/>
      <c r="G138" s="299"/>
      <c r="H138" s="299"/>
      <c r="I138" s="354"/>
      <c r="J138" s="354"/>
    </row>
    <row r="139" ht="15.75" customHeight="1">
      <c r="B139" s="309"/>
      <c r="D139" s="298"/>
      <c r="E139" s="299"/>
      <c r="F139" s="353"/>
      <c r="G139" s="299"/>
      <c r="H139" s="299"/>
      <c r="I139" s="354"/>
      <c r="J139" s="354"/>
    </row>
    <row r="140" ht="15.75" customHeight="1">
      <c r="B140" s="309"/>
      <c r="D140" s="298"/>
      <c r="E140" s="299"/>
      <c r="F140" s="353"/>
      <c r="G140" s="299"/>
      <c r="H140" s="299"/>
      <c r="I140" s="354"/>
      <c r="J140" s="354"/>
    </row>
    <row r="141" ht="15.75" customHeight="1">
      <c r="B141" s="309"/>
      <c r="D141" s="298"/>
      <c r="E141" s="299"/>
      <c r="F141" s="353"/>
      <c r="G141" s="299"/>
      <c r="H141" s="299"/>
      <c r="I141" s="354"/>
      <c r="J141" s="354"/>
    </row>
    <row r="142" ht="15.75" customHeight="1">
      <c r="B142" s="309"/>
      <c r="D142" s="298"/>
      <c r="E142" s="299"/>
      <c r="F142" s="353"/>
      <c r="G142" s="299"/>
      <c r="H142" s="299"/>
      <c r="I142" s="354"/>
      <c r="J142" s="354"/>
    </row>
    <row r="143" ht="15.75" customHeight="1">
      <c r="B143" s="309"/>
      <c r="D143" s="298"/>
      <c r="E143" s="299"/>
      <c r="F143" s="353"/>
      <c r="G143" s="299"/>
      <c r="H143" s="299"/>
      <c r="I143" s="354"/>
      <c r="J143" s="354"/>
    </row>
    <row r="144" ht="15.75" customHeight="1">
      <c r="B144" s="309"/>
      <c r="D144" s="298"/>
      <c r="E144" s="299"/>
      <c r="F144" s="353"/>
      <c r="G144" s="299"/>
      <c r="H144" s="299"/>
      <c r="I144" s="354"/>
      <c r="J144" s="354"/>
    </row>
    <row r="145" ht="15.75" customHeight="1">
      <c r="B145" s="309"/>
      <c r="D145" s="298"/>
      <c r="E145" s="299"/>
      <c r="F145" s="353"/>
      <c r="G145" s="299"/>
      <c r="H145" s="299"/>
      <c r="I145" s="354"/>
      <c r="J145" s="354"/>
    </row>
    <row r="146" ht="15.75" customHeight="1">
      <c r="B146" s="309"/>
      <c r="D146" s="298"/>
      <c r="E146" s="299"/>
      <c r="F146" s="353"/>
      <c r="G146" s="299"/>
      <c r="H146" s="299"/>
      <c r="I146" s="354"/>
      <c r="J146" s="354"/>
    </row>
    <row r="147" ht="15.75" customHeight="1">
      <c r="B147" s="309"/>
      <c r="D147" s="298"/>
      <c r="E147" s="299"/>
      <c r="F147" s="353"/>
      <c r="G147" s="299"/>
      <c r="H147" s="299"/>
      <c r="I147" s="354"/>
      <c r="J147" s="354"/>
    </row>
    <row r="148" ht="15.75" customHeight="1">
      <c r="B148" s="309"/>
      <c r="D148" s="298"/>
      <c r="E148" s="299"/>
      <c r="F148" s="353"/>
      <c r="G148" s="299"/>
      <c r="H148" s="299"/>
      <c r="I148" s="354"/>
      <c r="J148" s="354"/>
    </row>
    <row r="149" ht="15.75" customHeight="1">
      <c r="B149" s="309"/>
      <c r="D149" s="298"/>
      <c r="E149" s="299"/>
      <c r="F149" s="353"/>
      <c r="G149" s="299"/>
      <c r="H149" s="299"/>
      <c r="I149" s="354"/>
      <c r="J149" s="354"/>
    </row>
    <row r="150" ht="15.75" customHeight="1">
      <c r="B150" s="309"/>
      <c r="D150" s="298"/>
      <c r="E150" s="299"/>
      <c r="F150" s="353"/>
      <c r="G150" s="299"/>
      <c r="H150" s="299"/>
      <c r="I150" s="354"/>
      <c r="J150" s="354"/>
    </row>
    <row r="151" ht="15.75" customHeight="1">
      <c r="B151" s="309"/>
      <c r="D151" s="298"/>
      <c r="E151" s="299"/>
      <c r="F151" s="353"/>
      <c r="G151" s="299"/>
      <c r="H151" s="299"/>
      <c r="I151" s="354"/>
      <c r="J151" s="354"/>
    </row>
    <row r="152" ht="15.75" customHeight="1">
      <c r="B152" s="309"/>
      <c r="D152" s="298"/>
      <c r="E152" s="299"/>
      <c r="F152" s="353"/>
      <c r="G152" s="299"/>
      <c r="H152" s="299"/>
      <c r="I152" s="354"/>
      <c r="J152" s="354"/>
    </row>
    <row r="153" ht="15.75" customHeight="1">
      <c r="B153" s="309"/>
      <c r="D153" s="298"/>
      <c r="E153" s="299"/>
      <c r="F153" s="353"/>
      <c r="G153" s="299"/>
      <c r="H153" s="299"/>
      <c r="I153" s="354"/>
      <c r="J153" s="354"/>
    </row>
    <row r="154" ht="15.75" customHeight="1">
      <c r="B154" s="309"/>
      <c r="D154" s="298"/>
      <c r="E154" s="299"/>
      <c r="F154" s="353"/>
      <c r="G154" s="299"/>
      <c r="H154" s="299"/>
      <c r="I154" s="354"/>
      <c r="J154" s="354"/>
    </row>
    <row r="155" ht="15.75" customHeight="1">
      <c r="B155" s="309"/>
      <c r="D155" s="298"/>
      <c r="E155" s="299"/>
      <c r="F155" s="353"/>
      <c r="G155" s="299"/>
      <c r="H155" s="299"/>
      <c r="I155" s="354"/>
      <c r="J155" s="354"/>
    </row>
    <row r="156" ht="15.75" customHeight="1">
      <c r="B156" s="309"/>
      <c r="D156" s="298"/>
      <c r="E156" s="299"/>
      <c r="F156" s="353"/>
      <c r="G156" s="299"/>
      <c r="H156" s="299"/>
      <c r="I156" s="354"/>
      <c r="J156" s="354"/>
    </row>
    <row r="157" ht="15.75" customHeight="1">
      <c r="B157" s="309"/>
      <c r="D157" s="298"/>
      <c r="E157" s="299"/>
      <c r="F157" s="353"/>
      <c r="G157" s="299"/>
      <c r="H157" s="299"/>
      <c r="I157" s="354"/>
      <c r="J157" s="354"/>
    </row>
    <row r="158" ht="15.75" customHeight="1">
      <c r="B158" s="309"/>
      <c r="D158" s="298"/>
      <c r="E158" s="299"/>
      <c r="F158" s="353"/>
      <c r="G158" s="299"/>
      <c r="H158" s="299"/>
      <c r="I158" s="354"/>
      <c r="J158" s="354"/>
    </row>
    <row r="159" ht="15.75" customHeight="1">
      <c r="B159" s="309"/>
      <c r="D159" s="298"/>
      <c r="E159" s="299"/>
      <c r="F159" s="353"/>
      <c r="G159" s="299"/>
      <c r="H159" s="299"/>
      <c r="I159" s="354"/>
      <c r="J159" s="354"/>
    </row>
    <row r="160" ht="15.75" customHeight="1">
      <c r="B160" s="309"/>
      <c r="D160" s="298"/>
      <c r="E160" s="299"/>
      <c r="F160" s="353"/>
      <c r="G160" s="299"/>
      <c r="H160" s="299"/>
      <c r="I160" s="354"/>
      <c r="J160" s="354"/>
    </row>
    <row r="161" ht="15.75" customHeight="1">
      <c r="B161" s="309"/>
      <c r="D161" s="298"/>
      <c r="E161" s="299"/>
      <c r="F161" s="353"/>
      <c r="G161" s="299"/>
      <c r="H161" s="299"/>
      <c r="I161" s="354"/>
      <c r="J161" s="354"/>
    </row>
    <row r="162" ht="15.75" customHeight="1">
      <c r="B162" s="309"/>
      <c r="D162" s="298"/>
      <c r="E162" s="299"/>
      <c r="F162" s="353"/>
      <c r="G162" s="299"/>
      <c r="H162" s="299"/>
      <c r="I162" s="354"/>
      <c r="J162" s="354"/>
    </row>
    <row r="163" ht="15.75" customHeight="1">
      <c r="B163" s="309"/>
      <c r="D163" s="298"/>
      <c r="E163" s="299"/>
      <c r="F163" s="353"/>
      <c r="G163" s="299"/>
      <c r="H163" s="299"/>
      <c r="I163" s="354"/>
      <c r="J163" s="354"/>
    </row>
    <row r="164" ht="15.75" customHeight="1">
      <c r="B164" s="309"/>
      <c r="D164" s="298"/>
      <c r="E164" s="299"/>
      <c r="F164" s="353"/>
      <c r="G164" s="299"/>
      <c r="H164" s="299"/>
      <c r="I164" s="354"/>
      <c r="J164" s="354"/>
    </row>
    <row r="165" ht="15.75" customHeight="1">
      <c r="B165" s="309"/>
      <c r="D165" s="298"/>
      <c r="E165" s="299"/>
      <c r="F165" s="353"/>
      <c r="G165" s="299"/>
      <c r="H165" s="299"/>
      <c r="I165" s="354"/>
      <c r="J165" s="354"/>
    </row>
    <row r="166" ht="15.75" customHeight="1">
      <c r="B166" s="309"/>
      <c r="D166" s="298"/>
      <c r="E166" s="299"/>
      <c r="F166" s="353"/>
      <c r="G166" s="299"/>
      <c r="H166" s="299"/>
      <c r="I166" s="354"/>
      <c r="J166" s="354"/>
    </row>
    <row r="167" ht="15.75" customHeight="1">
      <c r="B167" s="309"/>
      <c r="D167" s="298"/>
      <c r="E167" s="299"/>
      <c r="F167" s="353"/>
      <c r="G167" s="299"/>
      <c r="H167" s="299"/>
      <c r="I167" s="354"/>
      <c r="J167" s="354"/>
    </row>
    <row r="168" ht="15.75" customHeight="1">
      <c r="B168" s="309"/>
      <c r="D168" s="298"/>
      <c r="E168" s="299"/>
      <c r="F168" s="353"/>
      <c r="G168" s="299"/>
      <c r="H168" s="299"/>
      <c r="I168" s="354"/>
      <c r="J168" s="354"/>
    </row>
    <row r="169" ht="15.75" customHeight="1">
      <c r="B169" s="309"/>
      <c r="D169" s="298"/>
      <c r="E169" s="299"/>
      <c r="F169" s="353"/>
      <c r="G169" s="299"/>
      <c r="H169" s="299"/>
      <c r="I169" s="354"/>
      <c r="J169" s="354"/>
    </row>
    <row r="170" ht="15.75" customHeight="1">
      <c r="B170" s="309"/>
      <c r="D170" s="298"/>
      <c r="E170" s="299"/>
      <c r="F170" s="353"/>
      <c r="G170" s="299"/>
      <c r="H170" s="299"/>
      <c r="I170" s="354"/>
      <c r="J170" s="354"/>
    </row>
    <row r="171" ht="15.75" customHeight="1">
      <c r="B171" s="309"/>
      <c r="D171" s="298"/>
      <c r="E171" s="299"/>
      <c r="F171" s="353"/>
      <c r="G171" s="299"/>
      <c r="H171" s="299"/>
      <c r="I171" s="354"/>
      <c r="J171" s="354"/>
    </row>
    <row r="172" ht="15.75" customHeight="1">
      <c r="B172" s="309"/>
      <c r="D172" s="298"/>
      <c r="E172" s="299"/>
      <c r="F172" s="353"/>
      <c r="G172" s="299"/>
      <c r="H172" s="299"/>
      <c r="I172" s="354"/>
      <c r="J172" s="354"/>
    </row>
    <row r="173" ht="15.75" customHeight="1">
      <c r="B173" s="309"/>
      <c r="D173" s="298"/>
      <c r="E173" s="299"/>
      <c r="F173" s="353"/>
      <c r="G173" s="299"/>
      <c r="H173" s="299"/>
      <c r="I173" s="354"/>
      <c r="J173" s="354"/>
    </row>
    <row r="174" ht="15.75" customHeight="1">
      <c r="B174" s="309"/>
      <c r="D174" s="298"/>
      <c r="E174" s="299"/>
      <c r="F174" s="353"/>
      <c r="G174" s="299"/>
      <c r="H174" s="299"/>
      <c r="I174" s="354"/>
      <c r="J174" s="354"/>
    </row>
    <row r="175" ht="15.75" customHeight="1">
      <c r="B175" s="309"/>
      <c r="D175" s="298"/>
      <c r="E175" s="299"/>
      <c r="F175" s="353"/>
      <c r="G175" s="299"/>
      <c r="H175" s="299"/>
      <c r="I175" s="354"/>
      <c r="J175" s="354"/>
    </row>
    <row r="176" ht="15.75" customHeight="1">
      <c r="B176" s="309"/>
      <c r="D176" s="298"/>
      <c r="E176" s="299"/>
      <c r="F176" s="353"/>
      <c r="G176" s="299"/>
      <c r="H176" s="299"/>
      <c r="I176" s="354"/>
      <c r="J176" s="354"/>
    </row>
    <row r="177" ht="15.75" customHeight="1">
      <c r="B177" s="309"/>
      <c r="D177" s="298"/>
      <c r="E177" s="299"/>
      <c r="F177" s="353"/>
      <c r="G177" s="299"/>
      <c r="H177" s="299"/>
      <c r="I177" s="354"/>
      <c r="J177" s="354"/>
    </row>
    <row r="178" ht="15.75" customHeight="1">
      <c r="B178" s="309"/>
      <c r="D178" s="298"/>
      <c r="E178" s="299"/>
      <c r="F178" s="353"/>
      <c r="G178" s="299"/>
      <c r="H178" s="299"/>
      <c r="I178" s="354"/>
      <c r="J178" s="354"/>
    </row>
    <row r="179" ht="15.75" customHeight="1">
      <c r="B179" s="309"/>
      <c r="D179" s="298"/>
      <c r="E179" s="299"/>
      <c r="F179" s="353"/>
      <c r="G179" s="299"/>
      <c r="H179" s="299"/>
      <c r="I179" s="354"/>
      <c r="J179" s="354"/>
    </row>
    <row r="180" ht="15.75" customHeight="1">
      <c r="B180" s="309"/>
      <c r="D180" s="298"/>
      <c r="E180" s="299"/>
      <c r="F180" s="353"/>
      <c r="G180" s="299"/>
      <c r="H180" s="299"/>
      <c r="I180" s="354"/>
      <c r="J180" s="354"/>
    </row>
    <row r="181" ht="15.75" customHeight="1">
      <c r="B181" s="309"/>
      <c r="D181" s="298"/>
      <c r="E181" s="299"/>
      <c r="F181" s="353"/>
      <c r="G181" s="299"/>
      <c r="H181" s="299"/>
      <c r="I181" s="354"/>
      <c r="J181" s="354"/>
    </row>
    <row r="182" ht="15.75" customHeight="1">
      <c r="B182" s="309"/>
      <c r="D182" s="298"/>
      <c r="E182" s="299"/>
      <c r="F182" s="353"/>
      <c r="G182" s="299"/>
      <c r="H182" s="299"/>
      <c r="I182" s="354"/>
      <c r="J182" s="354"/>
    </row>
    <row r="183" ht="15.75" customHeight="1">
      <c r="B183" s="309"/>
      <c r="D183" s="298"/>
      <c r="E183" s="299"/>
      <c r="F183" s="353"/>
      <c r="G183" s="299"/>
      <c r="H183" s="299"/>
      <c r="I183" s="354"/>
      <c r="J183" s="354"/>
    </row>
    <row r="184" ht="15.75" customHeight="1">
      <c r="B184" s="309"/>
      <c r="D184" s="298"/>
      <c r="E184" s="299"/>
      <c r="F184" s="353"/>
      <c r="G184" s="299"/>
      <c r="H184" s="299"/>
      <c r="I184" s="354"/>
      <c r="J184" s="354"/>
    </row>
    <row r="185" ht="15.75" customHeight="1">
      <c r="B185" s="309"/>
      <c r="D185" s="298"/>
      <c r="E185" s="299"/>
      <c r="F185" s="353"/>
      <c r="G185" s="299"/>
      <c r="H185" s="299"/>
      <c r="I185" s="354"/>
      <c r="J185" s="354"/>
    </row>
    <row r="186" ht="15.75" customHeight="1">
      <c r="B186" s="309"/>
      <c r="D186" s="298"/>
      <c r="E186" s="299"/>
      <c r="F186" s="353"/>
      <c r="G186" s="299"/>
      <c r="H186" s="299"/>
      <c r="I186" s="354"/>
      <c r="J186" s="354"/>
    </row>
    <row r="187" ht="15.75" customHeight="1">
      <c r="B187" s="309"/>
      <c r="D187" s="298"/>
      <c r="E187" s="299"/>
      <c r="F187" s="353"/>
      <c r="G187" s="299"/>
      <c r="H187" s="299"/>
      <c r="I187" s="354"/>
      <c r="J187" s="354"/>
    </row>
    <row r="188" ht="15.75" customHeight="1">
      <c r="B188" s="309"/>
      <c r="D188" s="298"/>
      <c r="E188" s="299"/>
      <c r="F188" s="353"/>
      <c r="G188" s="299"/>
      <c r="H188" s="299"/>
      <c r="I188" s="354"/>
      <c r="J188" s="354"/>
    </row>
    <row r="189" ht="15.75" customHeight="1">
      <c r="B189" s="309"/>
      <c r="D189" s="298"/>
      <c r="E189" s="299"/>
      <c r="F189" s="353"/>
      <c r="G189" s="299"/>
      <c r="H189" s="299"/>
      <c r="I189" s="354"/>
      <c r="J189" s="354"/>
    </row>
    <row r="190" ht="15.75" customHeight="1">
      <c r="B190" s="309"/>
      <c r="D190" s="298"/>
      <c r="E190" s="299"/>
      <c r="F190" s="353"/>
      <c r="G190" s="299"/>
      <c r="H190" s="299"/>
      <c r="I190" s="354"/>
      <c r="J190" s="354"/>
    </row>
    <row r="191" ht="15.75" customHeight="1">
      <c r="B191" s="309"/>
      <c r="D191" s="298"/>
      <c r="E191" s="299"/>
      <c r="F191" s="353"/>
      <c r="G191" s="299"/>
      <c r="H191" s="299"/>
      <c r="I191" s="354"/>
      <c r="J191" s="354"/>
    </row>
    <row r="192" ht="15.75" customHeight="1">
      <c r="B192" s="309"/>
      <c r="D192" s="298"/>
      <c r="E192" s="299"/>
      <c r="F192" s="353"/>
      <c r="G192" s="299"/>
      <c r="H192" s="299"/>
      <c r="I192" s="354"/>
      <c r="J192" s="354"/>
    </row>
    <row r="193" ht="15.75" customHeight="1">
      <c r="B193" s="309"/>
      <c r="D193" s="298"/>
      <c r="E193" s="299"/>
      <c r="F193" s="353"/>
      <c r="G193" s="299"/>
      <c r="H193" s="299"/>
      <c r="I193" s="354"/>
      <c r="J193" s="354"/>
    </row>
    <row r="194" ht="15.75" customHeight="1">
      <c r="B194" s="309"/>
      <c r="D194" s="298"/>
      <c r="E194" s="299"/>
      <c r="F194" s="353"/>
      <c r="G194" s="299"/>
      <c r="H194" s="299"/>
      <c r="I194" s="354"/>
      <c r="J194" s="354"/>
    </row>
    <row r="195" ht="15.75" customHeight="1">
      <c r="B195" s="309"/>
      <c r="D195" s="298"/>
      <c r="E195" s="299"/>
      <c r="F195" s="353"/>
      <c r="G195" s="299"/>
      <c r="H195" s="299"/>
      <c r="I195" s="354"/>
      <c r="J195" s="354"/>
    </row>
    <row r="196" ht="15.75" customHeight="1">
      <c r="B196" s="309"/>
      <c r="D196" s="298"/>
      <c r="E196" s="299"/>
      <c r="F196" s="353"/>
      <c r="G196" s="299"/>
      <c r="H196" s="299"/>
      <c r="I196" s="354"/>
      <c r="J196" s="354"/>
    </row>
    <row r="197" ht="15.75" customHeight="1">
      <c r="B197" s="309"/>
      <c r="D197" s="298"/>
      <c r="E197" s="299"/>
      <c r="F197" s="353"/>
      <c r="G197" s="299"/>
      <c r="H197" s="299"/>
      <c r="I197" s="354"/>
      <c r="J197" s="354"/>
    </row>
    <row r="198" ht="15.75" customHeight="1">
      <c r="B198" s="309"/>
      <c r="D198" s="298"/>
      <c r="E198" s="299"/>
      <c r="F198" s="353"/>
      <c r="G198" s="299"/>
      <c r="H198" s="299"/>
      <c r="I198" s="354"/>
      <c r="J198" s="354"/>
    </row>
    <row r="199" ht="15.75" customHeight="1">
      <c r="B199" s="309"/>
      <c r="D199" s="298"/>
      <c r="E199" s="299"/>
      <c r="F199" s="353"/>
      <c r="G199" s="299"/>
      <c r="H199" s="299"/>
      <c r="I199" s="354"/>
      <c r="J199" s="354"/>
    </row>
    <row r="200" ht="15.75" customHeight="1">
      <c r="B200" s="309"/>
      <c r="D200" s="298"/>
      <c r="E200" s="299"/>
      <c r="F200" s="353"/>
      <c r="G200" s="299"/>
      <c r="H200" s="299"/>
      <c r="I200" s="354"/>
      <c r="J200" s="354"/>
    </row>
    <row r="201" ht="15.75" customHeight="1">
      <c r="B201" s="309"/>
      <c r="D201" s="298"/>
      <c r="E201" s="299"/>
      <c r="F201" s="353"/>
      <c r="G201" s="299"/>
      <c r="H201" s="299"/>
      <c r="I201" s="354"/>
      <c r="J201" s="354"/>
    </row>
    <row r="202" ht="15.75" customHeight="1">
      <c r="B202" s="309"/>
      <c r="D202" s="298"/>
      <c r="E202" s="299"/>
      <c r="F202" s="353"/>
      <c r="G202" s="299"/>
      <c r="H202" s="299"/>
      <c r="I202" s="354"/>
      <c r="J202" s="354"/>
    </row>
    <row r="203" ht="15.75" customHeight="1">
      <c r="B203" s="309"/>
      <c r="D203" s="298"/>
      <c r="E203" s="299"/>
      <c r="F203" s="353"/>
      <c r="G203" s="299"/>
      <c r="H203" s="299"/>
      <c r="I203" s="354"/>
      <c r="J203" s="354"/>
    </row>
    <row r="204" ht="15.75" customHeight="1">
      <c r="B204" s="309"/>
      <c r="D204" s="298"/>
      <c r="E204" s="299"/>
      <c r="F204" s="353"/>
      <c r="G204" s="299"/>
      <c r="H204" s="299"/>
      <c r="I204" s="354"/>
      <c r="J204" s="354"/>
    </row>
    <row r="205" ht="15.75" customHeight="1">
      <c r="B205" s="309"/>
      <c r="D205" s="298"/>
      <c r="E205" s="299"/>
      <c r="F205" s="353"/>
      <c r="G205" s="299"/>
      <c r="H205" s="299"/>
      <c r="I205" s="354"/>
      <c r="J205" s="354"/>
    </row>
    <row r="206" ht="15.75" customHeight="1">
      <c r="B206" s="309"/>
      <c r="D206" s="298"/>
      <c r="E206" s="299"/>
      <c r="F206" s="353"/>
      <c r="G206" s="299"/>
      <c r="H206" s="299"/>
      <c r="I206" s="354"/>
      <c r="J206" s="354"/>
    </row>
    <row r="207" ht="15.75" customHeight="1">
      <c r="B207" s="309"/>
      <c r="D207" s="298"/>
      <c r="E207" s="299"/>
      <c r="F207" s="353"/>
      <c r="G207" s="299"/>
      <c r="H207" s="299"/>
      <c r="I207" s="354"/>
      <c r="J207" s="354"/>
    </row>
    <row r="208" ht="15.75" customHeight="1">
      <c r="B208" s="309"/>
      <c r="D208" s="298"/>
      <c r="E208" s="299"/>
      <c r="F208" s="353"/>
      <c r="G208" s="299"/>
      <c r="H208" s="299"/>
      <c r="I208" s="354"/>
      <c r="J208" s="354"/>
    </row>
    <row r="209" ht="15.75" customHeight="1">
      <c r="B209" s="309"/>
      <c r="D209" s="298"/>
      <c r="E209" s="299"/>
      <c r="F209" s="353"/>
      <c r="G209" s="299"/>
      <c r="H209" s="299"/>
      <c r="I209" s="354"/>
      <c r="J209" s="354"/>
    </row>
    <row r="210" ht="15.75" customHeight="1">
      <c r="B210" s="309"/>
      <c r="D210" s="298"/>
      <c r="E210" s="299"/>
      <c r="F210" s="353"/>
      <c r="G210" s="299"/>
      <c r="H210" s="299"/>
      <c r="I210" s="354"/>
      <c r="J210" s="354"/>
    </row>
    <row r="211" ht="15.75" customHeight="1">
      <c r="B211" s="309"/>
      <c r="D211" s="298"/>
      <c r="E211" s="299"/>
      <c r="F211" s="353"/>
      <c r="G211" s="299"/>
      <c r="H211" s="299"/>
      <c r="I211" s="354"/>
      <c r="J211" s="354"/>
    </row>
    <row r="212" ht="15.75" customHeight="1">
      <c r="B212" s="309"/>
      <c r="D212" s="298"/>
      <c r="E212" s="299"/>
      <c r="F212" s="353"/>
      <c r="G212" s="299"/>
      <c r="H212" s="299"/>
      <c r="I212" s="354"/>
      <c r="J212" s="354"/>
    </row>
    <row r="213" ht="15.75" customHeight="1">
      <c r="B213" s="309"/>
      <c r="D213" s="298"/>
      <c r="E213" s="299"/>
      <c r="F213" s="353"/>
      <c r="G213" s="299"/>
      <c r="H213" s="299"/>
      <c r="I213" s="354"/>
      <c r="J213" s="354"/>
    </row>
    <row r="214" ht="15.75" customHeight="1">
      <c r="B214" s="309"/>
      <c r="D214" s="298"/>
      <c r="E214" s="299"/>
      <c r="F214" s="353"/>
      <c r="G214" s="299"/>
      <c r="H214" s="299"/>
      <c r="I214" s="354"/>
      <c r="J214" s="354"/>
    </row>
    <row r="215" ht="15.75" customHeight="1">
      <c r="B215" s="309"/>
      <c r="D215" s="298"/>
      <c r="E215" s="299"/>
      <c r="F215" s="353"/>
      <c r="G215" s="299"/>
      <c r="H215" s="299"/>
      <c r="I215" s="354"/>
      <c r="J215" s="354"/>
    </row>
    <row r="216" ht="15.75" customHeight="1">
      <c r="B216" s="309"/>
      <c r="D216" s="298"/>
      <c r="E216" s="299"/>
      <c r="F216" s="353"/>
      <c r="G216" s="299"/>
      <c r="H216" s="299"/>
      <c r="I216" s="354"/>
      <c r="J216" s="354"/>
    </row>
    <row r="217" ht="15.75" customHeight="1">
      <c r="B217" s="309"/>
      <c r="D217" s="298"/>
      <c r="E217" s="299"/>
      <c r="F217" s="353"/>
      <c r="G217" s="299"/>
      <c r="H217" s="299"/>
      <c r="I217" s="354"/>
      <c r="J217" s="354"/>
    </row>
    <row r="218" ht="15.75" customHeight="1">
      <c r="B218" s="309"/>
      <c r="D218" s="298"/>
      <c r="E218" s="299"/>
      <c r="F218" s="353"/>
      <c r="G218" s="299"/>
      <c r="H218" s="299"/>
      <c r="I218" s="354"/>
      <c r="J218" s="354"/>
    </row>
    <row r="219" ht="15.75" customHeight="1">
      <c r="B219" s="309"/>
      <c r="D219" s="298"/>
      <c r="E219" s="299"/>
      <c r="F219" s="353"/>
      <c r="G219" s="299"/>
      <c r="H219" s="299"/>
      <c r="I219" s="354"/>
      <c r="J219" s="354"/>
    </row>
    <row r="220" ht="15.75" customHeight="1">
      <c r="B220" s="309"/>
      <c r="D220" s="298"/>
      <c r="E220" s="299"/>
      <c r="F220" s="353"/>
      <c r="G220" s="299"/>
      <c r="H220" s="299"/>
      <c r="I220" s="354"/>
      <c r="J220" s="354"/>
    </row>
    <row r="221" ht="15.75" customHeight="1">
      <c r="B221" s="309"/>
      <c r="D221" s="298"/>
      <c r="E221" s="299"/>
      <c r="F221" s="353"/>
      <c r="G221" s="299"/>
      <c r="H221" s="299"/>
      <c r="I221" s="354"/>
      <c r="J221" s="354"/>
    </row>
    <row r="222" ht="15.75" customHeight="1">
      <c r="B222" s="309"/>
      <c r="D222" s="298"/>
      <c r="E222" s="299"/>
      <c r="F222" s="353"/>
      <c r="G222" s="299"/>
      <c r="H222" s="299"/>
      <c r="I222" s="354"/>
      <c r="J222" s="354"/>
    </row>
    <row r="223" ht="15.75" customHeight="1">
      <c r="B223" s="309"/>
      <c r="D223" s="298"/>
      <c r="E223" s="299"/>
      <c r="F223" s="353"/>
      <c r="G223" s="299"/>
      <c r="H223" s="299"/>
      <c r="I223" s="354"/>
      <c r="J223" s="354"/>
    </row>
    <row r="224" ht="15.75" customHeight="1">
      <c r="B224" s="309"/>
      <c r="D224" s="298"/>
      <c r="E224" s="299"/>
      <c r="F224" s="353"/>
      <c r="G224" s="299"/>
      <c r="H224" s="299"/>
      <c r="I224" s="354"/>
      <c r="J224" s="354"/>
    </row>
    <row r="225" ht="15.75" customHeight="1">
      <c r="B225" s="309"/>
      <c r="D225" s="298"/>
      <c r="E225" s="299"/>
      <c r="F225" s="353"/>
      <c r="G225" s="299"/>
      <c r="H225" s="299"/>
      <c r="I225" s="354"/>
      <c r="J225" s="354"/>
    </row>
    <row r="226" ht="15.75" customHeight="1">
      <c r="B226" s="309"/>
      <c r="D226" s="298"/>
      <c r="E226" s="299"/>
      <c r="F226" s="353"/>
      <c r="G226" s="299"/>
      <c r="H226" s="299"/>
      <c r="I226" s="354"/>
      <c r="J226" s="354"/>
    </row>
    <row r="227" ht="15.75" customHeight="1">
      <c r="B227" s="309"/>
      <c r="D227" s="298"/>
      <c r="E227" s="299"/>
      <c r="F227" s="353"/>
      <c r="G227" s="299"/>
      <c r="H227" s="299"/>
      <c r="I227" s="354"/>
      <c r="J227" s="354"/>
    </row>
    <row r="228" ht="15.75" customHeight="1">
      <c r="B228" s="309"/>
      <c r="D228" s="298"/>
      <c r="E228" s="299"/>
      <c r="F228" s="353"/>
      <c r="G228" s="299"/>
      <c r="H228" s="299"/>
      <c r="I228" s="354"/>
      <c r="J228" s="354"/>
    </row>
    <row r="229" ht="15.75" customHeight="1">
      <c r="B229" s="309"/>
      <c r="D229" s="298"/>
      <c r="E229" s="299"/>
      <c r="F229" s="353"/>
      <c r="G229" s="299"/>
      <c r="H229" s="299"/>
      <c r="I229" s="354"/>
      <c r="J229" s="354"/>
    </row>
    <row r="230" ht="15.75" customHeight="1">
      <c r="B230" s="309"/>
      <c r="D230" s="298"/>
      <c r="E230" s="299"/>
      <c r="F230" s="353"/>
      <c r="G230" s="299"/>
      <c r="H230" s="299"/>
      <c r="I230" s="354"/>
      <c r="J230" s="354"/>
    </row>
    <row r="231" ht="15.75" customHeight="1">
      <c r="B231" s="309"/>
      <c r="D231" s="298"/>
      <c r="E231" s="299"/>
      <c r="F231" s="353"/>
      <c r="G231" s="299"/>
      <c r="H231" s="299"/>
      <c r="I231" s="354"/>
      <c r="J231" s="354"/>
    </row>
    <row r="232" ht="15.75" customHeight="1">
      <c r="B232" s="309"/>
      <c r="D232" s="298"/>
      <c r="E232" s="299"/>
      <c r="F232" s="353"/>
      <c r="G232" s="299"/>
      <c r="H232" s="299"/>
      <c r="I232" s="354"/>
      <c r="J232" s="354"/>
    </row>
    <row r="233" ht="15.75" customHeight="1">
      <c r="B233" s="309"/>
      <c r="D233" s="298"/>
      <c r="E233" s="299"/>
      <c r="F233" s="353"/>
      <c r="G233" s="299"/>
      <c r="H233" s="299"/>
      <c r="I233" s="354"/>
      <c r="J233" s="354"/>
    </row>
    <row r="234" ht="15.75" customHeight="1">
      <c r="B234" s="309"/>
      <c r="D234" s="298"/>
      <c r="E234" s="299"/>
      <c r="F234" s="353"/>
      <c r="G234" s="299"/>
      <c r="H234" s="299"/>
      <c r="I234" s="354"/>
      <c r="J234" s="354"/>
    </row>
    <row r="235" ht="15.75" customHeight="1">
      <c r="B235" s="309"/>
      <c r="D235" s="298"/>
      <c r="E235" s="299"/>
      <c r="F235" s="353"/>
      <c r="G235" s="299"/>
      <c r="H235" s="299"/>
      <c r="I235" s="354"/>
      <c r="J235" s="354"/>
    </row>
    <row r="236" ht="15.75" customHeight="1">
      <c r="B236" s="309"/>
      <c r="D236" s="298"/>
      <c r="E236" s="299"/>
      <c r="F236" s="353"/>
      <c r="G236" s="299"/>
      <c r="H236" s="299"/>
      <c r="I236" s="354"/>
      <c r="J236" s="354"/>
    </row>
    <row r="237" ht="15.75" customHeight="1">
      <c r="B237" s="309"/>
      <c r="D237" s="298"/>
      <c r="E237" s="299"/>
      <c r="F237" s="353"/>
      <c r="G237" s="299"/>
      <c r="H237" s="299"/>
      <c r="I237" s="354"/>
      <c r="J237" s="354"/>
    </row>
    <row r="238" ht="15.75" customHeight="1">
      <c r="B238" s="309"/>
      <c r="D238" s="298"/>
      <c r="E238" s="299"/>
      <c r="F238" s="353"/>
      <c r="G238" s="299"/>
      <c r="H238" s="299"/>
      <c r="I238" s="354"/>
      <c r="J238" s="354"/>
    </row>
    <row r="239" ht="15.75" customHeight="1">
      <c r="B239" s="309"/>
      <c r="D239" s="298"/>
      <c r="E239" s="299"/>
      <c r="F239" s="353"/>
      <c r="G239" s="299"/>
      <c r="H239" s="299"/>
      <c r="I239" s="354"/>
      <c r="J239" s="354"/>
    </row>
    <row r="240" ht="15.75" customHeight="1">
      <c r="B240" s="309"/>
      <c r="D240" s="298"/>
      <c r="E240" s="299"/>
      <c r="F240" s="353"/>
      <c r="G240" s="299"/>
      <c r="H240" s="299"/>
      <c r="I240" s="354"/>
      <c r="J240" s="354"/>
    </row>
    <row r="241" ht="15.75" customHeight="1">
      <c r="B241" s="309"/>
      <c r="D241" s="298"/>
      <c r="E241" s="299"/>
      <c r="F241" s="353"/>
      <c r="G241" s="299"/>
      <c r="H241" s="299"/>
      <c r="I241" s="354"/>
      <c r="J241" s="354"/>
    </row>
    <row r="242" ht="15.75" customHeight="1">
      <c r="B242" s="309"/>
      <c r="D242" s="298"/>
      <c r="E242" s="299"/>
      <c r="F242" s="353"/>
      <c r="G242" s="299"/>
      <c r="H242" s="299"/>
      <c r="I242" s="354"/>
      <c r="J242" s="354"/>
    </row>
    <row r="243" ht="15.75" customHeight="1">
      <c r="B243" s="309"/>
      <c r="D243" s="298"/>
      <c r="E243" s="299"/>
      <c r="F243" s="353"/>
      <c r="G243" s="299"/>
      <c r="H243" s="299"/>
      <c r="I243" s="354"/>
      <c r="J243" s="354"/>
    </row>
    <row r="244" ht="15.75" customHeight="1">
      <c r="B244" s="309"/>
      <c r="D244" s="298"/>
      <c r="E244" s="299"/>
      <c r="F244" s="353"/>
      <c r="G244" s="299"/>
      <c r="H244" s="299"/>
      <c r="I244" s="354"/>
      <c r="J244" s="354"/>
    </row>
    <row r="245" ht="15.75" customHeight="1">
      <c r="B245" s="309"/>
      <c r="D245" s="298"/>
      <c r="E245" s="299"/>
      <c r="F245" s="353"/>
      <c r="G245" s="299"/>
      <c r="H245" s="299"/>
      <c r="I245" s="354"/>
      <c r="J245" s="354"/>
    </row>
    <row r="246" ht="15.75" customHeight="1">
      <c r="B246" s="309"/>
      <c r="D246" s="298"/>
      <c r="E246" s="299"/>
      <c r="F246" s="353"/>
      <c r="G246" s="299"/>
      <c r="H246" s="299"/>
      <c r="I246" s="354"/>
      <c r="J246" s="354"/>
    </row>
    <row r="247" ht="15.75" customHeight="1">
      <c r="B247" s="309"/>
      <c r="D247" s="298"/>
      <c r="E247" s="299"/>
      <c r="F247" s="353"/>
      <c r="G247" s="299"/>
      <c r="H247" s="299"/>
      <c r="I247" s="354"/>
      <c r="J247" s="354"/>
    </row>
    <row r="248" ht="15.75" customHeight="1">
      <c r="B248" s="309"/>
      <c r="D248" s="298"/>
      <c r="E248" s="299"/>
      <c r="F248" s="353"/>
      <c r="G248" s="299"/>
      <c r="H248" s="299"/>
      <c r="I248" s="354"/>
      <c r="J248" s="354"/>
    </row>
    <row r="249" ht="15.75" customHeight="1">
      <c r="B249" s="309"/>
      <c r="D249" s="298"/>
      <c r="E249" s="299"/>
      <c r="F249" s="353"/>
      <c r="G249" s="299"/>
      <c r="H249" s="299"/>
      <c r="I249" s="354"/>
      <c r="J249" s="354"/>
    </row>
    <row r="250" ht="15.75" customHeight="1">
      <c r="B250" s="309"/>
      <c r="D250" s="298"/>
      <c r="E250" s="299"/>
      <c r="F250" s="353"/>
      <c r="G250" s="299"/>
      <c r="H250" s="299"/>
      <c r="I250" s="354"/>
      <c r="J250" s="354"/>
    </row>
    <row r="251" ht="15.75" customHeight="1">
      <c r="B251" s="309"/>
      <c r="D251" s="298"/>
      <c r="E251" s="299"/>
      <c r="F251" s="353"/>
      <c r="G251" s="299"/>
      <c r="H251" s="299"/>
      <c r="I251" s="354"/>
      <c r="J251" s="354"/>
    </row>
    <row r="252" ht="15.75" customHeight="1">
      <c r="B252" s="309"/>
      <c r="D252" s="298"/>
      <c r="E252" s="299"/>
      <c r="F252" s="353"/>
      <c r="G252" s="299"/>
      <c r="H252" s="299"/>
      <c r="I252" s="354"/>
      <c r="J252" s="354"/>
    </row>
    <row r="253" ht="15.75" customHeight="1">
      <c r="B253" s="309"/>
      <c r="D253" s="298"/>
      <c r="E253" s="299"/>
      <c r="F253" s="353"/>
      <c r="G253" s="299"/>
      <c r="H253" s="299"/>
      <c r="I253" s="354"/>
      <c r="J253" s="354"/>
    </row>
    <row r="254" ht="15.75" customHeight="1">
      <c r="B254" s="309"/>
      <c r="D254" s="298"/>
      <c r="E254" s="299"/>
      <c r="F254" s="353"/>
      <c r="G254" s="299"/>
      <c r="H254" s="299"/>
      <c r="I254" s="354"/>
      <c r="J254" s="354"/>
    </row>
    <row r="255" ht="15.75" customHeight="1">
      <c r="B255" s="309"/>
      <c r="D255" s="298"/>
      <c r="E255" s="299"/>
      <c r="F255" s="353"/>
      <c r="G255" s="299"/>
      <c r="H255" s="299"/>
      <c r="I255" s="354"/>
      <c r="J255" s="354"/>
    </row>
    <row r="256" ht="15.75" customHeight="1">
      <c r="B256" s="309"/>
      <c r="D256" s="298"/>
      <c r="E256" s="299"/>
      <c r="F256" s="353"/>
      <c r="G256" s="299"/>
      <c r="H256" s="299"/>
      <c r="I256" s="354"/>
      <c r="J256" s="354"/>
    </row>
    <row r="257" ht="15.75" customHeight="1">
      <c r="B257" s="309"/>
      <c r="D257" s="298"/>
      <c r="E257" s="299"/>
      <c r="F257" s="353"/>
      <c r="G257" s="299"/>
      <c r="H257" s="299"/>
      <c r="I257" s="354"/>
      <c r="J257" s="354"/>
    </row>
    <row r="258" ht="15.75" customHeight="1">
      <c r="B258" s="309"/>
      <c r="D258" s="298"/>
      <c r="E258" s="299"/>
      <c r="F258" s="353"/>
      <c r="G258" s="299"/>
      <c r="H258" s="299"/>
      <c r="I258" s="354"/>
      <c r="J258" s="354"/>
    </row>
    <row r="259" ht="15.75" customHeight="1">
      <c r="B259" s="309"/>
      <c r="D259" s="298"/>
      <c r="E259" s="299"/>
      <c r="F259" s="353"/>
      <c r="G259" s="299"/>
      <c r="H259" s="299"/>
      <c r="I259" s="354"/>
      <c r="J259" s="354"/>
    </row>
    <row r="260" ht="15.75" customHeight="1">
      <c r="B260" s="309"/>
      <c r="D260" s="298"/>
      <c r="E260" s="299"/>
      <c r="F260" s="353"/>
      <c r="G260" s="299"/>
      <c r="H260" s="299"/>
      <c r="I260" s="354"/>
      <c r="J260" s="354"/>
    </row>
    <row r="261" ht="15.75" customHeight="1">
      <c r="B261" s="309"/>
      <c r="D261" s="298"/>
      <c r="E261" s="299"/>
      <c r="F261" s="353"/>
      <c r="G261" s="299"/>
      <c r="H261" s="299"/>
      <c r="I261" s="354"/>
      <c r="J261" s="354"/>
    </row>
    <row r="262" ht="15.75" customHeight="1">
      <c r="B262" s="309"/>
      <c r="D262" s="298"/>
      <c r="E262" s="299"/>
      <c r="F262" s="353"/>
      <c r="G262" s="299"/>
      <c r="H262" s="299"/>
      <c r="I262" s="354"/>
      <c r="J262" s="354"/>
    </row>
    <row r="263" ht="15.75" customHeight="1">
      <c r="B263" s="309"/>
      <c r="D263" s="298"/>
      <c r="E263" s="299"/>
      <c r="F263" s="353"/>
      <c r="G263" s="299"/>
      <c r="H263" s="299"/>
      <c r="I263" s="354"/>
      <c r="J263" s="354"/>
    </row>
    <row r="264" ht="15.75" customHeight="1">
      <c r="B264" s="309"/>
      <c r="D264" s="298"/>
      <c r="E264" s="299"/>
      <c r="F264" s="353"/>
      <c r="G264" s="299"/>
      <c r="H264" s="299"/>
      <c r="I264" s="354"/>
      <c r="J264" s="354"/>
    </row>
    <row r="265" ht="15.75" customHeight="1">
      <c r="B265" s="309"/>
      <c r="D265" s="298"/>
      <c r="E265" s="299"/>
      <c r="F265" s="353"/>
      <c r="G265" s="299"/>
      <c r="H265" s="299"/>
      <c r="I265" s="354"/>
      <c r="J265" s="354"/>
    </row>
    <row r="266" ht="15.75" customHeight="1">
      <c r="B266" s="309"/>
      <c r="D266" s="298"/>
      <c r="E266" s="299"/>
      <c r="F266" s="353"/>
      <c r="G266" s="299"/>
      <c r="H266" s="299"/>
      <c r="I266" s="354"/>
      <c r="J266" s="354"/>
    </row>
    <row r="267" ht="15.75" customHeight="1">
      <c r="B267" s="309"/>
      <c r="D267" s="298"/>
      <c r="E267" s="299"/>
      <c r="F267" s="353"/>
      <c r="G267" s="299"/>
      <c r="H267" s="299"/>
      <c r="I267" s="354"/>
      <c r="J267" s="354"/>
    </row>
    <row r="268" ht="15.75" customHeight="1">
      <c r="B268" s="309"/>
      <c r="D268" s="298"/>
      <c r="E268" s="299"/>
      <c r="F268" s="353"/>
      <c r="G268" s="299"/>
      <c r="H268" s="299"/>
      <c r="I268" s="354"/>
      <c r="J268" s="354"/>
    </row>
    <row r="269" ht="15.75" customHeight="1">
      <c r="B269" s="309"/>
      <c r="D269" s="298"/>
      <c r="E269" s="299"/>
      <c r="F269" s="353"/>
      <c r="G269" s="299"/>
      <c r="H269" s="299"/>
      <c r="I269" s="354"/>
      <c r="J269" s="354"/>
    </row>
    <row r="270" ht="15.75" customHeight="1">
      <c r="B270" s="309"/>
      <c r="D270" s="298"/>
      <c r="E270" s="299"/>
      <c r="F270" s="353"/>
      <c r="G270" s="299"/>
      <c r="H270" s="299"/>
      <c r="I270" s="354"/>
      <c r="J270" s="354"/>
    </row>
    <row r="271" ht="15.75" customHeight="1">
      <c r="B271" s="309"/>
      <c r="D271" s="298"/>
      <c r="E271" s="299"/>
      <c r="F271" s="353"/>
      <c r="G271" s="299"/>
      <c r="H271" s="299"/>
      <c r="I271" s="354"/>
      <c r="J271" s="354"/>
    </row>
    <row r="272" ht="15.75" customHeight="1">
      <c r="B272" s="309"/>
      <c r="D272" s="298"/>
      <c r="E272" s="299"/>
      <c r="F272" s="353"/>
      <c r="G272" s="299"/>
      <c r="H272" s="299"/>
      <c r="I272" s="354"/>
      <c r="J272" s="354"/>
    </row>
    <row r="273" ht="15.75" customHeight="1">
      <c r="B273" s="309"/>
      <c r="D273" s="298"/>
      <c r="E273" s="299"/>
      <c r="F273" s="353"/>
      <c r="G273" s="299"/>
      <c r="H273" s="299"/>
      <c r="I273" s="354"/>
      <c r="J273" s="354"/>
    </row>
    <row r="274" ht="15.75" customHeight="1">
      <c r="B274" s="309"/>
      <c r="D274" s="298"/>
      <c r="E274" s="299"/>
      <c r="F274" s="353"/>
      <c r="G274" s="299"/>
      <c r="H274" s="299"/>
      <c r="I274" s="354"/>
      <c r="J274" s="354"/>
    </row>
    <row r="275" ht="15.75" customHeight="1">
      <c r="B275" s="309"/>
      <c r="D275" s="298"/>
      <c r="E275" s="299"/>
      <c r="F275" s="353"/>
      <c r="G275" s="299"/>
      <c r="H275" s="299"/>
      <c r="I275" s="354"/>
      <c r="J275" s="354"/>
    </row>
    <row r="276" ht="15.75" customHeight="1">
      <c r="B276" s="309"/>
      <c r="D276" s="298"/>
      <c r="E276" s="299"/>
      <c r="F276" s="353"/>
      <c r="G276" s="299"/>
      <c r="H276" s="299"/>
      <c r="I276" s="354"/>
      <c r="J276" s="354"/>
    </row>
    <row r="277" ht="15.75" customHeight="1">
      <c r="B277" s="309"/>
      <c r="D277" s="298"/>
      <c r="E277" s="299"/>
      <c r="F277" s="353"/>
      <c r="G277" s="299"/>
      <c r="H277" s="299"/>
      <c r="I277" s="354"/>
      <c r="J277" s="354"/>
    </row>
    <row r="278" ht="15.75" customHeight="1">
      <c r="B278" s="309"/>
      <c r="D278" s="298"/>
      <c r="E278" s="299"/>
      <c r="F278" s="353"/>
      <c r="G278" s="299"/>
      <c r="H278" s="299"/>
      <c r="I278" s="354"/>
      <c r="J278" s="354"/>
    </row>
    <row r="279" ht="15.75" customHeight="1">
      <c r="B279" s="309"/>
      <c r="D279" s="298"/>
      <c r="E279" s="299"/>
      <c r="F279" s="353"/>
      <c r="G279" s="299"/>
      <c r="H279" s="299"/>
      <c r="I279" s="354"/>
      <c r="J279" s="354"/>
    </row>
    <row r="280" ht="15.75" customHeight="1">
      <c r="B280" s="309"/>
      <c r="D280" s="298"/>
      <c r="E280" s="299"/>
      <c r="F280" s="353"/>
      <c r="G280" s="299"/>
      <c r="H280" s="299"/>
      <c r="I280" s="354"/>
      <c r="J280" s="354"/>
    </row>
    <row r="281" ht="15.75" customHeight="1">
      <c r="B281" s="309"/>
      <c r="D281" s="298"/>
      <c r="E281" s="299"/>
      <c r="F281" s="353"/>
      <c r="G281" s="299"/>
      <c r="H281" s="299"/>
      <c r="I281" s="354"/>
      <c r="J281" s="354"/>
    </row>
    <row r="282" ht="15.75" customHeight="1">
      <c r="B282" s="309"/>
      <c r="D282" s="298"/>
      <c r="E282" s="299"/>
      <c r="F282" s="353"/>
      <c r="G282" s="299"/>
      <c r="H282" s="299"/>
      <c r="I282" s="354"/>
      <c r="J282" s="354"/>
    </row>
    <row r="283" ht="15.75" customHeight="1">
      <c r="B283" s="309"/>
      <c r="D283" s="298"/>
      <c r="E283" s="299"/>
      <c r="F283" s="353"/>
      <c r="G283" s="299"/>
      <c r="H283" s="299"/>
      <c r="I283" s="354"/>
      <c r="J283" s="354"/>
    </row>
    <row r="284" ht="15.75" customHeight="1">
      <c r="B284" s="309"/>
      <c r="D284" s="298"/>
      <c r="E284" s="299"/>
      <c r="F284" s="353"/>
      <c r="G284" s="299"/>
      <c r="H284" s="299"/>
      <c r="I284" s="354"/>
      <c r="J284" s="354"/>
    </row>
    <row r="285" ht="15.75" customHeight="1">
      <c r="B285" s="309"/>
      <c r="D285" s="298"/>
      <c r="E285" s="299"/>
      <c r="F285" s="353"/>
      <c r="G285" s="299"/>
      <c r="H285" s="299"/>
      <c r="I285" s="354"/>
      <c r="J285" s="354"/>
    </row>
    <row r="286" ht="15.75" customHeight="1">
      <c r="B286" s="309"/>
      <c r="D286" s="298"/>
      <c r="E286" s="299"/>
      <c r="F286" s="353"/>
      <c r="G286" s="299"/>
      <c r="H286" s="299"/>
      <c r="I286" s="354"/>
      <c r="J286" s="354"/>
    </row>
    <row r="287" ht="15.75" customHeight="1">
      <c r="B287" s="309"/>
      <c r="D287" s="298"/>
      <c r="E287" s="299"/>
      <c r="F287" s="353"/>
      <c r="G287" s="299"/>
      <c r="H287" s="299"/>
      <c r="I287" s="354"/>
      <c r="J287" s="354"/>
    </row>
    <row r="288" ht="15.75" customHeight="1">
      <c r="B288" s="309"/>
      <c r="D288" s="298"/>
      <c r="E288" s="299"/>
      <c r="F288" s="353"/>
      <c r="G288" s="299"/>
      <c r="H288" s="299"/>
      <c r="I288" s="354"/>
      <c r="J288" s="354"/>
    </row>
    <row r="289" ht="15.75" customHeight="1">
      <c r="B289" s="309"/>
      <c r="D289" s="298"/>
      <c r="E289" s="299"/>
      <c r="F289" s="353"/>
      <c r="G289" s="299"/>
      <c r="H289" s="299"/>
      <c r="I289" s="354"/>
      <c r="J289" s="354"/>
    </row>
    <row r="290" ht="15.75" customHeight="1">
      <c r="B290" s="309"/>
      <c r="D290" s="298"/>
      <c r="E290" s="299"/>
      <c r="F290" s="353"/>
      <c r="G290" s="299"/>
      <c r="H290" s="299"/>
      <c r="I290" s="354"/>
      <c r="J290" s="354"/>
    </row>
    <row r="291" ht="15.75" customHeight="1">
      <c r="B291" s="309"/>
      <c r="D291" s="298"/>
      <c r="E291" s="299"/>
      <c r="F291" s="353"/>
      <c r="G291" s="299"/>
      <c r="H291" s="299"/>
      <c r="I291" s="354"/>
      <c r="J291" s="354"/>
    </row>
    <row r="292" ht="15.75" customHeight="1">
      <c r="B292" s="309"/>
      <c r="D292" s="298"/>
      <c r="E292" s="299"/>
      <c r="F292" s="353"/>
      <c r="G292" s="299"/>
      <c r="H292" s="299"/>
      <c r="I292" s="354"/>
      <c r="J292" s="354"/>
    </row>
    <row r="293" ht="15.75" customHeight="1">
      <c r="B293" s="309"/>
      <c r="D293" s="298"/>
      <c r="E293" s="299"/>
      <c r="F293" s="353"/>
      <c r="G293" s="299"/>
      <c r="H293" s="299"/>
      <c r="I293" s="354"/>
      <c r="J293" s="354"/>
    </row>
    <row r="294" ht="15.75" customHeight="1">
      <c r="B294" s="309"/>
      <c r="D294" s="298"/>
      <c r="E294" s="299"/>
      <c r="F294" s="353"/>
      <c r="G294" s="299"/>
      <c r="H294" s="299"/>
      <c r="I294" s="354"/>
      <c r="J294" s="354"/>
    </row>
    <row r="295" ht="15.75" customHeight="1">
      <c r="B295" s="309"/>
      <c r="D295" s="298"/>
      <c r="E295" s="299"/>
      <c r="F295" s="353"/>
      <c r="G295" s="299"/>
      <c r="H295" s="299"/>
      <c r="I295" s="354"/>
      <c r="J295" s="354"/>
    </row>
    <row r="296" ht="15.75" customHeight="1">
      <c r="B296" s="309"/>
      <c r="D296" s="298"/>
      <c r="E296" s="299"/>
      <c r="F296" s="353"/>
      <c r="G296" s="299"/>
      <c r="H296" s="299"/>
      <c r="I296" s="354"/>
      <c r="J296" s="354"/>
    </row>
    <row r="297" ht="15.75" customHeight="1">
      <c r="B297" s="309"/>
      <c r="D297" s="298"/>
      <c r="E297" s="299"/>
      <c r="F297" s="353"/>
      <c r="G297" s="299"/>
      <c r="H297" s="299"/>
      <c r="I297" s="354"/>
      <c r="J297" s="354"/>
    </row>
    <row r="298" ht="15.75" customHeight="1">
      <c r="B298" s="309"/>
      <c r="D298" s="298"/>
      <c r="E298" s="299"/>
      <c r="F298" s="353"/>
      <c r="G298" s="299"/>
      <c r="H298" s="299"/>
      <c r="I298" s="354"/>
      <c r="J298" s="354"/>
    </row>
    <row r="299" ht="15.75" customHeight="1">
      <c r="B299" s="309"/>
      <c r="D299" s="298"/>
      <c r="E299" s="299"/>
      <c r="F299" s="353"/>
      <c r="G299" s="299"/>
      <c r="H299" s="299"/>
      <c r="I299" s="354"/>
      <c r="J299" s="354"/>
    </row>
    <row r="300" ht="15.75" customHeight="1">
      <c r="B300" s="309"/>
      <c r="D300" s="298"/>
      <c r="E300" s="299"/>
      <c r="F300" s="353"/>
      <c r="G300" s="299"/>
      <c r="H300" s="299"/>
      <c r="I300" s="354"/>
      <c r="J300" s="354"/>
    </row>
    <row r="301" ht="15.75" customHeight="1">
      <c r="B301" s="309"/>
      <c r="D301" s="298"/>
      <c r="E301" s="299"/>
      <c r="F301" s="353"/>
      <c r="G301" s="299"/>
      <c r="H301" s="299"/>
      <c r="I301" s="354"/>
      <c r="J301" s="354"/>
    </row>
    <row r="302" ht="15.75" customHeight="1">
      <c r="B302" s="309"/>
      <c r="D302" s="298"/>
      <c r="E302" s="299"/>
      <c r="F302" s="353"/>
      <c r="G302" s="299"/>
      <c r="H302" s="299"/>
      <c r="I302" s="354"/>
      <c r="J302" s="354"/>
    </row>
    <row r="303" ht="15.75" customHeight="1">
      <c r="B303" s="309"/>
      <c r="D303" s="298"/>
      <c r="E303" s="299"/>
      <c r="F303" s="353"/>
      <c r="G303" s="299"/>
      <c r="H303" s="299"/>
      <c r="I303" s="354"/>
      <c r="J303" s="354"/>
    </row>
    <row r="304" ht="15.75" customHeight="1">
      <c r="B304" s="309"/>
      <c r="D304" s="298"/>
      <c r="E304" s="299"/>
      <c r="F304" s="353"/>
      <c r="G304" s="299"/>
      <c r="H304" s="299"/>
      <c r="I304" s="354"/>
      <c r="J304" s="354"/>
    </row>
    <row r="305" ht="15.75" customHeight="1">
      <c r="B305" s="309"/>
      <c r="D305" s="298"/>
      <c r="E305" s="299"/>
      <c r="F305" s="353"/>
      <c r="G305" s="299"/>
      <c r="H305" s="299"/>
      <c r="I305" s="354"/>
      <c r="J305" s="354"/>
    </row>
    <row r="306" ht="15.75" customHeight="1">
      <c r="B306" s="309"/>
      <c r="D306" s="298"/>
      <c r="E306" s="299"/>
      <c r="F306" s="353"/>
      <c r="G306" s="299"/>
      <c r="H306" s="299"/>
      <c r="I306" s="354"/>
      <c r="J306" s="354"/>
    </row>
    <row r="307" ht="15.75" customHeight="1">
      <c r="B307" s="309"/>
      <c r="D307" s="298"/>
      <c r="E307" s="299"/>
      <c r="F307" s="353"/>
      <c r="G307" s="299"/>
      <c r="H307" s="299"/>
      <c r="I307" s="354"/>
      <c r="J307" s="354"/>
    </row>
    <row r="308" ht="15.75" customHeight="1">
      <c r="B308" s="309"/>
      <c r="D308" s="298"/>
      <c r="E308" s="299"/>
      <c r="F308" s="353"/>
      <c r="G308" s="299"/>
      <c r="H308" s="299"/>
      <c r="I308" s="354"/>
      <c r="J308" s="354"/>
    </row>
    <row r="309" ht="15.75" customHeight="1">
      <c r="B309" s="309"/>
      <c r="D309" s="298"/>
      <c r="E309" s="299"/>
      <c r="F309" s="353"/>
      <c r="G309" s="299"/>
      <c r="H309" s="299"/>
      <c r="I309" s="354"/>
      <c r="J309" s="354"/>
    </row>
    <row r="310" ht="15.75" customHeight="1">
      <c r="B310" s="309"/>
      <c r="D310" s="298"/>
      <c r="E310" s="299"/>
      <c r="F310" s="353"/>
      <c r="G310" s="299"/>
      <c r="H310" s="299"/>
      <c r="I310" s="354"/>
      <c r="J310" s="354"/>
    </row>
    <row r="311" ht="15.75" customHeight="1">
      <c r="B311" s="309"/>
      <c r="D311" s="298"/>
      <c r="E311" s="299"/>
      <c r="F311" s="353"/>
      <c r="G311" s="299"/>
      <c r="H311" s="299"/>
      <c r="I311" s="354"/>
      <c r="J311" s="354"/>
    </row>
    <row r="312" ht="15.75" customHeight="1">
      <c r="B312" s="309"/>
      <c r="D312" s="298"/>
      <c r="E312" s="299"/>
      <c r="F312" s="353"/>
      <c r="G312" s="299"/>
      <c r="H312" s="299"/>
      <c r="I312" s="354"/>
      <c r="J312" s="354"/>
    </row>
    <row r="313" ht="15.75" customHeight="1">
      <c r="B313" s="309"/>
      <c r="D313" s="298"/>
      <c r="E313" s="299"/>
      <c r="F313" s="353"/>
      <c r="G313" s="299"/>
      <c r="H313" s="299"/>
      <c r="I313" s="354"/>
      <c r="J313" s="354"/>
    </row>
    <row r="314" ht="15.75" customHeight="1">
      <c r="B314" s="309"/>
      <c r="D314" s="298"/>
      <c r="E314" s="299"/>
      <c r="F314" s="353"/>
      <c r="G314" s="299"/>
      <c r="H314" s="299"/>
      <c r="I314" s="354"/>
      <c r="J314" s="354"/>
    </row>
    <row r="315" ht="15.75" customHeight="1">
      <c r="B315" s="309"/>
      <c r="D315" s="298"/>
      <c r="E315" s="299"/>
      <c r="F315" s="353"/>
      <c r="G315" s="299"/>
      <c r="H315" s="299"/>
      <c r="I315" s="354"/>
      <c r="J315" s="354"/>
    </row>
    <row r="316" ht="15.75" customHeight="1">
      <c r="B316" s="309"/>
      <c r="D316" s="298"/>
      <c r="E316" s="299"/>
      <c r="F316" s="353"/>
      <c r="G316" s="299"/>
      <c r="H316" s="299"/>
      <c r="I316" s="354"/>
      <c r="J316" s="354"/>
    </row>
    <row r="317" ht="15.75" customHeight="1">
      <c r="B317" s="309"/>
      <c r="D317" s="298"/>
      <c r="E317" s="299"/>
      <c r="F317" s="353"/>
      <c r="G317" s="299"/>
      <c r="H317" s="299"/>
      <c r="I317" s="354"/>
      <c r="J317" s="354"/>
    </row>
    <row r="318" ht="15.75" customHeight="1">
      <c r="B318" s="309"/>
      <c r="D318" s="298"/>
      <c r="E318" s="299"/>
      <c r="F318" s="353"/>
      <c r="G318" s="299"/>
      <c r="H318" s="299"/>
      <c r="I318" s="354"/>
      <c r="J318" s="354"/>
    </row>
    <row r="319" ht="15.75" customHeight="1">
      <c r="B319" s="309"/>
      <c r="D319" s="298"/>
      <c r="E319" s="299"/>
      <c r="F319" s="353"/>
      <c r="G319" s="299"/>
      <c r="H319" s="299"/>
      <c r="I319" s="354"/>
      <c r="J319" s="354"/>
    </row>
    <row r="320" ht="15.75" customHeight="1">
      <c r="B320" s="309"/>
      <c r="D320" s="298"/>
      <c r="E320" s="299"/>
      <c r="F320" s="353"/>
      <c r="G320" s="299"/>
      <c r="H320" s="299"/>
      <c r="I320" s="354"/>
      <c r="J320" s="354"/>
    </row>
    <row r="321" ht="15.75" customHeight="1">
      <c r="B321" s="309"/>
      <c r="D321" s="298"/>
      <c r="E321" s="299"/>
      <c r="F321" s="353"/>
      <c r="G321" s="299"/>
      <c r="H321" s="299"/>
      <c r="I321" s="354"/>
      <c r="J321" s="354"/>
    </row>
    <row r="322" ht="15.75" customHeight="1">
      <c r="B322" s="309"/>
      <c r="D322" s="298"/>
      <c r="E322" s="299"/>
      <c r="F322" s="353"/>
      <c r="G322" s="299"/>
      <c r="H322" s="299"/>
      <c r="I322" s="354"/>
      <c r="J322" s="354"/>
    </row>
    <row r="323" ht="15.75" customHeight="1">
      <c r="B323" s="309"/>
      <c r="D323" s="298"/>
      <c r="E323" s="299"/>
      <c r="F323" s="353"/>
      <c r="G323" s="299"/>
      <c r="H323" s="299"/>
      <c r="I323" s="354"/>
      <c r="J323" s="354"/>
    </row>
    <row r="324" ht="15.75" customHeight="1">
      <c r="B324" s="309"/>
      <c r="D324" s="298"/>
      <c r="E324" s="299"/>
      <c r="F324" s="353"/>
      <c r="G324" s="299"/>
      <c r="H324" s="299"/>
      <c r="I324" s="354"/>
      <c r="J324" s="354"/>
    </row>
    <row r="325" ht="15.75" customHeight="1">
      <c r="B325" s="309"/>
      <c r="D325" s="298"/>
      <c r="E325" s="299"/>
      <c r="F325" s="353"/>
      <c r="G325" s="299"/>
      <c r="H325" s="299"/>
      <c r="I325" s="354"/>
      <c r="J325" s="354"/>
    </row>
    <row r="326" ht="15.75" customHeight="1">
      <c r="B326" s="309"/>
      <c r="D326" s="298"/>
      <c r="E326" s="299"/>
      <c r="F326" s="353"/>
      <c r="G326" s="299"/>
      <c r="H326" s="299"/>
      <c r="I326" s="354"/>
      <c r="J326" s="354"/>
    </row>
    <row r="327" ht="15.75" customHeight="1">
      <c r="B327" s="309"/>
      <c r="D327" s="298"/>
      <c r="E327" s="299"/>
      <c r="F327" s="353"/>
      <c r="G327" s="299"/>
      <c r="H327" s="299"/>
      <c r="I327" s="354"/>
      <c r="J327" s="354"/>
    </row>
    <row r="328" ht="15.75" customHeight="1">
      <c r="B328" s="309"/>
      <c r="D328" s="298"/>
      <c r="E328" s="299"/>
      <c r="F328" s="353"/>
      <c r="G328" s="299"/>
      <c r="H328" s="299"/>
      <c r="I328" s="354"/>
      <c r="J328" s="354"/>
    </row>
    <row r="329" ht="15.75" customHeight="1">
      <c r="B329" s="309"/>
      <c r="D329" s="298"/>
      <c r="E329" s="299"/>
      <c r="F329" s="353"/>
      <c r="G329" s="299"/>
      <c r="H329" s="299"/>
      <c r="I329" s="354"/>
      <c r="J329" s="354"/>
    </row>
    <row r="330" ht="15.75" customHeight="1">
      <c r="B330" s="309"/>
      <c r="D330" s="298"/>
      <c r="E330" s="299"/>
      <c r="F330" s="353"/>
      <c r="G330" s="299"/>
      <c r="H330" s="299"/>
      <c r="I330" s="354"/>
      <c r="J330" s="354"/>
    </row>
    <row r="331" ht="15.75" customHeight="1">
      <c r="B331" s="309"/>
      <c r="D331" s="298"/>
      <c r="E331" s="299"/>
      <c r="F331" s="353"/>
      <c r="G331" s="299"/>
      <c r="H331" s="299"/>
      <c r="I331" s="354"/>
      <c r="J331" s="354"/>
    </row>
    <row r="332" ht="15.75" customHeight="1">
      <c r="B332" s="309"/>
      <c r="D332" s="298"/>
      <c r="E332" s="299"/>
      <c r="F332" s="353"/>
      <c r="G332" s="299"/>
      <c r="H332" s="299"/>
      <c r="I332" s="354"/>
      <c r="J332" s="354"/>
    </row>
    <row r="333" ht="15.75" customHeight="1">
      <c r="B333" s="309"/>
      <c r="D333" s="298"/>
      <c r="E333" s="299"/>
      <c r="F333" s="353"/>
      <c r="G333" s="299"/>
      <c r="H333" s="299"/>
      <c r="I333" s="354"/>
      <c r="J333" s="354"/>
    </row>
    <row r="334" ht="15.75" customHeight="1">
      <c r="B334" s="309"/>
      <c r="D334" s="298"/>
      <c r="E334" s="299"/>
      <c r="F334" s="353"/>
      <c r="G334" s="299"/>
      <c r="H334" s="299"/>
      <c r="I334" s="354"/>
      <c r="J334" s="354"/>
    </row>
    <row r="335" ht="15.75" customHeight="1">
      <c r="B335" s="309"/>
      <c r="D335" s="298"/>
      <c r="E335" s="299"/>
      <c r="F335" s="353"/>
      <c r="G335" s="299"/>
      <c r="H335" s="299"/>
      <c r="I335" s="354"/>
      <c r="J335" s="354"/>
    </row>
    <row r="336" ht="15.75" customHeight="1">
      <c r="B336" s="309"/>
      <c r="D336" s="298"/>
      <c r="E336" s="299"/>
      <c r="F336" s="353"/>
      <c r="G336" s="299"/>
      <c r="H336" s="299"/>
      <c r="I336" s="354"/>
      <c r="J336" s="354"/>
    </row>
    <row r="337" ht="15.75" customHeight="1">
      <c r="B337" s="309"/>
      <c r="D337" s="298"/>
      <c r="E337" s="299"/>
      <c r="F337" s="353"/>
      <c r="G337" s="299"/>
      <c r="H337" s="299"/>
      <c r="I337" s="354"/>
      <c r="J337" s="354"/>
    </row>
    <row r="338" ht="15.75" customHeight="1">
      <c r="B338" s="309"/>
      <c r="D338" s="298"/>
      <c r="E338" s="299"/>
      <c r="F338" s="353"/>
      <c r="G338" s="299"/>
      <c r="H338" s="299"/>
      <c r="I338" s="354"/>
      <c r="J338" s="354"/>
    </row>
    <row r="339" ht="15.75" customHeight="1">
      <c r="B339" s="309"/>
      <c r="D339" s="298"/>
      <c r="E339" s="299"/>
      <c r="F339" s="353"/>
      <c r="G339" s="299"/>
      <c r="H339" s="299"/>
      <c r="I339" s="354"/>
      <c r="J339" s="354"/>
    </row>
    <row r="340" ht="15.75" customHeight="1">
      <c r="B340" s="309"/>
      <c r="D340" s="298"/>
      <c r="E340" s="299"/>
      <c r="F340" s="353"/>
      <c r="G340" s="299"/>
      <c r="H340" s="299"/>
      <c r="I340" s="354"/>
      <c r="J340" s="354"/>
    </row>
    <row r="341" ht="15.75" customHeight="1">
      <c r="B341" s="309"/>
      <c r="D341" s="298"/>
      <c r="E341" s="299"/>
      <c r="F341" s="353"/>
      <c r="G341" s="299"/>
      <c r="H341" s="299"/>
      <c r="I341" s="354"/>
      <c r="J341" s="354"/>
    </row>
    <row r="342" ht="15.75" customHeight="1">
      <c r="B342" s="309"/>
      <c r="D342" s="298"/>
      <c r="E342" s="299"/>
      <c r="F342" s="353"/>
      <c r="G342" s="299"/>
      <c r="H342" s="299"/>
      <c r="I342" s="354"/>
      <c r="J342" s="354"/>
    </row>
    <row r="343" ht="15.75" customHeight="1">
      <c r="B343" s="309"/>
      <c r="D343" s="298"/>
      <c r="E343" s="299"/>
      <c r="F343" s="353"/>
      <c r="G343" s="299"/>
      <c r="H343" s="299"/>
      <c r="I343" s="354"/>
      <c r="J343" s="354"/>
    </row>
    <row r="344" ht="15.75" customHeight="1">
      <c r="B344" s="309"/>
      <c r="D344" s="298"/>
      <c r="E344" s="299"/>
      <c r="F344" s="353"/>
      <c r="G344" s="299"/>
      <c r="H344" s="299"/>
      <c r="I344" s="354"/>
      <c r="J344" s="354"/>
    </row>
    <row r="345" ht="15.75" customHeight="1">
      <c r="B345" s="309"/>
      <c r="D345" s="298"/>
      <c r="E345" s="299"/>
      <c r="F345" s="353"/>
      <c r="G345" s="299"/>
      <c r="H345" s="299"/>
      <c r="I345" s="354"/>
      <c r="J345" s="354"/>
    </row>
    <row r="346" ht="15.75" customHeight="1">
      <c r="B346" s="309"/>
      <c r="D346" s="298"/>
      <c r="E346" s="299"/>
      <c r="F346" s="353"/>
      <c r="G346" s="299"/>
      <c r="H346" s="299"/>
      <c r="I346" s="354"/>
      <c r="J346" s="354"/>
    </row>
    <row r="347" ht="15.75" customHeight="1">
      <c r="B347" s="309"/>
      <c r="D347" s="298"/>
      <c r="E347" s="299"/>
      <c r="F347" s="353"/>
      <c r="G347" s="299"/>
      <c r="H347" s="299"/>
      <c r="I347" s="354"/>
      <c r="J347" s="354"/>
    </row>
    <row r="348" ht="15.75" customHeight="1">
      <c r="B348" s="309"/>
      <c r="D348" s="298"/>
      <c r="E348" s="299"/>
      <c r="F348" s="353"/>
      <c r="G348" s="299"/>
      <c r="H348" s="299"/>
      <c r="I348" s="354"/>
      <c r="J348" s="354"/>
    </row>
    <row r="349" ht="15.75" customHeight="1">
      <c r="B349" s="309"/>
      <c r="D349" s="298"/>
      <c r="E349" s="299"/>
      <c r="F349" s="353"/>
      <c r="G349" s="299"/>
      <c r="H349" s="299"/>
      <c r="I349" s="354"/>
      <c r="J349" s="354"/>
    </row>
    <row r="350" ht="15.75" customHeight="1">
      <c r="B350" s="309"/>
      <c r="D350" s="298"/>
      <c r="E350" s="299"/>
      <c r="F350" s="353"/>
      <c r="G350" s="299"/>
      <c r="H350" s="299"/>
      <c r="I350" s="354"/>
      <c r="J350" s="354"/>
    </row>
    <row r="351" ht="15.75" customHeight="1">
      <c r="B351" s="309"/>
      <c r="D351" s="298"/>
      <c r="E351" s="299"/>
      <c r="F351" s="353"/>
      <c r="G351" s="299"/>
      <c r="H351" s="299"/>
      <c r="I351" s="354"/>
      <c r="J351" s="354"/>
    </row>
    <row r="352" ht="15.75" customHeight="1">
      <c r="B352" s="309"/>
      <c r="D352" s="298"/>
      <c r="E352" s="299"/>
      <c r="F352" s="353"/>
      <c r="G352" s="299"/>
      <c r="H352" s="299"/>
      <c r="I352" s="354"/>
      <c r="J352" s="354"/>
    </row>
    <row r="353" ht="15.75" customHeight="1">
      <c r="B353" s="309"/>
      <c r="D353" s="298"/>
      <c r="E353" s="299"/>
      <c r="F353" s="353"/>
      <c r="G353" s="299"/>
      <c r="H353" s="299"/>
      <c r="I353" s="354"/>
      <c r="J353" s="354"/>
    </row>
    <row r="354" ht="15.75" customHeight="1">
      <c r="B354" s="309"/>
      <c r="D354" s="298"/>
      <c r="E354" s="299"/>
      <c r="F354" s="353"/>
      <c r="G354" s="299"/>
      <c r="H354" s="299"/>
      <c r="I354" s="354"/>
      <c r="J354" s="354"/>
    </row>
    <row r="355" ht="15.75" customHeight="1">
      <c r="B355" s="309"/>
      <c r="D355" s="298"/>
      <c r="E355" s="299"/>
      <c r="F355" s="353"/>
      <c r="G355" s="299"/>
      <c r="H355" s="299"/>
      <c r="I355" s="354"/>
      <c r="J355" s="354"/>
    </row>
    <row r="356" ht="15.75" customHeight="1">
      <c r="B356" s="309"/>
      <c r="D356" s="298"/>
      <c r="E356" s="299"/>
      <c r="F356" s="353"/>
      <c r="G356" s="299"/>
      <c r="H356" s="299"/>
      <c r="I356" s="354"/>
      <c r="J356" s="354"/>
    </row>
    <row r="357" ht="15.75" customHeight="1">
      <c r="B357" s="309"/>
      <c r="D357" s="298"/>
      <c r="E357" s="299"/>
      <c r="F357" s="353"/>
      <c r="G357" s="299"/>
      <c r="H357" s="299"/>
      <c r="I357" s="354"/>
      <c r="J357" s="354"/>
    </row>
    <row r="358" ht="15.75" customHeight="1">
      <c r="B358" s="309"/>
      <c r="D358" s="298"/>
      <c r="E358" s="299"/>
      <c r="F358" s="353"/>
      <c r="G358" s="299"/>
      <c r="H358" s="299"/>
      <c r="I358" s="354"/>
      <c r="J358" s="354"/>
    </row>
    <row r="359" ht="15.75" customHeight="1">
      <c r="B359" s="309"/>
      <c r="D359" s="298"/>
      <c r="E359" s="299"/>
      <c r="F359" s="353"/>
      <c r="G359" s="299"/>
      <c r="H359" s="299"/>
      <c r="I359" s="354"/>
      <c r="J359" s="354"/>
    </row>
    <row r="360" ht="15.75" customHeight="1">
      <c r="B360" s="309"/>
      <c r="D360" s="298"/>
      <c r="E360" s="299"/>
      <c r="F360" s="353"/>
      <c r="G360" s="299"/>
      <c r="H360" s="299"/>
      <c r="I360" s="354"/>
      <c r="J360" s="354"/>
    </row>
    <row r="361" ht="15.75" customHeight="1">
      <c r="B361" s="309"/>
      <c r="D361" s="298"/>
      <c r="E361" s="299"/>
      <c r="F361" s="353"/>
      <c r="G361" s="299"/>
      <c r="H361" s="299"/>
      <c r="I361" s="354"/>
      <c r="J361" s="354"/>
    </row>
    <row r="362" ht="15.75" customHeight="1">
      <c r="B362" s="309"/>
      <c r="D362" s="298"/>
      <c r="E362" s="299"/>
      <c r="F362" s="353"/>
      <c r="G362" s="299"/>
      <c r="H362" s="299"/>
      <c r="I362" s="354"/>
      <c r="J362" s="354"/>
    </row>
    <row r="363" ht="15.75" customHeight="1">
      <c r="B363" s="309"/>
      <c r="D363" s="298"/>
      <c r="E363" s="299"/>
      <c r="F363" s="353"/>
      <c r="G363" s="299"/>
      <c r="H363" s="299"/>
      <c r="I363" s="354"/>
      <c r="J363" s="354"/>
    </row>
    <row r="364" ht="15.75" customHeight="1">
      <c r="B364" s="309"/>
      <c r="D364" s="298"/>
      <c r="E364" s="299"/>
      <c r="F364" s="353"/>
      <c r="G364" s="299"/>
      <c r="H364" s="299"/>
      <c r="I364" s="354"/>
      <c r="J364" s="354"/>
    </row>
    <row r="365" ht="15.75" customHeight="1">
      <c r="B365" s="309"/>
      <c r="D365" s="298"/>
      <c r="E365" s="299"/>
      <c r="F365" s="353"/>
      <c r="G365" s="299"/>
      <c r="H365" s="299"/>
      <c r="I365" s="354"/>
      <c r="J365" s="354"/>
    </row>
    <row r="366" ht="15.75" customHeight="1">
      <c r="B366" s="309"/>
      <c r="D366" s="298"/>
      <c r="E366" s="299"/>
      <c r="F366" s="353"/>
      <c r="G366" s="299"/>
      <c r="H366" s="299"/>
      <c r="I366" s="354"/>
      <c r="J366" s="354"/>
    </row>
    <row r="367" ht="15.75" customHeight="1">
      <c r="B367" s="309"/>
      <c r="D367" s="298"/>
      <c r="E367" s="299"/>
      <c r="F367" s="353"/>
      <c r="G367" s="299"/>
      <c r="H367" s="299"/>
      <c r="I367" s="354"/>
      <c r="J367" s="354"/>
    </row>
    <row r="368" ht="15.75" customHeight="1">
      <c r="B368" s="309"/>
      <c r="D368" s="298"/>
      <c r="E368" s="299"/>
      <c r="F368" s="353"/>
      <c r="G368" s="299"/>
      <c r="H368" s="299"/>
      <c r="I368" s="354"/>
      <c r="J368" s="354"/>
    </row>
    <row r="369" ht="15.75" customHeight="1">
      <c r="B369" s="309"/>
      <c r="D369" s="298"/>
      <c r="E369" s="299"/>
      <c r="F369" s="353"/>
      <c r="G369" s="299"/>
      <c r="H369" s="299"/>
      <c r="I369" s="354"/>
      <c r="J369" s="354"/>
    </row>
    <row r="370" ht="15.75" customHeight="1">
      <c r="B370" s="309"/>
      <c r="D370" s="298"/>
      <c r="E370" s="299"/>
      <c r="F370" s="353"/>
      <c r="G370" s="299"/>
      <c r="H370" s="299"/>
      <c r="I370" s="354"/>
      <c r="J370" s="354"/>
    </row>
    <row r="371" ht="15.75" customHeight="1">
      <c r="B371" s="309"/>
      <c r="D371" s="298"/>
      <c r="E371" s="299"/>
      <c r="F371" s="353"/>
      <c r="G371" s="299"/>
      <c r="H371" s="299"/>
      <c r="I371" s="354"/>
      <c r="J371" s="354"/>
    </row>
    <row r="372" ht="15.75" customHeight="1">
      <c r="B372" s="309"/>
      <c r="D372" s="298"/>
      <c r="E372" s="299"/>
      <c r="F372" s="353"/>
      <c r="G372" s="299"/>
      <c r="H372" s="299"/>
      <c r="I372" s="354"/>
      <c r="J372" s="354"/>
    </row>
    <row r="373" ht="15.75" customHeight="1">
      <c r="B373" s="309"/>
      <c r="D373" s="298"/>
      <c r="E373" s="299"/>
      <c r="F373" s="353"/>
      <c r="G373" s="299"/>
      <c r="H373" s="299"/>
      <c r="I373" s="354"/>
      <c r="J373" s="354"/>
    </row>
    <row r="374" ht="15.75" customHeight="1">
      <c r="B374" s="309"/>
      <c r="D374" s="298"/>
      <c r="E374" s="299"/>
      <c r="F374" s="353"/>
      <c r="G374" s="299"/>
      <c r="H374" s="299"/>
      <c r="I374" s="354"/>
      <c r="J374" s="354"/>
    </row>
    <row r="375" ht="15.75" customHeight="1">
      <c r="B375" s="309"/>
      <c r="D375" s="298"/>
      <c r="E375" s="299"/>
      <c r="F375" s="353"/>
      <c r="G375" s="299"/>
      <c r="H375" s="299"/>
      <c r="I375" s="354"/>
      <c r="J375" s="354"/>
    </row>
    <row r="376" ht="15.75" customHeight="1">
      <c r="B376" s="309"/>
      <c r="D376" s="298"/>
      <c r="E376" s="299"/>
      <c r="F376" s="353"/>
      <c r="G376" s="299"/>
      <c r="H376" s="299"/>
      <c r="I376" s="354"/>
      <c r="J376" s="354"/>
    </row>
    <row r="377" ht="15.75" customHeight="1">
      <c r="B377" s="309"/>
      <c r="D377" s="298"/>
      <c r="E377" s="299"/>
      <c r="F377" s="353"/>
      <c r="G377" s="299"/>
      <c r="H377" s="299"/>
      <c r="I377" s="354"/>
      <c r="J377" s="354"/>
    </row>
    <row r="378" ht="15.75" customHeight="1">
      <c r="B378" s="309"/>
      <c r="D378" s="298"/>
      <c r="E378" s="299"/>
      <c r="F378" s="353"/>
      <c r="G378" s="299"/>
      <c r="H378" s="299"/>
      <c r="I378" s="354"/>
      <c r="J378" s="354"/>
    </row>
    <row r="379" ht="15.75" customHeight="1">
      <c r="B379" s="309"/>
      <c r="D379" s="298"/>
      <c r="E379" s="299"/>
      <c r="F379" s="353"/>
      <c r="G379" s="299"/>
      <c r="H379" s="299"/>
      <c r="I379" s="354"/>
      <c r="J379" s="354"/>
    </row>
    <row r="380" ht="15.75" customHeight="1">
      <c r="B380" s="309"/>
      <c r="D380" s="298"/>
      <c r="E380" s="299"/>
      <c r="F380" s="353"/>
      <c r="G380" s="299"/>
      <c r="H380" s="299"/>
      <c r="I380" s="354"/>
      <c r="J380" s="354"/>
    </row>
    <row r="381" ht="15.75" customHeight="1">
      <c r="B381" s="309"/>
      <c r="D381" s="298"/>
      <c r="E381" s="299"/>
      <c r="F381" s="353"/>
      <c r="G381" s="299"/>
      <c r="H381" s="299"/>
      <c r="I381" s="354"/>
      <c r="J381" s="354"/>
    </row>
    <row r="382" ht="15.75" customHeight="1">
      <c r="B382" s="309"/>
      <c r="D382" s="298"/>
      <c r="E382" s="299"/>
      <c r="F382" s="353"/>
      <c r="G382" s="299"/>
      <c r="H382" s="299"/>
      <c r="I382" s="354"/>
      <c r="J382" s="354"/>
    </row>
    <row r="383" ht="15.75" customHeight="1">
      <c r="B383" s="309"/>
      <c r="D383" s="298"/>
      <c r="E383" s="299"/>
      <c r="F383" s="353"/>
      <c r="G383" s="299"/>
      <c r="H383" s="299"/>
      <c r="I383" s="354"/>
      <c r="J383" s="354"/>
    </row>
    <row r="384" ht="15.75" customHeight="1">
      <c r="B384" s="309"/>
      <c r="D384" s="298"/>
      <c r="E384" s="299"/>
      <c r="F384" s="353"/>
      <c r="G384" s="299"/>
      <c r="H384" s="299"/>
      <c r="I384" s="354"/>
      <c r="J384" s="354"/>
    </row>
    <row r="385" ht="15.75" customHeight="1">
      <c r="B385" s="309"/>
      <c r="D385" s="298"/>
      <c r="E385" s="299"/>
      <c r="F385" s="353"/>
      <c r="G385" s="299"/>
      <c r="H385" s="299"/>
      <c r="I385" s="354"/>
      <c r="J385" s="354"/>
    </row>
    <row r="386" ht="15.75" customHeight="1">
      <c r="B386" s="309"/>
      <c r="D386" s="298"/>
      <c r="E386" s="299"/>
      <c r="F386" s="353"/>
      <c r="G386" s="299"/>
      <c r="H386" s="299"/>
      <c r="I386" s="354"/>
      <c r="J386" s="354"/>
    </row>
    <row r="387" ht="15.75" customHeight="1">
      <c r="B387" s="309"/>
      <c r="D387" s="298"/>
      <c r="E387" s="299"/>
      <c r="F387" s="353"/>
      <c r="G387" s="299"/>
      <c r="H387" s="299"/>
      <c r="I387" s="354"/>
      <c r="J387" s="354"/>
    </row>
    <row r="388" ht="15.75" customHeight="1">
      <c r="B388" s="309"/>
      <c r="D388" s="298"/>
      <c r="E388" s="299"/>
      <c r="F388" s="353"/>
      <c r="G388" s="299"/>
      <c r="H388" s="299"/>
      <c r="I388" s="354"/>
      <c r="J388" s="354"/>
    </row>
    <row r="389" ht="15.75" customHeight="1">
      <c r="B389" s="309"/>
      <c r="D389" s="298"/>
      <c r="E389" s="299"/>
      <c r="F389" s="353"/>
      <c r="G389" s="299"/>
      <c r="H389" s="299"/>
      <c r="I389" s="354"/>
      <c r="J389" s="354"/>
    </row>
    <row r="390" ht="15.75" customHeight="1">
      <c r="B390" s="309"/>
      <c r="D390" s="298"/>
      <c r="E390" s="299"/>
      <c r="F390" s="353"/>
      <c r="G390" s="299"/>
      <c r="H390" s="299"/>
      <c r="I390" s="354"/>
      <c r="J390" s="354"/>
    </row>
    <row r="391" ht="15.75" customHeight="1">
      <c r="B391" s="309"/>
      <c r="D391" s="298"/>
      <c r="E391" s="299"/>
      <c r="F391" s="353"/>
      <c r="G391" s="299"/>
      <c r="H391" s="299"/>
      <c r="I391" s="354"/>
      <c r="J391" s="354"/>
    </row>
    <row r="392" ht="15.75" customHeight="1">
      <c r="B392" s="309"/>
      <c r="D392" s="298"/>
      <c r="E392" s="299"/>
      <c r="F392" s="353"/>
      <c r="G392" s="299"/>
      <c r="H392" s="299"/>
      <c r="I392" s="354"/>
      <c r="J392" s="354"/>
    </row>
    <row r="393" ht="15.75" customHeight="1">
      <c r="B393" s="309"/>
      <c r="D393" s="298"/>
      <c r="E393" s="299"/>
      <c r="F393" s="353"/>
      <c r="G393" s="299"/>
      <c r="H393" s="299"/>
      <c r="I393" s="354"/>
      <c r="J393" s="354"/>
    </row>
    <row r="394" ht="15.75" customHeight="1">
      <c r="B394" s="309"/>
      <c r="D394" s="298"/>
      <c r="E394" s="299"/>
      <c r="F394" s="353"/>
      <c r="G394" s="299"/>
      <c r="H394" s="299"/>
      <c r="I394" s="354"/>
      <c r="J394" s="354"/>
    </row>
    <row r="395" ht="15.75" customHeight="1">
      <c r="B395" s="309"/>
      <c r="D395" s="298"/>
      <c r="E395" s="299"/>
      <c r="F395" s="353"/>
      <c r="G395" s="299"/>
      <c r="H395" s="299"/>
      <c r="I395" s="354"/>
      <c r="J395" s="354"/>
    </row>
    <row r="396" ht="15.75" customHeight="1">
      <c r="B396" s="309"/>
      <c r="D396" s="298"/>
      <c r="E396" s="299"/>
      <c r="F396" s="353"/>
      <c r="G396" s="299"/>
      <c r="H396" s="299"/>
      <c r="I396" s="354"/>
      <c r="J396" s="354"/>
    </row>
    <row r="397" ht="15.75" customHeight="1">
      <c r="B397" s="309"/>
      <c r="D397" s="298"/>
      <c r="E397" s="299"/>
      <c r="F397" s="353"/>
      <c r="G397" s="299"/>
      <c r="H397" s="299"/>
      <c r="I397" s="354"/>
      <c r="J397" s="354"/>
    </row>
    <row r="398" ht="15.75" customHeight="1">
      <c r="B398" s="309"/>
      <c r="D398" s="298"/>
      <c r="E398" s="299"/>
      <c r="F398" s="353"/>
      <c r="G398" s="299"/>
      <c r="H398" s="299"/>
      <c r="I398" s="354"/>
      <c r="J398" s="354"/>
    </row>
    <row r="399" ht="15.75" customHeight="1">
      <c r="B399" s="309"/>
      <c r="D399" s="298"/>
      <c r="E399" s="299"/>
      <c r="F399" s="353"/>
      <c r="G399" s="299"/>
      <c r="H399" s="299"/>
      <c r="I399" s="354"/>
      <c r="J399" s="354"/>
    </row>
    <row r="400" ht="15.75" customHeight="1">
      <c r="B400" s="309"/>
      <c r="D400" s="298"/>
      <c r="E400" s="299"/>
      <c r="F400" s="353"/>
      <c r="G400" s="299"/>
      <c r="H400" s="299"/>
      <c r="I400" s="354"/>
      <c r="J400" s="354"/>
    </row>
    <row r="401" ht="15.75" customHeight="1">
      <c r="B401" s="309"/>
      <c r="D401" s="298"/>
      <c r="E401" s="299"/>
      <c r="F401" s="353"/>
      <c r="G401" s="299"/>
      <c r="H401" s="299"/>
      <c r="I401" s="354"/>
      <c r="J401" s="354"/>
    </row>
    <row r="402" ht="15.75" customHeight="1">
      <c r="B402" s="309"/>
      <c r="D402" s="298"/>
      <c r="E402" s="299"/>
      <c r="F402" s="353"/>
      <c r="G402" s="299"/>
      <c r="H402" s="299"/>
      <c r="I402" s="354"/>
      <c r="J402" s="354"/>
    </row>
    <row r="403" ht="15.75" customHeight="1">
      <c r="B403" s="309"/>
      <c r="D403" s="298"/>
      <c r="E403" s="299"/>
      <c r="F403" s="353"/>
      <c r="G403" s="299"/>
      <c r="H403" s="299"/>
      <c r="I403" s="354"/>
      <c r="J403" s="354"/>
    </row>
    <row r="404" ht="15.75" customHeight="1">
      <c r="B404" s="309"/>
      <c r="D404" s="298"/>
      <c r="E404" s="299"/>
      <c r="F404" s="353"/>
      <c r="G404" s="299"/>
      <c r="H404" s="299"/>
      <c r="I404" s="354"/>
      <c r="J404" s="354"/>
    </row>
    <row r="405" ht="15.75" customHeight="1">
      <c r="B405" s="309"/>
      <c r="D405" s="298"/>
      <c r="E405" s="299"/>
      <c r="F405" s="353"/>
      <c r="G405" s="299"/>
      <c r="H405" s="299"/>
      <c r="I405" s="354"/>
      <c r="J405" s="354"/>
    </row>
    <row r="406" ht="15.75" customHeight="1">
      <c r="B406" s="309"/>
      <c r="D406" s="298"/>
      <c r="E406" s="299"/>
      <c r="F406" s="353"/>
      <c r="G406" s="299"/>
      <c r="H406" s="299"/>
      <c r="I406" s="354"/>
      <c r="J406" s="354"/>
    </row>
    <row r="407" ht="15.75" customHeight="1">
      <c r="B407" s="309"/>
      <c r="D407" s="298"/>
      <c r="E407" s="299"/>
      <c r="F407" s="353"/>
      <c r="G407" s="299"/>
      <c r="H407" s="299"/>
      <c r="I407" s="354"/>
      <c r="J407" s="354"/>
    </row>
    <row r="408" ht="15.75" customHeight="1">
      <c r="B408" s="309"/>
      <c r="D408" s="298"/>
      <c r="E408" s="299"/>
      <c r="F408" s="353"/>
      <c r="G408" s="299"/>
      <c r="H408" s="299"/>
      <c r="I408" s="354"/>
      <c r="J408" s="354"/>
    </row>
    <row r="409" ht="15.75" customHeight="1">
      <c r="B409" s="309"/>
      <c r="D409" s="298"/>
      <c r="E409" s="299"/>
      <c r="F409" s="353"/>
      <c r="G409" s="299"/>
      <c r="H409" s="299"/>
      <c r="I409" s="354"/>
      <c r="J409" s="354"/>
    </row>
    <row r="410" ht="15.75" customHeight="1">
      <c r="B410" s="309"/>
      <c r="D410" s="298"/>
      <c r="E410" s="299"/>
      <c r="F410" s="353"/>
      <c r="G410" s="299"/>
      <c r="H410" s="299"/>
      <c r="I410" s="354"/>
      <c r="J410" s="354"/>
    </row>
    <row r="411" ht="15.75" customHeight="1">
      <c r="B411" s="309"/>
      <c r="D411" s="298"/>
      <c r="E411" s="299"/>
      <c r="F411" s="353"/>
      <c r="G411" s="299"/>
      <c r="H411" s="299"/>
      <c r="I411" s="354"/>
      <c r="J411" s="354"/>
    </row>
    <row r="412" ht="15.75" customHeight="1">
      <c r="B412" s="309"/>
      <c r="D412" s="298"/>
      <c r="E412" s="299"/>
      <c r="F412" s="353"/>
      <c r="G412" s="299"/>
      <c r="H412" s="299"/>
      <c r="I412" s="354"/>
      <c r="J412" s="354"/>
    </row>
    <row r="413" ht="15.75" customHeight="1">
      <c r="B413" s="309"/>
      <c r="D413" s="298"/>
      <c r="E413" s="299"/>
      <c r="F413" s="353"/>
      <c r="G413" s="299"/>
      <c r="H413" s="299"/>
      <c r="I413" s="354"/>
      <c r="J413" s="354"/>
    </row>
    <row r="414" ht="15.75" customHeight="1">
      <c r="B414" s="309"/>
      <c r="D414" s="298"/>
      <c r="E414" s="299"/>
      <c r="F414" s="353"/>
      <c r="G414" s="299"/>
      <c r="H414" s="299"/>
      <c r="I414" s="354"/>
      <c r="J414" s="354"/>
    </row>
    <row r="415" ht="15.75" customHeight="1">
      <c r="B415" s="309"/>
      <c r="D415" s="298"/>
      <c r="E415" s="299"/>
      <c r="F415" s="353"/>
      <c r="G415" s="299"/>
      <c r="H415" s="299"/>
      <c r="I415" s="354"/>
      <c r="J415" s="354"/>
    </row>
    <row r="416" ht="15.75" customHeight="1">
      <c r="B416" s="309"/>
      <c r="D416" s="298"/>
      <c r="E416" s="299"/>
      <c r="F416" s="353"/>
      <c r="G416" s="299"/>
      <c r="H416" s="299"/>
      <c r="I416" s="354"/>
      <c r="J416" s="354"/>
    </row>
    <row r="417" ht="15.75" customHeight="1">
      <c r="B417" s="309"/>
      <c r="D417" s="298"/>
      <c r="E417" s="299"/>
      <c r="F417" s="353"/>
      <c r="G417" s="299"/>
      <c r="H417" s="299"/>
      <c r="I417" s="354"/>
      <c r="J417" s="354"/>
    </row>
    <row r="418" ht="15.75" customHeight="1">
      <c r="B418" s="309"/>
      <c r="D418" s="298"/>
      <c r="E418" s="299"/>
      <c r="F418" s="353"/>
      <c r="G418" s="299"/>
      <c r="H418" s="299"/>
      <c r="I418" s="354"/>
      <c r="J418" s="354"/>
    </row>
    <row r="419" ht="15.75" customHeight="1">
      <c r="B419" s="309"/>
      <c r="D419" s="298"/>
      <c r="E419" s="299"/>
      <c r="F419" s="353"/>
      <c r="G419" s="299"/>
      <c r="H419" s="299"/>
      <c r="I419" s="354"/>
      <c r="J419" s="354"/>
    </row>
    <row r="420" ht="15.75" customHeight="1">
      <c r="B420" s="309"/>
      <c r="D420" s="298"/>
      <c r="E420" s="299"/>
      <c r="F420" s="353"/>
      <c r="G420" s="299"/>
      <c r="H420" s="299"/>
      <c r="I420" s="354"/>
      <c r="J420" s="354"/>
    </row>
    <row r="421" ht="15.75" customHeight="1">
      <c r="B421" s="309"/>
      <c r="D421" s="298"/>
      <c r="E421" s="299"/>
      <c r="F421" s="353"/>
      <c r="G421" s="299"/>
      <c r="H421" s="299"/>
      <c r="I421" s="354"/>
      <c r="J421" s="354"/>
    </row>
    <row r="422" ht="15.75" customHeight="1">
      <c r="B422" s="309"/>
      <c r="D422" s="298"/>
      <c r="E422" s="299"/>
      <c r="F422" s="353"/>
      <c r="G422" s="299"/>
      <c r="H422" s="299"/>
      <c r="I422" s="354"/>
      <c r="J422" s="354"/>
    </row>
    <row r="423" ht="15.75" customHeight="1">
      <c r="B423" s="309"/>
      <c r="D423" s="298"/>
      <c r="E423" s="299"/>
      <c r="F423" s="353"/>
      <c r="G423" s="299"/>
      <c r="H423" s="299"/>
      <c r="I423" s="354"/>
      <c r="J423" s="354"/>
    </row>
    <row r="424" ht="15.75" customHeight="1">
      <c r="B424" s="309"/>
      <c r="D424" s="298"/>
      <c r="E424" s="299"/>
      <c r="F424" s="353"/>
      <c r="G424" s="299"/>
      <c r="H424" s="299"/>
      <c r="I424" s="354"/>
      <c r="J424" s="354"/>
    </row>
    <row r="425" ht="15.75" customHeight="1">
      <c r="B425" s="309"/>
      <c r="D425" s="298"/>
      <c r="E425" s="299"/>
      <c r="F425" s="353"/>
      <c r="G425" s="299"/>
      <c r="H425" s="299"/>
      <c r="I425" s="354"/>
      <c r="J425" s="354"/>
    </row>
    <row r="426" ht="15.75" customHeight="1">
      <c r="B426" s="309"/>
      <c r="D426" s="298"/>
      <c r="E426" s="299"/>
      <c r="F426" s="353"/>
      <c r="G426" s="299"/>
      <c r="H426" s="299"/>
      <c r="I426" s="354"/>
      <c r="J426" s="354"/>
    </row>
    <row r="427" ht="15.75" customHeight="1">
      <c r="B427" s="309"/>
      <c r="D427" s="298"/>
      <c r="E427" s="299"/>
      <c r="F427" s="353"/>
      <c r="G427" s="299"/>
      <c r="H427" s="299"/>
      <c r="I427" s="354"/>
      <c r="J427" s="354"/>
    </row>
    <row r="428" ht="15.75" customHeight="1">
      <c r="B428" s="309"/>
      <c r="D428" s="298"/>
      <c r="E428" s="299"/>
      <c r="F428" s="353"/>
      <c r="G428" s="299"/>
      <c r="H428" s="299"/>
      <c r="I428" s="354"/>
      <c r="J428" s="354"/>
    </row>
    <row r="429" ht="15.75" customHeight="1">
      <c r="B429" s="309"/>
      <c r="D429" s="298"/>
      <c r="E429" s="299"/>
      <c r="F429" s="353"/>
      <c r="G429" s="299"/>
      <c r="H429" s="299"/>
      <c r="I429" s="354"/>
      <c r="J429" s="354"/>
    </row>
    <row r="430" ht="15.75" customHeight="1">
      <c r="B430" s="309"/>
      <c r="D430" s="298"/>
      <c r="E430" s="299"/>
      <c r="F430" s="353"/>
      <c r="G430" s="299"/>
      <c r="H430" s="299"/>
      <c r="I430" s="354"/>
      <c r="J430" s="354"/>
    </row>
    <row r="431" ht="15.75" customHeight="1">
      <c r="B431" s="309"/>
      <c r="D431" s="298"/>
      <c r="E431" s="299"/>
      <c r="F431" s="353"/>
      <c r="G431" s="299"/>
      <c r="H431" s="299"/>
      <c r="I431" s="354"/>
      <c r="J431" s="354"/>
    </row>
    <row r="432" ht="15.75" customHeight="1">
      <c r="B432" s="309"/>
      <c r="D432" s="298"/>
      <c r="E432" s="299"/>
      <c r="F432" s="353"/>
      <c r="G432" s="299"/>
      <c r="H432" s="299"/>
      <c r="I432" s="354"/>
      <c r="J432" s="354"/>
    </row>
    <row r="433" ht="15.75" customHeight="1">
      <c r="B433" s="309"/>
      <c r="D433" s="298"/>
      <c r="E433" s="299"/>
      <c r="F433" s="353"/>
      <c r="G433" s="299"/>
      <c r="H433" s="299"/>
      <c r="I433" s="354"/>
      <c r="J433" s="354"/>
    </row>
    <row r="434" ht="15.75" customHeight="1">
      <c r="B434" s="309"/>
      <c r="D434" s="298"/>
      <c r="E434" s="299"/>
      <c r="F434" s="353"/>
      <c r="G434" s="299"/>
      <c r="H434" s="299"/>
      <c r="I434" s="354"/>
      <c r="J434" s="354"/>
    </row>
    <row r="435" ht="15.75" customHeight="1">
      <c r="B435" s="309"/>
      <c r="D435" s="298"/>
      <c r="E435" s="299"/>
      <c r="F435" s="353"/>
      <c r="G435" s="299"/>
      <c r="H435" s="299"/>
      <c r="I435" s="354"/>
      <c r="J435" s="354"/>
    </row>
    <row r="436" ht="15.75" customHeight="1">
      <c r="B436" s="309"/>
      <c r="D436" s="298"/>
      <c r="E436" s="299"/>
      <c r="F436" s="353"/>
      <c r="G436" s="299"/>
      <c r="H436" s="299"/>
      <c r="I436" s="354"/>
      <c r="J436" s="354"/>
    </row>
    <row r="437" ht="15.75" customHeight="1">
      <c r="B437" s="309"/>
      <c r="D437" s="298"/>
      <c r="E437" s="299"/>
      <c r="F437" s="353"/>
      <c r="G437" s="299"/>
      <c r="H437" s="299"/>
      <c r="I437" s="354"/>
      <c r="J437" s="354"/>
    </row>
    <row r="438" ht="15.75" customHeight="1">
      <c r="B438" s="309"/>
      <c r="D438" s="298"/>
      <c r="E438" s="299"/>
      <c r="F438" s="353"/>
      <c r="G438" s="299"/>
      <c r="H438" s="299"/>
      <c r="I438" s="354"/>
      <c r="J438" s="354"/>
    </row>
    <row r="439" ht="15.75" customHeight="1">
      <c r="B439" s="309"/>
      <c r="D439" s="298"/>
      <c r="E439" s="299"/>
      <c r="F439" s="353"/>
      <c r="G439" s="299"/>
      <c r="H439" s="299"/>
      <c r="I439" s="354"/>
      <c r="J439" s="354"/>
    </row>
    <row r="440" ht="15.75" customHeight="1">
      <c r="B440" s="309"/>
      <c r="D440" s="298"/>
      <c r="E440" s="299"/>
      <c r="F440" s="353"/>
      <c r="G440" s="299"/>
      <c r="H440" s="299"/>
      <c r="I440" s="354"/>
      <c r="J440" s="354"/>
    </row>
    <row r="441" ht="15.75" customHeight="1">
      <c r="B441" s="309"/>
      <c r="D441" s="298"/>
      <c r="E441" s="299"/>
      <c r="F441" s="353"/>
      <c r="G441" s="299"/>
      <c r="H441" s="299"/>
      <c r="I441" s="354"/>
      <c r="J441" s="354"/>
    </row>
    <row r="442" ht="15.75" customHeight="1">
      <c r="B442" s="309"/>
      <c r="D442" s="298"/>
      <c r="E442" s="299"/>
      <c r="F442" s="353"/>
      <c r="G442" s="299"/>
      <c r="H442" s="299"/>
      <c r="I442" s="354"/>
      <c r="J442" s="354"/>
    </row>
    <row r="443" ht="15.75" customHeight="1">
      <c r="B443" s="309"/>
      <c r="D443" s="298"/>
      <c r="E443" s="299"/>
      <c r="F443" s="353"/>
      <c r="G443" s="299"/>
      <c r="H443" s="299"/>
      <c r="I443" s="354"/>
      <c r="J443" s="354"/>
    </row>
    <row r="444" ht="15.75" customHeight="1">
      <c r="B444" s="309"/>
      <c r="D444" s="298"/>
      <c r="E444" s="299"/>
      <c r="F444" s="353"/>
      <c r="G444" s="299"/>
      <c r="H444" s="299"/>
      <c r="I444" s="354"/>
      <c r="J444" s="354"/>
    </row>
    <row r="445" ht="15.75" customHeight="1">
      <c r="B445" s="309"/>
      <c r="D445" s="298"/>
      <c r="E445" s="299"/>
      <c r="F445" s="353"/>
      <c r="G445" s="299"/>
      <c r="H445" s="299"/>
      <c r="I445" s="354"/>
      <c r="J445" s="354"/>
    </row>
    <row r="446" ht="15.75" customHeight="1">
      <c r="B446" s="309"/>
      <c r="D446" s="298"/>
      <c r="E446" s="299"/>
      <c r="F446" s="353"/>
      <c r="G446" s="299"/>
      <c r="H446" s="299"/>
      <c r="I446" s="354"/>
      <c r="J446" s="354"/>
    </row>
    <row r="447" ht="15.75" customHeight="1">
      <c r="B447" s="309"/>
      <c r="D447" s="298"/>
      <c r="E447" s="299"/>
      <c r="F447" s="353"/>
      <c r="G447" s="299"/>
      <c r="H447" s="299"/>
      <c r="I447" s="354"/>
      <c r="J447" s="354"/>
    </row>
    <row r="448" ht="15.75" customHeight="1">
      <c r="B448" s="309"/>
      <c r="D448" s="298"/>
      <c r="E448" s="299"/>
      <c r="F448" s="353"/>
      <c r="G448" s="299"/>
      <c r="H448" s="299"/>
      <c r="I448" s="354"/>
      <c r="J448" s="354"/>
    </row>
    <row r="449" ht="15.75" customHeight="1">
      <c r="B449" s="309"/>
      <c r="D449" s="298"/>
      <c r="E449" s="299"/>
      <c r="F449" s="353"/>
      <c r="G449" s="299"/>
      <c r="H449" s="299"/>
      <c r="I449" s="354"/>
      <c r="J449" s="354"/>
    </row>
    <row r="450" ht="15.75" customHeight="1">
      <c r="B450" s="309"/>
      <c r="D450" s="298"/>
      <c r="E450" s="299"/>
      <c r="F450" s="353"/>
      <c r="G450" s="299"/>
      <c r="H450" s="299"/>
      <c r="I450" s="354"/>
      <c r="J450" s="354"/>
    </row>
    <row r="451" ht="15.75" customHeight="1">
      <c r="B451" s="309"/>
      <c r="D451" s="298"/>
      <c r="E451" s="299"/>
      <c r="F451" s="353"/>
      <c r="G451" s="299"/>
      <c r="H451" s="299"/>
      <c r="I451" s="354"/>
      <c r="J451" s="354"/>
    </row>
    <row r="452" ht="15.75" customHeight="1">
      <c r="B452" s="309"/>
      <c r="D452" s="298"/>
      <c r="E452" s="299"/>
      <c r="F452" s="353"/>
      <c r="G452" s="299"/>
      <c r="H452" s="299"/>
      <c r="I452" s="354"/>
      <c r="J452" s="354"/>
    </row>
    <row r="453" ht="15.75" customHeight="1">
      <c r="B453" s="309"/>
      <c r="D453" s="298"/>
      <c r="E453" s="299"/>
      <c r="F453" s="353"/>
      <c r="G453" s="299"/>
      <c r="H453" s="299"/>
      <c r="I453" s="354"/>
      <c r="J453" s="354"/>
    </row>
    <row r="454" ht="15.75" customHeight="1">
      <c r="B454" s="309"/>
      <c r="D454" s="298"/>
      <c r="E454" s="299"/>
      <c r="F454" s="353"/>
      <c r="G454" s="299"/>
      <c r="H454" s="299"/>
      <c r="I454" s="354"/>
      <c r="J454" s="354"/>
    </row>
    <row r="455" ht="15.75" customHeight="1">
      <c r="B455" s="309"/>
      <c r="D455" s="298"/>
      <c r="E455" s="299"/>
      <c r="F455" s="353"/>
      <c r="G455" s="299"/>
      <c r="H455" s="299"/>
      <c r="I455" s="354"/>
      <c r="J455" s="354"/>
    </row>
    <row r="456" ht="15.75" customHeight="1">
      <c r="B456" s="309"/>
      <c r="D456" s="298"/>
      <c r="E456" s="299"/>
      <c r="F456" s="353"/>
      <c r="G456" s="299"/>
      <c r="H456" s="299"/>
      <c r="I456" s="354"/>
      <c r="J456" s="354"/>
    </row>
    <row r="457" ht="15.75" customHeight="1">
      <c r="B457" s="309"/>
      <c r="D457" s="298"/>
      <c r="E457" s="299"/>
      <c r="F457" s="353"/>
      <c r="G457" s="299"/>
      <c r="H457" s="299"/>
      <c r="I457" s="354"/>
      <c r="J457" s="354"/>
    </row>
    <row r="458" ht="15.75" customHeight="1">
      <c r="B458" s="309"/>
      <c r="D458" s="298"/>
      <c r="E458" s="299"/>
      <c r="F458" s="353"/>
      <c r="G458" s="299"/>
      <c r="H458" s="299"/>
      <c r="I458" s="354"/>
      <c r="J458" s="354"/>
    </row>
    <row r="459" ht="15.75" customHeight="1">
      <c r="B459" s="309"/>
      <c r="D459" s="298"/>
      <c r="E459" s="299"/>
      <c r="F459" s="353"/>
      <c r="G459" s="299"/>
      <c r="H459" s="299"/>
      <c r="I459" s="354"/>
      <c r="J459" s="354"/>
    </row>
    <row r="460" ht="15.75" customHeight="1">
      <c r="B460" s="309"/>
      <c r="D460" s="298"/>
      <c r="E460" s="299"/>
      <c r="F460" s="353"/>
      <c r="G460" s="299"/>
      <c r="H460" s="299"/>
      <c r="I460" s="354"/>
      <c r="J460" s="354"/>
    </row>
    <row r="461" ht="15.75" customHeight="1">
      <c r="B461" s="309"/>
      <c r="D461" s="298"/>
      <c r="E461" s="299"/>
      <c r="F461" s="353"/>
      <c r="G461" s="299"/>
      <c r="H461" s="299"/>
      <c r="I461" s="354"/>
      <c r="J461" s="354"/>
    </row>
    <row r="462" ht="15.75" customHeight="1">
      <c r="B462" s="309"/>
      <c r="D462" s="298"/>
      <c r="E462" s="299"/>
      <c r="F462" s="353"/>
      <c r="G462" s="299"/>
      <c r="H462" s="299"/>
      <c r="I462" s="354"/>
      <c r="J462" s="354"/>
    </row>
    <row r="463" ht="15.75" customHeight="1">
      <c r="B463" s="309"/>
      <c r="D463" s="298"/>
      <c r="E463" s="299"/>
      <c r="F463" s="353"/>
      <c r="G463" s="299"/>
      <c r="H463" s="299"/>
      <c r="I463" s="354"/>
      <c r="J463" s="354"/>
    </row>
    <row r="464" ht="15.75" customHeight="1">
      <c r="B464" s="309"/>
      <c r="D464" s="298"/>
      <c r="E464" s="299"/>
      <c r="F464" s="353"/>
      <c r="G464" s="299"/>
      <c r="H464" s="299"/>
      <c r="I464" s="354"/>
      <c r="J464" s="354"/>
    </row>
    <row r="465" ht="15.75" customHeight="1">
      <c r="B465" s="309"/>
      <c r="D465" s="298"/>
      <c r="E465" s="299"/>
      <c r="F465" s="353"/>
      <c r="G465" s="299"/>
      <c r="H465" s="299"/>
      <c r="I465" s="354"/>
      <c r="J465" s="354"/>
    </row>
    <row r="466" ht="15.75" customHeight="1">
      <c r="B466" s="309"/>
      <c r="D466" s="298"/>
      <c r="E466" s="299"/>
      <c r="F466" s="353"/>
      <c r="G466" s="299"/>
      <c r="H466" s="299"/>
      <c r="I466" s="354"/>
      <c r="J466" s="354"/>
    </row>
    <row r="467" ht="15.75" customHeight="1">
      <c r="B467" s="309"/>
      <c r="D467" s="298"/>
      <c r="E467" s="299"/>
      <c r="F467" s="353"/>
      <c r="G467" s="299"/>
      <c r="H467" s="299"/>
      <c r="I467" s="354"/>
      <c r="J467" s="354"/>
    </row>
    <row r="468" ht="15.75" customHeight="1">
      <c r="B468" s="309"/>
      <c r="D468" s="298"/>
      <c r="E468" s="299"/>
      <c r="F468" s="353"/>
      <c r="G468" s="299"/>
      <c r="H468" s="299"/>
      <c r="I468" s="354"/>
      <c r="J468" s="354"/>
    </row>
    <row r="469" ht="15.75" customHeight="1">
      <c r="B469" s="309"/>
      <c r="D469" s="298"/>
      <c r="E469" s="299"/>
      <c r="F469" s="353"/>
      <c r="G469" s="299"/>
      <c r="H469" s="299"/>
      <c r="I469" s="354"/>
      <c r="J469" s="354"/>
    </row>
    <row r="470" ht="15.75" customHeight="1">
      <c r="B470" s="309"/>
      <c r="D470" s="298"/>
      <c r="E470" s="299"/>
      <c r="F470" s="353"/>
      <c r="G470" s="299"/>
      <c r="H470" s="299"/>
      <c r="I470" s="354"/>
      <c r="J470" s="354"/>
    </row>
    <row r="471" ht="15.75" customHeight="1">
      <c r="B471" s="309"/>
      <c r="D471" s="298"/>
      <c r="E471" s="299"/>
      <c r="F471" s="353"/>
      <c r="G471" s="299"/>
      <c r="H471" s="299"/>
      <c r="I471" s="354"/>
      <c r="J471" s="354"/>
    </row>
    <row r="472" ht="15.75" customHeight="1">
      <c r="B472" s="309"/>
      <c r="D472" s="298"/>
      <c r="E472" s="299"/>
      <c r="F472" s="353"/>
      <c r="G472" s="299"/>
      <c r="H472" s="299"/>
      <c r="I472" s="354"/>
      <c r="J472" s="354"/>
    </row>
    <row r="473" ht="15.75" customHeight="1">
      <c r="B473" s="309"/>
      <c r="D473" s="298"/>
      <c r="E473" s="299"/>
      <c r="F473" s="353"/>
      <c r="G473" s="299"/>
      <c r="H473" s="299"/>
      <c r="I473" s="354"/>
      <c r="J473" s="354"/>
    </row>
    <row r="474" ht="15.75" customHeight="1">
      <c r="B474" s="309"/>
      <c r="D474" s="298"/>
      <c r="E474" s="299"/>
      <c r="F474" s="353"/>
      <c r="G474" s="299"/>
      <c r="H474" s="299"/>
      <c r="I474" s="354"/>
      <c r="J474" s="354"/>
    </row>
    <row r="475" ht="15.75" customHeight="1">
      <c r="B475" s="309"/>
      <c r="D475" s="298"/>
      <c r="E475" s="299"/>
      <c r="F475" s="353"/>
      <c r="G475" s="299"/>
      <c r="H475" s="299"/>
      <c r="I475" s="354"/>
      <c r="J475" s="354"/>
    </row>
    <row r="476" ht="15.75" customHeight="1">
      <c r="B476" s="309"/>
      <c r="D476" s="298"/>
      <c r="E476" s="299"/>
      <c r="F476" s="353"/>
      <c r="G476" s="299"/>
      <c r="H476" s="299"/>
      <c r="I476" s="354"/>
      <c r="J476" s="354"/>
    </row>
    <row r="477" ht="15.75" customHeight="1">
      <c r="B477" s="309"/>
      <c r="D477" s="298"/>
      <c r="E477" s="299"/>
      <c r="F477" s="353"/>
      <c r="G477" s="299"/>
      <c r="H477" s="299"/>
      <c r="I477" s="354"/>
      <c r="J477" s="354"/>
    </row>
    <row r="478" ht="15.75" customHeight="1">
      <c r="B478" s="309"/>
      <c r="D478" s="298"/>
      <c r="E478" s="299"/>
      <c r="F478" s="353"/>
      <c r="G478" s="299"/>
      <c r="H478" s="299"/>
      <c r="I478" s="354"/>
      <c r="J478" s="354"/>
    </row>
    <row r="479" ht="15.75" customHeight="1">
      <c r="B479" s="309"/>
      <c r="D479" s="298"/>
      <c r="E479" s="299"/>
      <c r="F479" s="353"/>
      <c r="G479" s="299"/>
      <c r="H479" s="299"/>
      <c r="I479" s="354"/>
      <c r="J479" s="354"/>
    </row>
    <row r="480" ht="15.75" customHeight="1">
      <c r="B480" s="309"/>
      <c r="D480" s="298"/>
      <c r="E480" s="299"/>
      <c r="F480" s="353"/>
      <c r="G480" s="299"/>
      <c r="H480" s="299"/>
      <c r="I480" s="354"/>
      <c r="J480" s="354"/>
    </row>
    <row r="481" ht="15.75" customHeight="1">
      <c r="B481" s="309"/>
      <c r="D481" s="298"/>
      <c r="E481" s="299"/>
      <c r="F481" s="353"/>
      <c r="G481" s="299"/>
      <c r="H481" s="299"/>
      <c r="I481" s="354"/>
      <c r="J481" s="354"/>
    </row>
    <row r="482" ht="15.75" customHeight="1">
      <c r="B482" s="309"/>
      <c r="D482" s="298"/>
      <c r="E482" s="299"/>
      <c r="F482" s="353"/>
      <c r="G482" s="299"/>
      <c r="H482" s="299"/>
      <c r="I482" s="354"/>
      <c r="J482" s="354"/>
    </row>
    <row r="483" ht="15.75" customHeight="1">
      <c r="B483" s="309"/>
      <c r="D483" s="298"/>
      <c r="E483" s="299"/>
      <c r="F483" s="353"/>
      <c r="G483" s="299"/>
      <c r="H483" s="299"/>
      <c r="I483" s="354"/>
      <c r="J483" s="354"/>
    </row>
    <row r="484" ht="15.75" customHeight="1">
      <c r="B484" s="309"/>
      <c r="D484" s="298"/>
      <c r="E484" s="299"/>
      <c r="F484" s="353"/>
      <c r="G484" s="299"/>
      <c r="H484" s="299"/>
      <c r="I484" s="354"/>
      <c r="J484" s="354"/>
    </row>
    <row r="485" ht="15.75" customHeight="1">
      <c r="B485" s="309"/>
      <c r="D485" s="298"/>
      <c r="E485" s="299"/>
      <c r="F485" s="353"/>
      <c r="G485" s="299"/>
      <c r="H485" s="299"/>
      <c r="I485" s="354"/>
      <c r="J485" s="354"/>
    </row>
    <row r="486" ht="15.75" customHeight="1">
      <c r="B486" s="309"/>
      <c r="D486" s="298"/>
      <c r="E486" s="299"/>
      <c r="F486" s="353"/>
      <c r="G486" s="299"/>
      <c r="H486" s="299"/>
      <c r="I486" s="354"/>
      <c r="J486" s="354"/>
    </row>
    <row r="487" ht="15.75" customHeight="1">
      <c r="B487" s="309"/>
      <c r="D487" s="298"/>
      <c r="E487" s="299"/>
      <c r="F487" s="353"/>
      <c r="G487" s="299"/>
      <c r="H487" s="299"/>
      <c r="I487" s="354"/>
      <c r="J487" s="354"/>
    </row>
    <row r="488" ht="15.75" customHeight="1">
      <c r="B488" s="309"/>
      <c r="D488" s="298"/>
      <c r="E488" s="299"/>
      <c r="F488" s="353"/>
      <c r="G488" s="299"/>
      <c r="H488" s="299"/>
      <c r="I488" s="354"/>
      <c r="J488" s="354"/>
    </row>
    <row r="489" ht="15.75" customHeight="1">
      <c r="B489" s="309"/>
      <c r="D489" s="298"/>
      <c r="E489" s="299"/>
      <c r="F489" s="353"/>
      <c r="G489" s="299"/>
      <c r="H489" s="299"/>
      <c r="I489" s="354"/>
      <c r="J489" s="354"/>
    </row>
    <row r="490" ht="15.75" customHeight="1">
      <c r="B490" s="309"/>
      <c r="D490" s="298"/>
      <c r="E490" s="299"/>
      <c r="F490" s="353"/>
      <c r="G490" s="299"/>
      <c r="H490" s="299"/>
      <c r="I490" s="354"/>
      <c r="J490" s="354"/>
    </row>
    <row r="491" ht="15.75" customHeight="1">
      <c r="B491" s="309"/>
      <c r="D491" s="298"/>
      <c r="E491" s="299"/>
      <c r="F491" s="353"/>
      <c r="G491" s="299"/>
      <c r="H491" s="299"/>
      <c r="I491" s="354"/>
      <c r="J491" s="354"/>
    </row>
    <row r="492" ht="15.75" customHeight="1">
      <c r="B492" s="309"/>
      <c r="D492" s="298"/>
      <c r="E492" s="299"/>
      <c r="F492" s="353"/>
      <c r="G492" s="299"/>
      <c r="H492" s="299"/>
      <c r="I492" s="354"/>
      <c r="J492" s="354"/>
    </row>
    <row r="493" ht="15.75" customHeight="1">
      <c r="B493" s="309"/>
      <c r="D493" s="298"/>
      <c r="E493" s="299"/>
      <c r="F493" s="353"/>
      <c r="G493" s="299"/>
      <c r="H493" s="299"/>
      <c r="I493" s="354"/>
      <c r="J493" s="354"/>
    </row>
    <row r="494" ht="15.75" customHeight="1">
      <c r="B494" s="309"/>
      <c r="D494" s="298"/>
      <c r="E494" s="299"/>
      <c r="F494" s="353"/>
      <c r="G494" s="299"/>
      <c r="H494" s="299"/>
      <c r="I494" s="354"/>
      <c r="J494" s="354"/>
    </row>
    <row r="495" ht="15.75" customHeight="1">
      <c r="B495" s="309"/>
      <c r="D495" s="298"/>
      <c r="E495" s="299"/>
      <c r="F495" s="353"/>
      <c r="G495" s="299"/>
      <c r="H495" s="299"/>
      <c r="I495" s="354"/>
      <c r="J495" s="354"/>
    </row>
    <row r="496" ht="15.75" customHeight="1">
      <c r="B496" s="309"/>
      <c r="D496" s="298"/>
      <c r="E496" s="299"/>
      <c r="F496" s="353"/>
      <c r="G496" s="299"/>
      <c r="H496" s="299"/>
      <c r="I496" s="354"/>
      <c r="J496" s="354"/>
    </row>
    <row r="497" ht="15.75" customHeight="1">
      <c r="B497" s="309"/>
      <c r="D497" s="298"/>
      <c r="E497" s="299"/>
      <c r="F497" s="353"/>
      <c r="G497" s="299"/>
      <c r="H497" s="299"/>
      <c r="I497" s="354"/>
      <c r="J497" s="354"/>
    </row>
    <row r="498" ht="15.75" customHeight="1">
      <c r="B498" s="309"/>
      <c r="D498" s="298"/>
      <c r="E498" s="299"/>
      <c r="F498" s="353"/>
      <c r="G498" s="299"/>
      <c r="H498" s="299"/>
      <c r="I498" s="354"/>
      <c r="J498" s="354"/>
    </row>
    <row r="499" ht="15.75" customHeight="1">
      <c r="B499" s="309"/>
      <c r="D499" s="298"/>
      <c r="E499" s="299"/>
      <c r="F499" s="353"/>
      <c r="G499" s="299"/>
      <c r="H499" s="299"/>
      <c r="I499" s="354"/>
      <c r="J499" s="354"/>
    </row>
    <row r="500" ht="15.75" customHeight="1">
      <c r="B500" s="309"/>
      <c r="D500" s="298"/>
      <c r="E500" s="299"/>
      <c r="F500" s="353"/>
      <c r="G500" s="299"/>
      <c r="H500" s="299"/>
      <c r="I500" s="354"/>
      <c r="J500" s="354"/>
    </row>
    <row r="501" ht="15.75" customHeight="1">
      <c r="B501" s="309"/>
      <c r="D501" s="298"/>
      <c r="E501" s="299"/>
      <c r="F501" s="353"/>
      <c r="G501" s="299"/>
      <c r="H501" s="299"/>
      <c r="I501" s="354"/>
      <c r="J501" s="354"/>
    </row>
    <row r="502" ht="15.75" customHeight="1">
      <c r="B502" s="309"/>
      <c r="D502" s="298"/>
      <c r="E502" s="299"/>
      <c r="F502" s="353"/>
      <c r="G502" s="299"/>
      <c r="H502" s="299"/>
      <c r="I502" s="354"/>
      <c r="J502" s="354"/>
    </row>
    <row r="503" ht="15.75" customHeight="1">
      <c r="B503" s="309"/>
      <c r="D503" s="298"/>
      <c r="E503" s="299"/>
      <c r="F503" s="353"/>
      <c r="G503" s="299"/>
      <c r="H503" s="299"/>
      <c r="I503" s="354"/>
      <c r="J503" s="354"/>
    </row>
    <row r="504" ht="15.75" customHeight="1">
      <c r="B504" s="309"/>
      <c r="D504" s="298"/>
      <c r="E504" s="299"/>
      <c r="F504" s="353"/>
      <c r="G504" s="299"/>
      <c r="H504" s="299"/>
      <c r="I504" s="354"/>
      <c r="J504" s="354"/>
    </row>
    <row r="505" ht="15.75" customHeight="1">
      <c r="B505" s="309"/>
      <c r="D505" s="298"/>
      <c r="E505" s="299"/>
      <c r="F505" s="353"/>
      <c r="G505" s="299"/>
      <c r="H505" s="299"/>
      <c r="I505" s="354"/>
      <c r="J505" s="354"/>
    </row>
    <row r="506" ht="15.75" customHeight="1">
      <c r="B506" s="309"/>
      <c r="D506" s="298"/>
      <c r="E506" s="299"/>
      <c r="F506" s="353"/>
      <c r="G506" s="299"/>
      <c r="H506" s="299"/>
      <c r="I506" s="354"/>
      <c r="J506" s="354"/>
    </row>
    <row r="507" ht="15.75" customHeight="1">
      <c r="B507" s="309"/>
      <c r="D507" s="298"/>
      <c r="E507" s="299"/>
      <c r="F507" s="353"/>
      <c r="G507" s="299"/>
      <c r="H507" s="299"/>
      <c r="I507" s="354"/>
      <c r="J507" s="354"/>
    </row>
    <row r="508" ht="15.75" customHeight="1">
      <c r="B508" s="309"/>
      <c r="D508" s="298"/>
      <c r="E508" s="299"/>
      <c r="F508" s="353"/>
      <c r="G508" s="299"/>
      <c r="H508" s="299"/>
      <c r="I508" s="354"/>
      <c r="J508" s="354"/>
    </row>
    <row r="509" ht="15.75" customHeight="1">
      <c r="B509" s="309"/>
      <c r="D509" s="298"/>
      <c r="E509" s="299"/>
      <c r="F509" s="353"/>
      <c r="G509" s="299"/>
      <c r="H509" s="299"/>
      <c r="I509" s="354"/>
      <c r="J509" s="354"/>
    </row>
    <row r="510" ht="15.75" customHeight="1">
      <c r="B510" s="309"/>
      <c r="D510" s="298"/>
      <c r="E510" s="299"/>
      <c r="F510" s="353"/>
      <c r="G510" s="299"/>
      <c r="H510" s="299"/>
      <c r="I510" s="354"/>
      <c r="J510" s="354"/>
    </row>
    <row r="511" ht="15.75" customHeight="1">
      <c r="B511" s="309"/>
      <c r="D511" s="298"/>
      <c r="E511" s="299"/>
      <c r="F511" s="353"/>
      <c r="G511" s="299"/>
      <c r="H511" s="299"/>
      <c r="I511" s="354"/>
      <c r="J511" s="354"/>
    </row>
    <row r="512" ht="15.75" customHeight="1">
      <c r="B512" s="309"/>
      <c r="D512" s="298"/>
      <c r="E512" s="299"/>
      <c r="F512" s="353"/>
      <c r="G512" s="299"/>
      <c r="H512" s="299"/>
      <c r="I512" s="354"/>
      <c r="J512" s="354"/>
    </row>
    <row r="513" ht="15.75" customHeight="1">
      <c r="B513" s="309"/>
      <c r="D513" s="298"/>
      <c r="E513" s="299"/>
      <c r="F513" s="353"/>
      <c r="G513" s="299"/>
      <c r="H513" s="299"/>
      <c r="I513" s="354"/>
      <c r="J513" s="354"/>
    </row>
    <row r="514" ht="15.75" customHeight="1">
      <c r="B514" s="309"/>
      <c r="D514" s="298"/>
      <c r="E514" s="299"/>
      <c r="F514" s="353"/>
      <c r="G514" s="299"/>
      <c r="H514" s="299"/>
      <c r="I514" s="354"/>
      <c r="J514" s="354"/>
    </row>
    <row r="515" ht="15.75" customHeight="1">
      <c r="B515" s="309"/>
      <c r="D515" s="298"/>
      <c r="E515" s="299"/>
      <c r="F515" s="353"/>
      <c r="G515" s="299"/>
      <c r="H515" s="299"/>
      <c r="I515" s="354"/>
      <c r="J515" s="354"/>
    </row>
    <row r="516" ht="15.75" customHeight="1">
      <c r="B516" s="309"/>
      <c r="D516" s="298"/>
      <c r="E516" s="299"/>
      <c r="F516" s="353"/>
      <c r="G516" s="299"/>
      <c r="H516" s="299"/>
      <c r="I516" s="354"/>
      <c r="J516" s="354"/>
    </row>
    <row r="517" ht="15.75" customHeight="1">
      <c r="B517" s="309"/>
      <c r="D517" s="298"/>
      <c r="E517" s="299"/>
      <c r="F517" s="353"/>
      <c r="G517" s="299"/>
      <c r="H517" s="299"/>
      <c r="I517" s="354"/>
      <c r="J517" s="354"/>
    </row>
    <row r="518" ht="15.75" customHeight="1">
      <c r="B518" s="309"/>
      <c r="D518" s="298"/>
      <c r="E518" s="299"/>
      <c r="F518" s="353"/>
      <c r="G518" s="299"/>
      <c r="H518" s="299"/>
      <c r="I518" s="354"/>
      <c r="J518" s="354"/>
    </row>
    <row r="519" ht="15.75" customHeight="1">
      <c r="B519" s="309"/>
      <c r="D519" s="298"/>
      <c r="E519" s="299"/>
      <c r="F519" s="353"/>
      <c r="G519" s="299"/>
      <c r="H519" s="299"/>
      <c r="I519" s="354"/>
      <c r="J519" s="354"/>
    </row>
    <row r="520" ht="15.75" customHeight="1">
      <c r="B520" s="309"/>
      <c r="D520" s="298"/>
      <c r="E520" s="299"/>
      <c r="F520" s="353"/>
      <c r="G520" s="299"/>
      <c r="H520" s="299"/>
      <c r="I520" s="354"/>
      <c r="J520" s="354"/>
    </row>
    <row r="521" ht="15.75" customHeight="1">
      <c r="B521" s="309"/>
      <c r="D521" s="298"/>
      <c r="E521" s="299"/>
      <c r="F521" s="353"/>
      <c r="G521" s="299"/>
      <c r="H521" s="299"/>
      <c r="I521" s="354"/>
      <c r="J521" s="354"/>
    </row>
    <row r="522" ht="15.75" customHeight="1">
      <c r="B522" s="309"/>
      <c r="D522" s="298"/>
      <c r="E522" s="299"/>
      <c r="F522" s="353"/>
      <c r="G522" s="299"/>
      <c r="H522" s="299"/>
      <c r="I522" s="354"/>
      <c r="J522" s="354"/>
    </row>
    <row r="523" ht="15.75" customHeight="1">
      <c r="B523" s="309"/>
      <c r="D523" s="298"/>
      <c r="E523" s="299"/>
      <c r="F523" s="353"/>
      <c r="G523" s="299"/>
      <c r="H523" s="299"/>
      <c r="I523" s="354"/>
      <c r="J523" s="354"/>
    </row>
    <row r="524" ht="15.75" customHeight="1">
      <c r="B524" s="309"/>
      <c r="D524" s="298"/>
      <c r="E524" s="299"/>
      <c r="F524" s="353"/>
      <c r="G524" s="299"/>
      <c r="H524" s="299"/>
      <c r="I524" s="354"/>
      <c r="J524" s="354"/>
    </row>
    <row r="525" ht="15.75" customHeight="1">
      <c r="B525" s="309"/>
      <c r="D525" s="298"/>
      <c r="E525" s="299"/>
      <c r="F525" s="353"/>
      <c r="G525" s="299"/>
      <c r="H525" s="299"/>
      <c r="I525" s="354"/>
      <c r="J525" s="354"/>
    </row>
    <row r="526" ht="15.75" customHeight="1">
      <c r="B526" s="309"/>
      <c r="D526" s="298"/>
      <c r="E526" s="299"/>
      <c r="F526" s="353"/>
      <c r="G526" s="299"/>
      <c r="H526" s="299"/>
      <c r="I526" s="354"/>
      <c r="J526" s="354"/>
    </row>
    <row r="527" ht="15.75" customHeight="1">
      <c r="B527" s="309"/>
      <c r="D527" s="298"/>
      <c r="E527" s="299"/>
      <c r="F527" s="353"/>
      <c r="G527" s="299"/>
      <c r="H527" s="299"/>
      <c r="I527" s="354"/>
      <c r="J527" s="354"/>
    </row>
    <row r="528" ht="15.75" customHeight="1">
      <c r="B528" s="309"/>
      <c r="D528" s="298"/>
      <c r="E528" s="299"/>
      <c r="F528" s="353"/>
      <c r="G528" s="299"/>
      <c r="H528" s="299"/>
      <c r="I528" s="354"/>
      <c r="J528" s="354"/>
    </row>
    <row r="529" ht="15.75" customHeight="1">
      <c r="B529" s="309"/>
      <c r="D529" s="298"/>
      <c r="E529" s="299"/>
      <c r="F529" s="353"/>
      <c r="G529" s="299"/>
      <c r="H529" s="299"/>
      <c r="I529" s="354"/>
      <c r="J529" s="354"/>
    </row>
    <row r="530" ht="15.75" customHeight="1">
      <c r="B530" s="309"/>
      <c r="D530" s="298"/>
      <c r="E530" s="299"/>
      <c r="F530" s="353"/>
      <c r="G530" s="299"/>
      <c r="H530" s="299"/>
      <c r="I530" s="354"/>
      <c r="J530" s="354"/>
    </row>
    <row r="531" ht="15.75" customHeight="1">
      <c r="B531" s="309"/>
      <c r="D531" s="298"/>
      <c r="E531" s="299"/>
      <c r="F531" s="353"/>
      <c r="G531" s="299"/>
      <c r="H531" s="299"/>
      <c r="I531" s="354"/>
      <c r="J531" s="354"/>
    </row>
    <row r="532" ht="15.75" customHeight="1">
      <c r="B532" s="309"/>
      <c r="D532" s="298"/>
      <c r="E532" s="299"/>
      <c r="F532" s="353"/>
      <c r="G532" s="299"/>
      <c r="H532" s="299"/>
      <c r="I532" s="354"/>
      <c r="J532" s="354"/>
    </row>
    <row r="533" ht="15.75" customHeight="1">
      <c r="B533" s="309"/>
      <c r="D533" s="298"/>
      <c r="E533" s="299"/>
      <c r="F533" s="353"/>
      <c r="G533" s="299"/>
      <c r="H533" s="299"/>
      <c r="I533" s="354"/>
      <c r="J533" s="354"/>
    </row>
    <row r="534" ht="15.75" customHeight="1">
      <c r="B534" s="309"/>
      <c r="D534" s="298"/>
      <c r="E534" s="299"/>
      <c r="F534" s="353"/>
      <c r="G534" s="299"/>
      <c r="H534" s="299"/>
      <c r="I534" s="354"/>
      <c r="J534" s="354"/>
    </row>
    <row r="535" ht="15.75" customHeight="1">
      <c r="B535" s="309"/>
      <c r="D535" s="298"/>
      <c r="E535" s="299"/>
      <c r="F535" s="353"/>
      <c r="G535" s="299"/>
      <c r="H535" s="299"/>
      <c r="I535" s="354"/>
      <c r="J535" s="354"/>
    </row>
    <row r="536" ht="15.75" customHeight="1">
      <c r="B536" s="309"/>
      <c r="D536" s="298"/>
      <c r="E536" s="299"/>
      <c r="F536" s="353"/>
      <c r="G536" s="299"/>
      <c r="H536" s="299"/>
      <c r="I536" s="354"/>
      <c r="J536" s="354"/>
    </row>
    <row r="537" ht="15.75" customHeight="1">
      <c r="B537" s="309"/>
      <c r="D537" s="298"/>
      <c r="E537" s="299"/>
      <c r="F537" s="353"/>
      <c r="G537" s="299"/>
      <c r="H537" s="299"/>
      <c r="I537" s="354"/>
      <c r="J537" s="354"/>
    </row>
    <row r="538" ht="15.75" customHeight="1">
      <c r="B538" s="309"/>
      <c r="D538" s="298"/>
      <c r="E538" s="299"/>
      <c r="F538" s="353"/>
      <c r="G538" s="299"/>
      <c r="H538" s="299"/>
      <c r="I538" s="354"/>
      <c r="J538" s="354"/>
    </row>
    <row r="539" ht="15.75" customHeight="1">
      <c r="B539" s="309"/>
      <c r="D539" s="298"/>
      <c r="E539" s="299"/>
      <c r="F539" s="353"/>
      <c r="G539" s="299"/>
      <c r="H539" s="299"/>
      <c r="I539" s="354"/>
      <c r="J539" s="354"/>
    </row>
    <row r="540" ht="15.75" customHeight="1">
      <c r="B540" s="309"/>
      <c r="D540" s="298"/>
      <c r="E540" s="299"/>
      <c r="F540" s="353"/>
      <c r="G540" s="299"/>
      <c r="H540" s="299"/>
      <c r="I540" s="354"/>
      <c r="J540" s="354"/>
    </row>
    <row r="541" ht="15.75" customHeight="1">
      <c r="B541" s="309"/>
      <c r="D541" s="298"/>
      <c r="E541" s="299"/>
      <c r="F541" s="353"/>
      <c r="G541" s="299"/>
      <c r="H541" s="299"/>
      <c r="I541" s="354"/>
      <c r="J541" s="354"/>
    </row>
    <row r="542" ht="15.75" customHeight="1">
      <c r="B542" s="309"/>
      <c r="D542" s="298"/>
      <c r="E542" s="299"/>
      <c r="F542" s="353"/>
      <c r="G542" s="299"/>
      <c r="H542" s="299"/>
      <c r="I542" s="354"/>
      <c r="J542" s="354"/>
    </row>
    <row r="543" ht="15.75" customHeight="1">
      <c r="B543" s="309"/>
      <c r="D543" s="298"/>
      <c r="E543" s="299"/>
      <c r="F543" s="353"/>
      <c r="G543" s="299"/>
      <c r="H543" s="299"/>
      <c r="I543" s="354"/>
      <c r="J543" s="354"/>
    </row>
    <row r="544" ht="15.75" customHeight="1">
      <c r="B544" s="309"/>
      <c r="D544" s="298"/>
      <c r="E544" s="299"/>
      <c r="F544" s="353"/>
      <c r="G544" s="299"/>
      <c r="H544" s="299"/>
      <c r="I544" s="354"/>
      <c r="J544" s="354"/>
    </row>
    <row r="545" ht="15.75" customHeight="1">
      <c r="B545" s="309"/>
      <c r="D545" s="298"/>
      <c r="E545" s="299"/>
      <c r="F545" s="353"/>
      <c r="G545" s="299"/>
      <c r="H545" s="299"/>
      <c r="I545" s="354"/>
      <c r="J545" s="354"/>
    </row>
    <row r="546" ht="15.75" customHeight="1">
      <c r="B546" s="309"/>
      <c r="D546" s="298"/>
      <c r="E546" s="299"/>
      <c r="F546" s="353"/>
      <c r="G546" s="299"/>
      <c r="H546" s="299"/>
      <c r="I546" s="354"/>
      <c r="J546" s="354"/>
    </row>
    <row r="547" ht="15.75" customHeight="1">
      <c r="B547" s="309"/>
      <c r="D547" s="298"/>
      <c r="E547" s="299"/>
      <c r="F547" s="353"/>
      <c r="G547" s="299"/>
      <c r="H547" s="299"/>
      <c r="I547" s="354"/>
      <c r="J547" s="354"/>
    </row>
    <row r="548" ht="15.75" customHeight="1">
      <c r="B548" s="309"/>
      <c r="D548" s="298"/>
      <c r="E548" s="299"/>
      <c r="F548" s="353"/>
      <c r="G548" s="299"/>
      <c r="H548" s="299"/>
      <c r="I548" s="354"/>
      <c r="J548" s="354"/>
    </row>
    <row r="549" ht="15.75" customHeight="1">
      <c r="B549" s="309"/>
      <c r="D549" s="298"/>
      <c r="E549" s="299"/>
      <c r="F549" s="353"/>
      <c r="G549" s="299"/>
      <c r="H549" s="299"/>
      <c r="I549" s="354"/>
      <c r="J549" s="354"/>
    </row>
    <row r="550" ht="15.75" customHeight="1">
      <c r="B550" s="309"/>
      <c r="D550" s="298"/>
      <c r="E550" s="299"/>
      <c r="F550" s="353"/>
      <c r="G550" s="299"/>
      <c r="H550" s="299"/>
      <c r="I550" s="354"/>
      <c r="J550" s="354"/>
    </row>
    <row r="551" ht="15.75" customHeight="1">
      <c r="B551" s="309"/>
      <c r="D551" s="298"/>
      <c r="E551" s="299"/>
      <c r="F551" s="353"/>
      <c r="G551" s="299"/>
      <c r="H551" s="299"/>
      <c r="I551" s="354"/>
      <c r="J551" s="354"/>
    </row>
    <row r="552" ht="15.75" customHeight="1">
      <c r="B552" s="309"/>
      <c r="D552" s="298"/>
      <c r="E552" s="299"/>
      <c r="F552" s="353"/>
      <c r="G552" s="299"/>
      <c r="H552" s="299"/>
      <c r="I552" s="354"/>
      <c r="J552" s="354"/>
    </row>
    <row r="553" ht="15.75" customHeight="1">
      <c r="B553" s="309"/>
      <c r="D553" s="298"/>
      <c r="E553" s="299"/>
      <c r="F553" s="353"/>
      <c r="G553" s="299"/>
      <c r="H553" s="299"/>
      <c r="I553" s="354"/>
      <c r="J553" s="354"/>
    </row>
    <row r="554" ht="15.75" customHeight="1">
      <c r="B554" s="309"/>
      <c r="D554" s="298"/>
      <c r="E554" s="299"/>
      <c r="F554" s="353"/>
      <c r="G554" s="299"/>
      <c r="H554" s="299"/>
      <c r="I554" s="354"/>
      <c r="J554" s="354"/>
    </row>
    <row r="555" ht="15.75" customHeight="1">
      <c r="B555" s="309"/>
      <c r="D555" s="298"/>
      <c r="E555" s="299"/>
      <c r="F555" s="353"/>
      <c r="G555" s="299"/>
      <c r="H555" s="299"/>
      <c r="I555" s="354"/>
      <c r="J555" s="354"/>
    </row>
    <row r="556" ht="15.75" customHeight="1">
      <c r="B556" s="309"/>
      <c r="D556" s="298"/>
      <c r="E556" s="299"/>
      <c r="F556" s="353"/>
      <c r="G556" s="299"/>
      <c r="H556" s="299"/>
      <c r="I556" s="354"/>
      <c r="J556" s="354"/>
    </row>
    <row r="557" ht="15.75" customHeight="1">
      <c r="B557" s="309"/>
      <c r="D557" s="298"/>
      <c r="E557" s="299"/>
      <c r="F557" s="353"/>
      <c r="G557" s="299"/>
      <c r="H557" s="299"/>
      <c r="I557" s="354"/>
      <c r="J557" s="354"/>
    </row>
    <row r="558" ht="15.75" customHeight="1">
      <c r="B558" s="309"/>
      <c r="D558" s="298"/>
      <c r="E558" s="299"/>
      <c r="F558" s="353"/>
      <c r="G558" s="299"/>
      <c r="H558" s="299"/>
      <c r="I558" s="354"/>
      <c r="J558" s="354"/>
    </row>
    <row r="559" ht="15.75" customHeight="1">
      <c r="B559" s="309"/>
      <c r="D559" s="298"/>
      <c r="E559" s="299"/>
      <c r="F559" s="353"/>
      <c r="G559" s="299"/>
      <c r="H559" s="299"/>
      <c r="I559" s="354"/>
      <c r="J559" s="354"/>
    </row>
    <row r="560" ht="15.75" customHeight="1">
      <c r="B560" s="309"/>
      <c r="D560" s="298"/>
      <c r="E560" s="299"/>
      <c r="F560" s="353"/>
      <c r="G560" s="299"/>
      <c r="H560" s="299"/>
      <c r="I560" s="354"/>
      <c r="J560" s="354"/>
    </row>
    <row r="561" ht="15.75" customHeight="1">
      <c r="B561" s="309"/>
      <c r="D561" s="298"/>
      <c r="E561" s="299"/>
      <c r="F561" s="353"/>
      <c r="G561" s="299"/>
      <c r="H561" s="299"/>
      <c r="I561" s="354"/>
      <c r="J561" s="354"/>
    </row>
    <row r="562" ht="15.75" customHeight="1">
      <c r="B562" s="309"/>
      <c r="D562" s="298"/>
      <c r="E562" s="299"/>
      <c r="F562" s="353"/>
      <c r="G562" s="299"/>
      <c r="H562" s="299"/>
      <c r="I562" s="354"/>
      <c r="J562" s="354"/>
    </row>
    <row r="563" ht="15.75" customHeight="1">
      <c r="B563" s="309"/>
      <c r="D563" s="298"/>
      <c r="E563" s="299"/>
      <c r="F563" s="353"/>
      <c r="G563" s="299"/>
      <c r="H563" s="299"/>
      <c r="I563" s="354"/>
      <c r="J563" s="354"/>
    </row>
    <row r="564" ht="15.75" customHeight="1">
      <c r="B564" s="309"/>
      <c r="D564" s="298"/>
      <c r="E564" s="299"/>
      <c r="F564" s="353"/>
      <c r="G564" s="299"/>
      <c r="H564" s="299"/>
      <c r="I564" s="354"/>
      <c r="J564" s="354"/>
    </row>
    <row r="565" ht="15.75" customHeight="1">
      <c r="B565" s="309"/>
      <c r="D565" s="298"/>
      <c r="E565" s="299"/>
      <c r="F565" s="353"/>
      <c r="G565" s="299"/>
      <c r="H565" s="299"/>
      <c r="I565" s="354"/>
      <c r="J565" s="354"/>
    </row>
    <row r="566" ht="15.75" customHeight="1">
      <c r="B566" s="309"/>
      <c r="D566" s="298"/>
      <c r="E566" s="299"/>
      <c r="F566" s="353"/>
      <c r="G566" s="299"/>
      <c r="H566" s="299"/>
      <c r="I566" s="354"/>
      <c r="J566" s="354"/>
    </row>
    <row r="567" ht="15.75" customHeight="1">
      <c r="B567" s="309"/>
      <c r="D567" s="298"/>
      <c r="E567" s="299"/>
      <c r="F567" s="353"/>
      <c r="G567" s="299"/>
      <c r="H567" s="299"/>
      <c r="I567" s="354"/>
      <c r="J567" s="354"/>
    </row>
    <row r="568" ht="15.75" customHeight="1">
      <c r="B568" s="309"/>
      <c r="D568" s="298"/>
      <c r="E568" s="299"/>
      <c r="F568" s="353"/>
      <c r="G568" s="299"/>
      <c r="H568" s="299"/>
      <c r="I568" s="354"/>
      <c r="J568" s="354"/>
    </row>
    <row r="569" ht="15.75" customHeight="1">
      <c r="B569" s="309"/>
      <c r="D569" s="298"/>
      <c r="E569" s="299"/>
      <c r="F569" s="353"/>
      <c r="G569" s="299"/>
      <c r="H569" s="299"/>
      <c r="I569" s="354"/>
      <c r="J569" s="354"/>
    </row>
    <row r="570" ht="15.75" customHeight="1">
      <c r="B570" s="309"/>
      <c r="D570" s="298"/>
      <c r="E570" s="299"/>
      <c r="F570" s="353"/>
      <c r="G570" s="299"/>
      <c r="H570" s="299"/>
      <c r="I570" s="354"/>
      <c r="J570" s="354"/>
    </row>
    <row r="571" ht="15.75" customHeight="1">
      <c r="B571" s="309"/>
      <c r="D571" s="298"/>
      <c r="E571" s="299"/>
      <c r="F571" s="353"/>
      <c r="G571" s="299"/>
      <c r="H571" s="299"/>
      <c r="I571" s="354"/>
      <c r="J571" s="354"/>
    </row>
    <row r="572" ht="15.75" customHeight="1">
      <c r="B572" s="309"/>
      <c r="D572" s="298"/>
      <c r="E572" s="299"/>
      <c r="F572" s="353"/>
      <c r="G572" s="299"/>
      <c r="H572" s="299"/>
      <c r="I572" s="354"/>
      <c r="J572" s="354"/>
    </row>
    <row r="573" ht="15.75" customHeight="1">
      <c r="B573" s="309"/>
      <c r="D573" s="298"/>
      <c r="E573" s="299"/>
      <c r="F573" s="353"/>
      <c r="G573" s="299"/>
      <c r="H573" s="299"/>
      <c r="I573" s="354"/>
      <c r="J573" s="354"/>
    </row>
    <row r="574" ht="15.75" customHeight="1">
      <c r="B574" s="309"/>
      <c r="D574" s="298"/>
      <c r="E574" s="299"/>
      <c r="F574" s="353"/>
      <c r="G574" s="299"/>
      <c r="H574" s="299"/>
      <c r="I574" s="354"/>
      <c r="J574" s="354"/>
    </row>
    <row r="575" ht="15.75" customHeight="1">
      <c r="B575" s="309"/>
      <c r="D575" s="298"/>
      <c r="E575" s="299"/>
      <c r="F575" s="353"/>
      <c r="G575" s="299"/>
      <c r="H575" s="299"/>
      <c r="I575" s="354"/>
      <c r="J575" s="354"/>
    </row>
    <row r="576" ht="15.75" customHeight="1">
      <c r="B576" s="309"/>
      <c r="D576" s="298"/>
      <c r="E576" s="299"/>
      <c r="F576" s="353"/>
      <c r="G576" s="299"/>
      <c r="H576" s="299"/>
      <c r="I576" s="354"/>
      <c r="J576" s="354"/>
    </row>
    <row r="577" ht="15.75" customHeight="1">
      <c r="B577" s="309"/>
      <c r="D577" s="298"/>
      <c r="E577" s="299"/>
      <c r="F577" s="353"/>
      <c r="G577" s="299"/>
      <c r="H577" s="299"/>
      <c r="I577" s="354"/>
      <c r="J577" s="354"/>
    </row>
    <row r="578" ht="15.75" customHeight="1">
      <c r="B578" s="309"/>
      <c r="D578" s="298"/>
      <c r="E578" s="299"/>
      <c r="F578" s="353"/>
      <c r="G578" s="299"/>
      <c r="H578" s="299"/>
      <c r="I578" s="354"/>
      <c r="J578" s="354"/>
    </row>
    <row r="579" ht="15.75" customHeight="1">
      <c r="B579" s="309"/>
      <c r="D579" s="298"/>
      <c r="E579" s="299"/>
      <c r="F579" s="353"/>
      <c r="G579" s="299"/>
      <c r="H579" s="299"/>
      <c r="I579" s="354"/>
      <c r="J579" s="354"/>
    </row>
    <row r="580" ht="15.75" customHeight="1">
      <c r="B580" s="309"/>
      <c r="D580" s="298"/>
      <c r="E580" s="299"/>
      <c r="F580" s="353"/>
      <c r="G580" s="299"/>
      <c r="H580" s="299"/>
      <c r="I580" s="354"/>
      <c r="J580" s="354"/>
    </row>
    <row r="581" ht="15.75" customHeight="1">
      <c r="B581" s="309"/>
      <c r="D581" s="298"/>
      <c r="E581" s="299"/>
      <c r="F581" s="353"/>
      <c r="G581" s="299"/>
      <c r="H581" s="299"/>
      <c r="I581" s="354"/>
      <c r="J581" s="354"/>
    </row>
    <row r="582" ht="15.75" customHeight="1">
      <c r="B582" s="309"/>
      <c r="D582" s="298"/>
      <c r="E582" s="299"/>
      <c r="F582" s="353"/>
      <c r="G582" s="299"/>
      <c r="H582" s="299"/>
      <c r="I582" s="354"/>
      <c r="J582" s="354"/>
    </row>
    <row r="583" ht="15.75" customHeight="1">
      <c r="B583" s="309"/>
      <c r="D583" s="298"/>
      <c r="E583" s="299"/>
      <c r="F583" s="353"/>
      <c r="G583" s="299"/>
      <c r="H583" s="299"/>
      <c r="I583" s="354"/>
      <c r="J583" s="354"/>
    </row>
    <row r="584" ht="15.75" customHeight="1">
      <c r="B584" s="309"/>
      <c r="D584" s="298"/>
      <c r="E584" s="299"/>
      <c r="F584" s="353"/>
      <c r="G584" s="299"/>
      <c r="H584" s="299"/>
      <c r="I584" s="354"/>
      <c r="J584" s="354"/>
    </row>
    <row r="585" ht="15.75" customHeight="1">
      <c r="B585" s="309"/>
      <c r="D585" s="298"/>
      <c r="E585" s="299"/>
      <c r="F585" s="353"/>
      <c r="G585" s="299"/>
      <c r="H585" s="299"/>
      <c r="I585" s="354"/>
      <c r="J585" s="354"/>
    </row>
    <row r="586" ht="15.75" customHeight="1">
      <c r="B586" s="309"/>
      <c r="D586" s="298"/>
      <c r="E586" s="299"/>
      <c r="F586" s="353"/>
      <c r="G586" s="299"/>
      <c r="H586" s="299"/>
      <c r="I586" s="354"/>
      <c r="J586" s="354"/>
    </row>
    <row r="587" ht="15.75" customHeight="1">
      <c r="B587" s="309"/>
      <c r="D587" s="298"/>
      <c r="E587" s="299"/>
      <c r="F587" s="353"/>
      <c r="G587" s="299"/>
      <c r="H587" s="299"/>
      <c r="I587" s="354"/>
      <c r="J587" s="354"/>
    </row>
    <row r="588" ht="15.75" customHeight="1">
      <c r="B588" s="309"/>
      <c r="D588" s="298"/>
      <c r="E588" s="299"/>
      <c r="F588" s="353"/>
      <c r="G588" s="299"/>
      <c r="H588" s="299"/>
      <c r="I588" s="354"/>
      <c r="J588" s="354"/>
    </row>
    <row r="589" ht="15.75" customHeight="1">
      <c r="B589" s="309"/>
      <c r="D589" s="298"/>
      <c r="E589" s="299"/>
      <c r="F589" s="353"/>
      <c r="G589" s="299"/>
      <c r="H589" s="299"/>
      <c r="I589" s="354"/>
      <c r="J589" s="354"/>
    </row>
    <row r="590" ht="15.75" customHeight="1">
      <c r="B590" s="309"/>
      <c r="D590" s="298"/>
      <c r="E590" s="299"/>
      <c r="F590" s="353"/>
      <c r="G590" s="299"/>
      <c r="H590" s="299"/>
      <c r="I590" s="354"/>
      <c r="J590" s="354"/>
    </row>
    <row r="591" ht="15.75" customHeight="1">
      <c r="B591" s="309"/>
      <c r="D591" s="298"/>
      <c r="E591" s="299"/>
      <c r="F591" s="353"/>
      <c r="G591" s="299"/>
      <c r="H591" s="299"/>
      <c r="I591" s="354"/>
      <c r="J591" s="354"/>
    </row>
    <row r="592" ht="15.75" customHeight="1">
      <c r="B592" s="309"/>
      <c r="D592" s="298"/>
      <c r="E592" s="299"/>
      <c r="F592" s="353"/>
      <c r="G592" s="299"/>
      <c r="H592" s="299"/>
      <c r="I592" s="354"/>
      <c r="J592" s="354"/>
    </row>
    <row r="593" ht="15.75" customHeight="1">
      <c r="B593" s="309"/>
      <c r="D593" s="298"/>
      <c r="E593" s="299"/>
      <c r="F593" s="353"/>
      <c r="G593" s="299"/>
      <c r="H593" s="299"/>
      <c r="I593" s="354"/>
      <c r="J593" s="354"/>
    </row>
    <row r="594" ht="15.75" customHeight="1">
      <c r="B594" s="309"/>
      <c r="D594" s="298"/>
      <c r="E594" s="299"/>
      <c r="F594" s="353"/>
      <c r="G594" s="299"/>
      <c r="H594" s="299"/>
      <c r="I594" s="354"/>
      <c r="J594" s="354"/>
    </row>
    <row r="595" ht="15.75" customHeight="1">
      <c r="B595" s="309"/>
      <c r="D595" s="298"/>
      <c r="E595" s="299"/>
      <c r="F595" s="353"/>
      <c r="G595" s="299"/>
      <c r="H595" s="299"/>
      <c r="I595" s="354"/>
      <c r="J595" s="354"/>
    </row>
    <row r="596" ht="15.75" customHeight="1">
      <c r="B596" s="309"/>
      <c r="D596" s="298"/>
      <c r="E596" s="299"/>
      <c r="F596" s="353"/>
      <c r="G596" s="299"/>
      <c r="H596" s="299"/>
      <c r="I596" s="354"/>
      <c r="J596" s="354"/>
    </row>
    <row r="597" ht="15.75" customHeight="1">
      <c r="B597" s="309"/>
      <c r="D597" s="298"/>
      <c r="E597" s="299"/>
      <c r="F597" s="353"/>
      <c r="G597" s="299"/>
      <c r="H597" s="299"/>
      <c r="I597" s="354"/>
      <c r="J597" s="354"/>
    </row>
    <row r="598" ht="15.75" customHeight="1">
      <c r="B598" s="309"/>
      <c r="D598" s="298"/>
      <c r="E598" s="299"/>
      <c r="F598" s="353"/>
      <c r="G598" s="299"/>
      <c r="H598" s="299"/>
      <c r="I598" s="354"/>
      <c r="J598" s="354"/>
    </row>
    <row r="599" ht="15.75" customHeight="1">
      <c r="B599" s="309"/>
      <c r="D599" s="298"/>
      <c r="E599" s="299"/>
      <c r="F599" s="353"/>
      <c r="G599" s="299"/>
      <c r="H599" s="299"/>
      <c r="I599" s="354"/>
      <c r="J599" s="354"/>
    </row>
    <row r="600" ht="15.75" customHeight="1">
      <c r="B600" s="309"/>
      <c r="D600" s="298"/>
      <c r="E600" s="299"/>
      <c r="F600" s="353"/>
      <c r="G600" s="299"/>
      <c r="H600" s="299"/>
      <c r="I600" s="354"/>
      <c r="J600" s="354"/>
    </row>
    <row r="601" ht="15.75" customHeight="1">
      <c r="B601" s="309"/>
      <c r="D601" s="298"/>
      <c r="E601" s="299"/>
      <c r="F601" s="353"/>
      <c r="G601" s="299"/>
      <c r="H601" s="299"/>
      <c r="I601" s="354"/>
      <c r="J601" s="354"/>
    </row>
    <row r="602" ht="15.75" customHeight="1">
      <c r="B602" s="309"/>
      <c r="D602" s="298"/>
      <c r="E602" s="299"/>
      <c r="F602" s="353"/>
      <c r="G602" s="299"/>
      <c r="H602" s="299"/>
      <c r="I602" s="354"/>
      <c r="J602" s="354"/>
    </row>
    <row r="603" ht="15.75" customHeight="1">
      <c r="B603" s="309"/>
      <c r="D603" s="298"/>
      <c r="E603" s="299"/>
      <c r="F603" s="353"/>
      <c r="G603" s="299"/>
      <c r="H603" s="299"/>
      <c r="I603" s="354"/>
      <c r="J603" s="354"/>
    </row>
    <row r="604" ht="15.75" customHeight="1">
      <c r="B604" s="309"/>
      <c r="D604" s="298"/>
      <c r="E604" s="299"/>
      <c r="F604" s="353"/>
      <c r="G604" s="299"/>
      <c r="H604" s="299"/>
      <c r="I604" s="354"/>
      <c r="J604" s="354"/>
    </row>
    <row r="605" ht="15.75" customHeight="1">
      <c r="B605" s="309"/>
      <c r="D605" s="298"/>
      <c r="E605" s="299"/>
      <c r="F605" s="353"/>
      <c r="G605" s="299"/>
      <c r="H605" s="299"/>
      <c r="I605" s="354"/>
      <c r="J605" s="354"/>
    </row>
    <row r="606" ht="15.75" customHeight="1">
      <c r="B606" s="309"/>
      <c r="D606" s="298"/>
      <c r="E606" s="299"/>
      <c r="F606" s="353"/>
      <c r="G606" s="299"/>
      <c r="H606" s="299"/>
      <c r="I606" s="354"/>
      <c r="J606" s="354"/>
    </row>
    <row r="607" ht="15.75" customHeight="1">
      <c r="B607" s="309"/>
      <c r="D607" s="298"/>
      <c r="E607" s="299"/>
      <c r="F607" s="353"/>
      <c r="G607" s="299"/>
      <c r="H607" s="299"/>
      <c r="I607" s="354"/>
      <c r="J607" s="354"/>
    </row>
    <row r="608" ht="15.75" customHeight="1">
      <c r="B608" s="309"/>
      <c r="D608" s="298"/>
      <c r="E608" s="299"/>
      <c r="F608" s="353"/>
      <c r="G608" s="299"/>
      <c r="H608" s="299"/>
      <c r="I608" s="354"/>
      <c r="J608" s="354"/>
    </row>
    <row r="609" ht="15.75" customHeight="1">
      <c r="B609" s="309"/>
      <c r="D609" s="298"/>
      <c r="E609" s="299"/>
      <c r="F609" s="353"/>
      <c r="G609" s="299"/>
      <c r="H609" s="299"/>
      <c r="I609" s="354"/>
      <c r="J609" s="354"/>
    </row>
    <row r="610" ht="15.75" customHeight="1">
      <c r="B610" s="309"/>
      <c r="D610" s="298"/>
      <c r="E610" s="299"/>
      <c r="F610" s="353"/>
      <c r="G610" s="299"/>
      <c r="H610" s="299"/>
      <c r="I610" s="354"/>
      <c r="J610" s="354"/>
    </row>
    <row r="611" ht="15.75" customHeight="1">
      <c r="B611" s="309"/>
      <c r="D611" s="298"/>
      <c r="E611" s="299"/>
      <c r="F611" s="353"/>
      <c r="G611" s="299"/>
      <c r="H611" s="299"/>
      <c r="I611" s="354"/>
      <c r="J611" s="354"/>
    </row>
    <row r="612" ht="15.75" customHeight="1">
      <c r="B612" s="309"/>
      <c r="D612" s="298"/>
      <c r="E612" s="299"/>
      <c r="F612" s="353"/>
      <c r="G612" s="299"/>
      <c r="H612" s="299"/>
      <c r="I612" s="354"/>
      <c r="J612" s="354"/>
    </row>
    <row r="613" ht="15.75" customHeight="1">
      <c r="B613" s="309"/>
      <c r="D613" s="298"/>
      <c r="E613" s="299"/>
      <c r="F613" s="353"/>
      <c r="G613" s="299"/>
      <c r="H613" s="299"/>
      <c r="I613" s="354"/>
      <c r="J613" s="354"/>
    </row>
    <row r="614" ht="15.75" customHeight="1">
      <c r="B614" s="309"/>
      <c r="D614" s="298"/>
      <c r="E614" s="299"/>
      <c r="F614" s="353"/>
      <c r="G614" s="299"/>
      <c r="H614" s="299"/>
      <c r="I614" s="354"/>
      <c r="J614" s="354"/>
    </row>
    <row r="615" ht="15.75" customHeight="1">
      <c r="B615" s="309"/>
      <c r="D615" s="298"/>
      <c r="E615" s="299"/>
      <c r="F615" s="353"/>
      <c r="G615" s="299"/>
      <c r="H615" s="299"/>
      <c r="I615" s="354"/>
      <c r="J615" s="354"/>
    </row>
    <row r="616" ht="15.75" customHeight="1">
      <c r="B616" s="309"/>
      <c r="D616" s="298"/>
      <c r="E616" s="299"/>
      <c r="F616" s="353"/>
      <c r="G616" s="299"/>
      <c r="H616" s="299"/>
      <c r="I616" s="354"/>
      <c r="J616" s="354"/>
    </row>
    <row r="617" ht="15.75" customHeight="1">
      <c r="B617" s="309"/>
      <c r="D617" s="298"/>
      <c r="E617" s="299"/>
      <c r="F617" s="353"/>
      <c r="G617" s="299"/>
      <c r="H617" s="299"/>
      <c r="I617" s="354"/>
      <c r="J617" s="354"/>
    </row>
    <row r="618" ht="15.75" customHeight="1">
      <c r="B618" s="309"/>
      <c r="D618" s="298"/>
      <c r="E618" s="299"/>
      <c r="F618" s="353"/>
      <c r="G618" s="299"/>
      <c r="H618" s="299"/>
      <c r="I618" s="354"/>
      <c r="J618" s="354"/>
    </row>
    <row r="619" ht="15.75" customHeight="1">
      <c r="B619" s="309"/>
      <c r="D619" s="298"/>
      <c r="E619" s="299"/>
      <c r="F619" s="353"/>
      <c r="G619" s="299"/>
      <c r="H619" s="299"/>
      <c r="I619" s="354"/>
      <c r="J619" s="354"/>
    </row>
    <row r="620" ht="15.75" customHeight="1">
      <c r="B620" s="309"/>
      <c r="D620" s="298"/>
      <c r="E620" s="299"/>
      <c r="F620" s="353"/>
      <c r="G620" s="299"/>
      <c r="H620" s="299"/>
      <c r="I620" s="354"/>
      <c r="J620" s="354"/>
    </row>
    <row r="621" ht="15.75" customHeight="1">
      <c r="B621" s="309"/>
      <c r="D621" s="298"/>
      <c r="E621" s="299"/>
      <c r="F621" s="353"/>
      <c r="G621" s="299"/>
      <c r="H621" s="299"/>
      <c r="I621" s="354"/>
      <c r="J621" s="354"/>
    </row>
    <row r="622" ht="15.75" customHeight="1">
      <c r="B622" s="309"/>
      <c r="D622" s="298"/>
      <c r="E622" s="299"/>
      <c r="F622" s="353"/>
      <c r="G622" s="299"/>
      <c r="H622" s="299"/>
      <c r="I622" s="354"/>
      <c r="J622" s="354"/>
    </row>
    <row r="623" ht="15.75" customHeight="1">
      <c r="B623" s="309"/>
      <c r="D623" s="298"/>
      <c r="E623" s="299"/>
      <c r="F623" s="353"/>
      <c r="G623" s="299"/>
      <c r="H623" s="299"/>
      <c r="I623" s="354"/>
      <c r="J623" s="354"/>
    </row>
    <row r="624" ht="15.75" customHeight="1">
      <c r="B624" s="309"/>
      <c r="D624" s="298"/>
      <c r="E624" s="299"/>
      <c r="F624" s="353"/>
      <c r="G624" s="299"/>
      <c r="H624" s="299"/>
      <c r="I624" s="354"/>
      <c r="J624" s="354"/>
    </row>
    <row r="625" ht="15.75" customHeight="1">
      <c r="B625" s="309"/>
      <c r="D625" s="298"/>
      <c r="E625" s="299"/>
      <c r="F625" s="353"/>
      <c r="G625" s="299"/>
      <c r="H625" s="299"/>
      <c r="I625" s="354"/>
      <c r="J625" s="354"/>
    </row>
    <row r="626" ht="15.75" customHeight="1">
      <c r="B626" s="309"/>
      <c r="D626" s="298"/>
      <c r="E626" s="299"/>
      <c r="F626" s="353"/>
      <c r="G626" s="299"/>
      <c r="H626" s="299"/>
      <c r="I626" s="354"/>
      <c r="J626" s="354"/>
    </row>
    <row r="627" ht="15.75" customHeight="1">
      <c r="B627" s="309"/>
      <c r="D627" s="298"/>
      <c r="E627" s="299"/>
      <c r="F627" s="353"/>
      <c r="G627" s="299"/>
      <c r="H627" s="299"/>
      <c r="I627" s="354"/>
      <c r="J627" s="354"/>
    </row>
    <row r="628" ht="15.75" customHeight="1">
      <c r="B628" s="309"/>
      <c r="D628" s="298"/>
      <c r="E628" s="299"/>
      <c r="F628" s="353"/>
      <c r="G628" s="299"/>
      <c r="H628" s="299"/>
      <c r="I628" s="354"/>
      <c r="J628" s="354"/>
    </row>
    <row r="629" ht="15.75" customHeight="1">
      <c r="B629" s="309"/>
      <c r="D629" s="298"/>
      <c r="E629" s="299"/>
      <c r="F629" s="353"/>
      <c r="G629" s="299"/>
      <c r="H629" s="299"/>
      <c r="I629" s="354"/>
      <c r="J629" s="354"/>
    </row>
    <row r="630" ht="15.75" customHeight="1">
      <c r="B630" s="309"/>
      <c r="D630" s="298"/>
      <c r="E630" s="299"/>
      <c r="F630" s="353"/>
      <c r="G630" s="299"/>
      <c r="H630" s="299"/>
      <c r="I630" s="354"/>
      <c r="J630" s="354"/>
    </row>
    <row r="631" ht="15.75" customHeight="1">
      <c r="B631" s="309"/>
      <c r="D631" s="298"/>
      <c r="E631" s="299"/>
      <c r="F631" s="353"/>
      <c r="G631" s="299"/>
      <c r="H631" s="299"/>
      <c r="I631" s="354"/>
      <c r="J631" s="354"/>
    </row>
    <row r="632" ht="15.75" customHeight="1">
      <c r="B632" s="309"/>
      <c r="D632" s="298"/>
      <c r="E632" s="299"/>
      <c r="F632" s="353"/>
      <c r="G632" s="299"/>
      <c r="H632" s="299"/>
      <c r="I632" s="354"/>
      <c r="J632" s="354"/>
    </row>
    <row r="633" ht="15.75" customHeight="1">
      <c r="B633" s="309"/>
      <c r="D633" s="298"/>
      <c r="E633" s="299"/>
      <c r="F633" s="353"/>
      <c r="G633" s="299"/>
      <c r="H633" s="299"/>
      <c r="I633" s="354"/>
      <c r="J633" s="354"/>
    </row>
    <row r="634" ht="15.75" customHeight="1">
      <c r="B634" s="309"/>
      <c r="D634" s="298"/>
      <c r="E634" s="299"/>
      <c r="F634" s="353"/>
      <c r="G634" s="299"/>
      <c r="H634" s="299"/>
      <c r="I634" s="354"/>
      <c r="J634" s="354"/>
    </row>
    <row r="635" ht="15.75" customHeight="1">
      <c r="B635" s="309"/>
      <c r="D635" s="298"/>
      <c r="E635" s="299"/>
      <c r="F635" s="353"/>
      <c r="G635" s="299"/>
      <c r="H635" s="299"/>
      <c r="I635" s="354"/>
      <c r="J635" s="354"/>
    </row>
    <row r="636" ht="15.75" customHeight="1">
      <c r="B636" s="309"/>
      <c r="D636" s="298"/>
      <c r="E636" s="299"/>
      <c r="F636" s="353"/>
      <c r="G636" s="299"/>
      <c r="H636" s="299"/>
      <c r="I636" s="354"/>
      <c r="J636" s="354"/>
    </row>
    <row r="637" ht="15.75" customHeight="1">
      <c r="B637" s="309"/>
      <c r="D637" s="298"/>
      <c r="E637" s="299"/>
      <c r="F637" s="353"/>
      <c r="G637" s="299"/>
      <c r="H637" s="299"/>
      <c r="I637" s="354"/>
      <c r="J637" s="354"/>
    </row>
    <row r="638" ht="15.75" customHeight="1">
      <c r="B638" s="309"/>
      <c r="D638" s="298"/>
      <c r="E638" s="299"/>
      <c r="F638" s="353"/>
      <c r="G638" s="299"/>
      <c r="H638" s="299"/>
      <c r="I638" s="354"/>
      <c r="J638" s="354"/>
    </row>
    <row r="639" ht="15.75" customHeight="1">
      <c r="B639" s="309"/>
      <c r="D639" s="298"/>
      <c r="E639" s="299"/>
      <c r="F639" s="353"/>
      <c r="G639" s="299"/>
      <c r="H639" s="299"/>
      <c r="I639" s="354"/>
      <c r="J639" s="354"/>
    </row>
    <row r="640" ht="15.75" customHeight="1">
      <c r="B640" s="309"/>
      <c r="D640" s="298"/>
      <c r="E640" s="299"/>
      <c r="F640" s="353"/>
      <c r="G640" s="299"/>
      <c r="H640" s="299"/>
      <c r="I640" s="354"/>
      <c r="J640" s="354"/>
    </row>
    <row r="641" ht="15.75" customHeight="1">
      <c r="B641" s="309"/>
      <c r="D641" s="298"/>
      <c r="E641" s="299"/>
      <c r="F641" s="353"/>
      <c r="G641" s="299"/>
      <c r="H641" s="299"/>
      <c r="I641" s="354"/>
      <c r="J641" s="354"/>
    </row>
    <row r="642" ht="15.75" customHeight="1">
      <c r="B642" s="309"/>
      <c r="D642" s="298"/>
      <c r="E642" s="299"/>
      <c r="F642" s="353"/>
      <c r="G642" s="299"/>
      <c r="H642" s="299"/>
      <c r="I642" s="354"/>
      <c r="J642" s="354"/>
    </row>
    <row r="643" ht="15.75" customHeight="1">
      <c r="B643" s="309"/>
      <c r="D643" s="298"/>
      <c r="E643" s="299"/>
      <c r="F643" s="353"/>
      <c r="G643" s="299"/>
      <c r="H643" s="299"/>
      <c r="I643" s="354"/>
      <c r="J643" s="354"/>
    </row>
    <row r="644" ht="15.75" customHeight="1">
      <c r="B644" s="309"/>
      <c r="D644" s="298"/>
      <c r="E644" s="299"/>
      <c r="F644" s="353"/>
      <c r="G644" s="299"/>
      <c r="H644" s="299"/>
      <c r="I644" s="354"/>
      <c r="J644" s="354"/>
    </row>
    <row r="645" ht="15.75" customHeight="1">
      <c r="B645" s="309"/>
      <c r="D645" s="298"/>
      <c r="E645" s="299"/>
      <c r="F645" s="353"/>
      <c r="G645" s="299"/>
      <c r="H645" s="299"/>
      <c r="I645" s="354"/>
      <c r="J645" s="354"/>
    </row>
    <row r="646" ht="15.75" customHeight="1">
      <c r="B646" s="309"/>
      <c r="D646" s="298"/>
      <c r="E646" s="299"/>
      <c r="F646" s="353"/>
      <c r="G646" s="299"/>
      <c r="H646" s="299"/>
      <c r="I646" s="354"/>
      <c r="J646" s="354"/>
    </row>
    <row r="647" ht="15.75" customHeight="1">
      <c r="B647" s="309"/>
      <c r="D647" s="298"/>
      <c r="E647" s="299"/>
      <c r="F647" s="353"/>
      <c r="G647" s="299"/>
      <c r="H647" s="299"/>
      <c r="I647" s="354"/>
      <c r="J647" s="354"/>
    </row>
    <row r="648" ht="15.75" customHeight="1">
      <c r="B648" s="309"/>
      <c r="D648" s="298"/>
      <c r="E648" s="299"/>
      <c r="F648" s="353"/>
      <c r="G648" s="299"/>
      <c r="H648" s="299"/>
      <c r="I648" s="354"/>
      <c r="J648" s="354"/>
    </row>
    <row r="649" ht="15.75" customHeight="1">
      <c r="B649" s="309"/>
      <c r="D649" s="298"/>
      <c r="E649" s="299"/>
      <c r="F649" s="353"/>
      <c r="G649" s="299"/>
      <c r="H649" s="299"/>
      <c r="I649" s="354"/>
      <c r="J649" s="354"/>
    </row>
    <row r="650" ht="15.75" customHeight="1">
      <c r="B650" s="309"/>
      <c r="D650" s="298"/>
      <c r="E650" s="299"/>
      <c r="F650" s="353"/>
      <c r="G650" s="299"/>
      <c r="H650" s="299"/>
      <c r="I650" s="354"/>
      <c r="J650" s="354"/>
    </row>
    <row r="651" ht="15.75" customHeight="1">
      <c r="B651" s="309"/>
      <c r="D651" s="298"/>
      <c r="E651" s="299"/>
      <c r="F651" s="353"/>
      <c r="G651" s="299"/>
      <c r="H651" s="299"/>
      <c r="I651" s="354"/>
      <c r="J651" s="354"/>
    </row>
    <row r="652" ht="15.75" customHeight="1">
      <c r="B652" s="309"/>
      <c r="D652" s="298"/>
      <c r="E652" s="299"/>
      <c r="F652" s="353"/>
      <c r="G652" s="299"/>
      <c r="H652" s="299"/>
      <c r="I652" s="354"/>
      <c r="J652" s="354"/>
    </row>
    <row r="653" ht="15.75" customHeight="1">
      <c r="B653" s="309"/>
      <c r="D653" s="298"/>
      <c r="E653" s="299"/>
      <c r="F653" s="353"/>
      <c r="G653" s="299"/>
      <c r="H653" s="299"/>
      <c r="I653" s="354"/>
      <c r="J653" s="354"/>
    </row>
    <row r="654" ht="15.75" customHeight="1">
      <c r="B654" s="309"/>
      <c r="D654" s="298"/>
      <c r="E654" s="299"/>
      <c r="F654" s="353"/>
      <c r="G654" s="299"/>
      <c r="H654" s="299"/>
      <c r="I654" s="354"/>
      <c r="J654" s="354"/>
    </row>
    <row r="655" ht="15.75" customHeight="1">
      <c r="B655" s="309"/>
      <c r="D655" s="298"/>
      <c r="E655" s="299"/>
      <c r="F655" s="353"/>
      <c r="G655" s="299"/>
      <c r="H655" s="299"/>
      <c r="I655" s="354"/>
      <c r="J655" s="354"/>
    </row>
    <row r="656" ht="15.75" customHeight="1">
      <c r="B656" s="309"/>
      <c r="D656" s="298"/>
      <c r="E656" s="299"/>
      <c r="F656" s="353"/>
      <c r="G656" s="299"/>
      <c r="H656" s="299"/>
      <c r="I656" s="354"/>
      <c r="J656" s="354"/>
    </row>
    <row r="657" ht="15.75" customHeight="1">
      <c r="B657" s="309"/>
      <c r="D657" s="298"/>
      <c r="E657" s="299"/>
      <c r="F657" s="353"/>
      <c r="G657" s="299"/>
      <c r="H657" s="299"/>
      <c r="I657" s="354"/>
      <c r="J657" s="354"/>
    </row>
    <row r="658" ht="15.75" customHeight="1">
      <c r="B658" s="309"/>
      <c r="D658" s="298"/>
      <c r="E658" s="299"/>
      <c r="F658" s="353"/>
      <c r="G658" s="299"/>
      <c r="H658" s="299"/>
      <c r="I658" s="354"/>
      <c r="J658" s="354"/>
    </row>
    <row r="659" ht="15.75" customHeight="1">
      <c r="B659" s="309"/>
      <c r="D659" s="298"/>
      <c r="E659" s="299"/>
      <c r="F659" s="353"/>
      <c r="G659" s="299"/>
      <c r="H659" s="299"/>
      <c r="I659" s="354"/>
      <c r="J659" s="354"/>
    </row>
    <row r="660" ht="15.75" customHeight="1">
      <c r="B660" s="309"/>
      <c r="D660" s="298"/>
      <c r="E660" s="299"/>
      <c r="F660" s="353"/>
      <c r="G660" s="299"/>
      <c r="H660" s="299"/>
      <c r="I660" s="354"/>
      <c r="J660" s="354"/>
    </row>
    <row r="661" ht="15.75" customHeight="1">
      <c r="B661" s="309"/>
      <c r="D661" s="298"/>
      <c r="E661" s="299"/>
      <c r="F661" s="353"/>
      <c r="G661" s="299"/>
      <c r="H661" s="299"/>
      <c r="I661" s="354"/>
      <c r="J661" s="354"/>
    </row>
    <row r="662" ht="15.75" customHeight="1">
      <c r="B662" s="309"/>
      <c r="D662" s="298"/>
      <c r="E662" s="299"/>
      <c r="F662" s="353"/>
      <c r="G662" s="299"/>
      <c r="H662" s="299"/>
      <c r="I662" s="354"/>
      <c r="J662" s="354"/>
    </row>
    <row r="663" ht="15.75" customHeight="1">
      <c r="B663" s="309"/>
      <c r="D663" s="298"/>
      <c r="E663" s="299"/>
      <c r="F663" s="353"/>
      <c r="G663" s="299"/>
      <c r="H663" s="299"/>
      <c r="I663" s="354"/>
      <c r="J663" s="354"/>
    </row>
    <row r="664" ht="15.75" customHeight="1">
      <c r="B664" s="309"/>
      <c r="D664" s="298"/>
      <c r="E664" s="299"/>
      <c r="F664" s="353"/>
      <c r="G664" s="299"/>
      <c r="H664" s="299"/>
      <c r="I664" s="354"/>
      <c r="J664" s="354"/>
    </row>
    <row r="665" ht="15.75" customHeight="1">
      <c r="B665" s="309"/>
      <c r="D665" s="298"/>
      <c r="E665" s="299"/>
      <c r="F665" s="353"/>
      <c r="G665" s="299"/>
      <c r="H665" s="299"/>
      <c r="I665" s="354"/>
      <c r="J665" s="354"/>
    </row>
    <row r="666" ht="15.75" customHeight="1">
      <c r="B666" s="309"/>
      <c r="D666" s="298"/>
      <c r="E666" s="299"/>
      <c r="F666" s="353"/>
      <c r="G666" s="299"/>
      <c r="H666" s="299"/>
      <c r="I666" s="354"/>
      <c r="J666" s="354"/>
    </row>
    <row r="667" ht="15.75" customHeight="1">
      <c r="B667" s="309"/>
      <c r="D667" s="298"/>
      <c r="E667" s="299"/>
      <c r="F667" s="353"/>
      <c r="G667" s="299"/>
      <c r="H667" s="299"/>
      <c r="I667" s="354"/>
      <c r="J667" s="354"/>
    </row>
    <row r="668" ht="15.75" customHeight="1">
      <c r="B668" s="309"/>
      <c r="D668" s="298"/>
      <c r="E668" s="299"/>
      <c r="F668" s="353"/>
      <c r="G668" s="299"/>
      <c r="H668" s="299"/>
      <c r="I668" s="354"/>
      <c r="J668" s="354"/>
    </row>
    <row r="669" ht="15.75" customHeight="1">
      <c r="B669" s="309"/>
      <c r="D669" s="298"/>
      <c r="E669" s="299"/>
      <c r="F669" s="353"/>
      <c r="G669" s="299"/>
      <c r="H669" s="299"/>
      <c r="I669" s="354"/>
      <c r="J669" s="354"/>
    </row>
    <row r="670" ht="15.75" customHeight="1">
      <c r="B670" s="309"/>
      <c r="D670" s="298"/>
      <c r="E670" s="299"/>
      <c r="F670" s="353"/>
      <c r="G670" s="299"/>
      <c r="H670" s="299"/>
      <c r="I670" s="354"/>
      <c r="J670" s="354"/>
    </row>
    <row r="671" ht="15.75" customHeight="1">
      <c r="B671" s="309"/>
      <c r="D671" s="298"/>
      <c r="E671" s="299"/>
      <c r="F671" s="353"/>
      <c r="G671" s="299"/>
      <c r="H671" s="299"/>
      <c r="I671" s="354"/>
      <c r="J671" s="354"/>
    </row>
    <row r="672" ht="15.75" customHeight="1">
      <c r="B672" s="309"/>
      <c r="D672" s="298"/>
      <c r="E672" s="299"/>
      <c r="F672" s="353"/>
      <c r="G672" s="299"/>
      <c r="H672" s="299"/>
      <c r="I672" s="354"/>
      <c r="J672" s="354"/>
    </row>
    <row r="673" ht="15.75" customHeight="1">
      <c r="B673" s="309"/>
      <c r="D673" s="298"/>
      <c r="E673" s="299"/>
      <c r="F673" s="353"/>
      <c r="G673" s="299"/>
      <c r="H673" s="299"/>
      <c r="I673" s="354"/>
      <c r="J673" s="354"/>
    </row>
    <row r="674" ht="15.75" customHeight="1">
      <c r="B674" s="309"/>
      <c r="D674" s="298"/>
      <c r="E674" s="299"/>
      <c r="F674" s="353"/>
      <c r="G674" s="299"/>
      <c r="H674" s="299"/>
      <c r="I674" s="354"/>
      <c r="J674" s="354"/>
    </row>
    <row r="675" ht="15.75" customHeight="1">
      <c r="B675" s="309"/>
      <c r="D675" s="298"/>
      <c r="E675" s="299"/>
      <c r="F675" s="353"/>
      <c r="G675" s="299"/>
      <c r="H675" s="299"/>
      <c r="I675" s="354"/>
      <c r="J675" s="354"/>
    </row>
    <row r="676" ht="15.75" customHeight="1">
      <c r="B676" s="309"/>
      <c r="D676" s="298"/>
      <c r="E676" s="299"/>
      <c r="F676" s="353"/>
      <c r="G676" s="299"/>
      <c r="H676" s="299"/>
      <c r="I676" s="354"/>
      <c r="J676" s="354"/>
    </row>
    <row r="677" ht="15.75" customHeight="1">
      <c r="B677" s="309"/>
      <c r="D677" s="298"/>
      <c r="E677" s="299"/>
      <c r="F677" s="353"/>
      <c r="G677" s="299"/>
      <c r="H677" s="299"/>
      <c r="I677" s="354"/>
      <c r="J677" s="354"/>
    </row>
    <row r="678" ht="15.75" customHeight="1">
      <c r="B678" s="309"/>
      <c r="D678" s="298"/>
      <c r="E678" s="299"/>
      <c r="F678" s="353"/>
      <c r="G678" s="299"/>
      <c r="H678" s="299"/>
      <c r="I678" s="354"/>
      <c r="J678" s="354"/>
    </row>
    <row r="679" ht="15.75" customHeight="1">
      <c r="B679" s="309"/>
      <c r="D679" s="298"/>
      <c r="E679" s="299"/>
      <c r="F679" s="353"/>
      <c r="G679" s="299"/>
      <c r="H679" s="299"/>
      <c r="I679" s="354"/>
      <c r="J679" s="354"/>
    </row>
    <row r="680" ht="15.75" customHeight="1">
      <c r="B680" s="309"/>
      <c r="D680" s="298"/>
      <c r="E680" s="299"/>
      <c r="F680" s="353"/>
      <c r="G680" s="299"/>
      <c r="H680" s="299"/>
      <c r="I680" s="354"/>
      <c r="J680" s="354"/>
    </row>
    <row r="681" ht="15.75" customHeight="1">
      <c r="B681" s="309"/>
      <c r="D681" s="298"/>
      <c r="E681" s="299"/>
      <c r="F681" s="353"/>
      <c r="G681" s="299"/>
      <c r="H681" s="299"/>
      <c r="I681" s="354"/>
      <c r="J681" s="354"/>
    </row>
    <row r="682" ht="15.75" customHeight="1">
      <c r="B682" s="309"/>
      <c r="D682" s="298"/>
      <c r="E682" s="299"/>
      <c r="F682" s="353"/>
      <c r="G682" s="299"/>
      <c r="H682" s="299"/>
      <c r="I682" s="354"/>
      <c r="J682" s="354"/>
    </row>
    <row r="683" ht="15.75" customHeight="1">
      <c r="B683" s="309"/>
      <c r="D683" s="298"/>
      <c r="E683" s="299"/>
      <c r="F683" s="353"/>
      <c r="G683" s="299"/>
      <c r="H683" s="299"/>
      <c r="I683" s="354"/>
      <c r="J683" s="354"/>
    </row>
    <row r="684" ht="15.75" customHeight="1">
      <c r="B684" s="309"/>
      <c r="D684" s="298"/>
      <c r="E684" s="299"/>
      <c r="F684" s="353"/>
      <c r="G684" s="299"/>
      <c r="H684" s="299"/>
      <c r="I684" s="354"/>
      <c r="J684" s="354"/>
    </row>
    <row r="685" ht="15.75" customHeight="1">
      <c r="B685" s="309"/>
      <c r="D685" s="298"/>
      <c r="E685" s="299"/>
      <c r="F685" s="353"/>
      <c r="G685" s="299"/>
      <c r="H685" s="299"/>
      <c r="I685" s="354"/>
      <c r="J685" s="354"/>
    </row>
    <row r="686" ht="15.75" customHeight="1">
      <c r="B686" s="309"/>
      <c r="D686" s="298"/>
      <c r="E686" s="299"/>
      <c r="F686" s="353"/>
      <c r="G686" s="299"/>
      <c r="H686" s="299"/>
      <c r="I686" s="354"/>
      <c r="J686" s="354"/>
    </row>
    <row r="687" ht="15.75" customHeight="1">
      <c r="B687" s="309"/>
      <c r="D687" s="298"/>
      <c r="E687" s="299"/>
      <c r="F687" s="353"/>
      <c r="G687" s="299"/>
      <c r="H687" s="299"/>
      <c r="I687" s="354"/>
      <c r="J687" s="354"/>
    </row>
    <row r="688" ht="15.75" customHeight="1">
      <c r="B688" s="309"/>
      <c r="D688" s="298"/>
      <c r="E688" s="299"/>
      <c r="F688" s="353"/>
      <c r="G688" s="299"/>
      <c r="H688" s="299"/>
      <c r="I688" s="354"/>
      <c r="J688" s="354"/>
    </row>
    <row r="689" ht="15.75" customHeight="1">
      <c r="B689" s="309"/>
      <c r="D689" s="298"/>
      <c r="E689" s="299"/>
      <c r="F689" s="353"/>
      <c r="G689" s="299"/>
      <c r="H689" s="299"/>
      <c r="I689" s="354"/>
      <c r="J689" s="354"/>
    </row>
    <row r="690" ht="15.75" customHeight="1">
      <c r="B690" s="309"/>
      <c r="D690" s="298"/>
      <c r="E690" s="299"/>
      <c r="F690" s="353"/>
      <c r="G690" s="299"/>
      <c r="H690" s="299"/>
      <c r="I690" s="354"/>
      <c r="J690" s="354"/>
    </row>
    <row r="691" ht="15.75" customHeight="1">
      <c r="B691" s="309"/>
      <c r="D691" s="298"/>
      <c r="E691" s="299"/>
      <c r="F691" s="353"/>
      <c r="G691" s="299"/>
      <c r="H691" s="299"/>
      <c r="I691" s="354"/>
      <c r="J691" s="354"/>
    </row>
    <row r="692" ht="15.75" customHeight="1">
      <c r="B692" s="309"/>
      <c r="D692" s="298"/>
      <c r="E692" s="299"/>
      <c r="F692" s="353"/>
      <c r="G692" s="299"/>
      <c r="H692" s="299"/>
      <c r="I692" s="354"/>
      <c r="J692" s="354"/>
    </row>
    <row r="693" ht="15.75" customHeight="1">
      <c r="B693" s="309"/>
      <c r="D693" s="298"/>
      <c r="E693" s="299"/>
      <c r="F693" s="353"/>
      <c r="G693" s="299"/>
      <c r="H693" s="299"/>
      <c r="I693" s="354"/>
      <c r="J693" s="354"/>
    </row>
    <row r="694" ht="15.75" customHeight="1">
      <c r="B694" s="309"/>
      <c r="D694" s="298"/>
      <c r="E694" s="299"/>
      <c r="F694" s="353"/>
      <c r="G694" s="299"/>
      <c r="H694" s="299"/>
      <c r="I694" s="354"/>
      <c r="J694" s="354"/>
    </row>
    <row r="695" ht="15.75" customHeight="1">
      <c r="B695" s="309"/>
      <c r="D695" s="298"/>
      <c r="E695" s="299"/>
      <c r="F695" s="353"/>
      <c r="G695" s="299"/>
      <c r="H695" s="299"/>
      <c r="I695" s="354"/>
      <c r="J695" s="354"/>
    </row>
    <row r="696" ht="15.75" customHeight="1">
      <c r="B696" s="309"/>
      <c r="D696" s="298"/>
      <c r="E696" s="299"/>
      <c r="F696" s="353"/>
      <c r="G696" s="299"/>
      <c r="H696" s="299"/>
      <c r="I696" s="354"/>
      <c r="J696" s="354"/>
    </row>
    <row r="697" ht="15.75" customHeight="1">
      <c r="B697" s="309"/>
      <c r="D697" s="298"/>
      <c r="E697" s="299"/>
      <c r="F697" s="353"/>
      <c r="G697" s="299"/>
      <c r="H697" s="299"/>
      <c r="I697" s="354"/>
      <c r="J697" s="354"/>
    </row>
    <row r="698" ht="15.75" customHeight="1">
      <c r="B698" s="309"/>
      <c r="D698" s="298"/>
      <c r="E698" s="299"/>
      <c r="F698" s="353"/>
      <c r="G698" s="299"/>
      <c r="H698" s="299"/>
      <c r="I698" s="354"/>
      <c r="J698" s="354"/>
    </row>
    <row r="699" ht="15.75" customHeight="1">
      <c r="B699" s="309"/>
      <c r="D699" s="298"/>
      <c r="E699" s="299"/>
      <c r="F699" s="353"/>
      <c r="G699" s="299"/>
      <c r="H699" s="299"/>
      <c r="I699" s="354"/>
      <c r="J699" s="354"/>
    </row>
    <row r="700" ht="15.75" customHeight="1">
      <c r="B700" s="309"/>
      <c r="D700" s="298"/>
      <c r="E700" s="299"/>
      <c r="F700" s="353"/>
      <c r="G700" s="299"/>
      <c r="H700" s="299"/>
      <c r="I700" s="354"/>
      <c r="J700" s="354"/>
    </row>
    <row r="701" ht="15.75" customHeight="1">
      <c r="B701" s="309"/>
      <c r="D701" s="298"/>
      <c r="E701" s="299"/>
      <c r="F701" s="353"/>
      <c r="G701" s="299"/>
      <c r="H701" s="299"/>
      <c r="I701" s="354"/>
      <c r="J701" s="354"/>
    </row>
    <row r="702" ht="15.75" customHeight="1">
      <c r="B702" s="309"/>
      <c r="D702" s="298"/>
      <c r="E702" s="299"/>
      <c r="F702" s="353"/>
      <c r="G702" s="299"/>
      <c r="H702" s="299"/>
      <c r="I702" s="354"/>
      <c r="J702" s="354"/>
    </row>
    <row r="703" ht="15.75" customHeight="1">
      <c r="B703" s="309"/>
      <c r="D703" s="298"/>
      <c r="E703" s="299"/>
      <c r="F703" s="353"/>
      <c r="G703" s="299"/>
      <c r="H703" s="299"/>
      <c r="I703" s="354"/>
      <c r="J703" s="354"/>
    </row>
    <row r="704" ht="15.75" customHeight="1">
      <c r="B704" s="309"/>
      <c r="D704" s="298"/>
      <c r="E704" s="299"/>
      <c r="F704" s="353"/>
      <c r="G704" s="299"/>
      <c r="H704" s="299"/>
      <c r="I704" s="354"/>
      <c r="J704" s="354"/>
    </row>
    <row r="705" ht="15.75" customHeight="1">
      <c r="B705" s="309"/>
      <c r="D705" s="298"/>
      <c r="E705" s="299"/>
      <c r="F705" s="353"/>
      <c r="G705" s="299"/>
      <c r="H705" s="299"/>
      <c r="I705" s="354"/>
      <c r="J705" s="354"/>
    </row>
    <row r="706" ht="15.75" customHeight="1">
      <c r="B706" s="309"/>
      <c r="D706" s="298"/>
      <c r="E706" s="299"/>
      <c r="F706" s="353"/>
      <c r="G706" s="299"/>
      <c r="H706" s="299"/>
      <c r="I706" s="354"/>
      <c r="J706" s="354"/>
    </row>
    <row r="707" ht="15.75" customHeight="1">
      <c r="B707" s="309"/>
      <c r="D707" s="298"/>
      <c r="E707" s="299"/>
      <c r="F707" s="353"/>
      <c r="G707" s="299"/>
      <c r="H707" s="299"/>
      <c r="I707" s="354"/>
      <c r="J707" s="354"/>
    </row>
    <row r="708" ht="15.75" customHeight="1">
      <c r="B708" s="309"/>
      <c r="D708" s="298"/>
      <c r="E708" s="299"/>
      <c r="F708" s="353"/>
      <c r="G708" s="299"/>
      <c r="H708" s="299"/>
      <c r="I708" s="354"/>
      <c r="J708" s="354"/>
    </row>
    <row r="709" ht="15.75" customHeight="1">
      <c r="B709" s="309"/>
      <c r="D709" s="298"/>
      <c r="E709" s="299"/>
      <c r="F709" s="353"/>
      <c r="G709" s="299"/>
      <c r="H709" s="299"/>
      <c r="I709" s="354"/>
      <c r="J709" s="354"/>
    </row>
    <row r="710" ht="15.75" customHeight="1">
      <c r="B710" s="309"/>
      <c r="D710" s="298"/>
      <c r="E710" s="299"/>
      <c r="F710" s="353"/>
      <c r="G710" s="299"/>
      <c r="H710" s="299"/>
      <c r="I710" s="354"/>
      <c r="J710" s="354"/>
    </row>
    <row r="711" ht="15.75" customHeight="1">
      <c r="B711" s="309"/>
      <c r="D711" s="298"/>
      <c r="E711" s="299"/>
      <c r="F711" s="353"/>
      <c r="G711" s="299"/>
      <c r="H711" s="299"/>
      <c r="I711" s="354"/>
      <c r="J711" s="354"/>
    </row>
    <row r="712" ht="15.75" customHeight="1">
      <c r="B712" s="309"/>
      <c r="D712" s="298"/>
      <c r="E712" s="299"/>
      <c r="F712" s="353"/>
      <c r="G712" s="299"/>
      <c r="H712" s="299"/>
      <c r="I712" s="354"/>
      <c r="J712" s="354"/>
    </row>
    <row r="713" ht="15.75" customHeight="1">
      <c r="B713" s="309"/>
      <c r="D713" s="298"/>
      <c r="E713" s="299"/>
      <c r="F713" s="353"/>
      <c r="G713" s="299"/>
      <c r="H713" s="299"/>
      <c r="I713" s="354"/>
      <c r="J713" s="354"/>
    </row>
    <row r="714" ht="15.75" customHeight="1">
      <c r="B714" s="309"/>
      <c r="D714" s="298"/>
      <c r="E714" s="299"/>
      <c r="F714" s="353"/>
      <c r="G714" s="299"/>
      <c r="H714" s="299"/>
      <c r="I714" s="354"/>
      <c r="J714" s="354"/>
    </row>
    <row r="715" ht="15.75" customHeight="1">
      <c r="B715" s="309"/>
      <c r="D715" s="298"/>
      <c r="E715" s="299"/>
      <c r="F715" s="353"/>
      <c r="G715" s="299"/>
      <c r="H715" s="299"/>
      <c r="I715" s="354"/>
      <c r="J715" s="354"/>
    </row>
    <row r="716" ht="15.75" customHeight="1">
      <c r="B716" s="309"/>
      <c r="D716" s="298"/>
      <c r="E716" s="299"/>
      <c r="F716" s="353"/>
      <c r="G716" s="299"/>
      <c r="H716" s="299"/>
      <c r="I716" s="354"/>
      <c r="J716" s="354"/>
    </row>
    <row r="717" ht="15.75" customHeight="1">
      <c r="B717" s="309"/>
      <c r="D717" s="298"/>
      <c r="E717" s="299"/>
      <c r="F717" s="353"/>
      <c r="G717" s="299"/>
      <c r="H717" s="299"/>
      <c r="I717" s="354"/>
      <c r="J717" s="354"/>
    </row>
    <row r="718" ht="15.75" customHeight="1">
      <c r="B718" s="309"/>
      <c r="D718" s="298"/>
      <c r="E718" s="299"/>
      <c r="F718" s="353"/>
      <c r="G718" s="299"/>
      <c r="H718" s="299"/>
      <c r="I718" s="354"/>
      <c r="J718" s="354"/>
    </row>
    <row r="719" ht="15.75" customHeight="1">
      <c r="B719" s="309"/>
      <c r="D719" s="298"/>
      <c r="E719" s="299"/>
      <c r="F719" s="353"/>
      <c r="G719" s="299"/>
      <c r="H719" s="299"/>
      <c r="I719" s="354"/>
      <c r="J719" s="354"/>
    </row>
    <row r="720" ht="15.75" customHeight="1">
      <c r="B720" s="309"/>
      <c r="D720" s="298"/>
      <c r="E720" s="299"/>
      <c r="F720" s="353"/>
      <c r="G720" s="299"/>
      <c r="H720" s="299"/>
      <c r="I720" s="354"/>
      <c r="J720" s="354"/>
    </row>
    <row r="721" ht="15.75" customHeight="1">
      <c r="B721" s="309"/>
      <c r="D721" s="298"/>
      <c r="E721" s="299"/>
      <c r="F721" s="353"/>
      <c r="G721" s="299"/>
      <c r="H721" s="299"/>
      <c r="I721" s="354"/>
      <c r="J721" s="354"/>
    </row>
    <row r="722" ht="15.75" customHeight="1">
      <c r="B722" s="309"/>
      <c r="D722" s="298"/>
      <c r="E722" s="299"/>
      <c r="F722" s="353"/>
      <c r="G722" s="299"/>
      <c r="H722" s="299"/>
      <c r="I722" s="354"/>
      <c r="J722" s="354"/>
    </row>
    <row r="723" ht="15.75" customHeight="1">
      <c r="B723" s="309"/>
      <c r="D723" s="298"/>
      <c r="E723" s="299"/>
      <c r="F723" s="353"/>
      <c r="G723" s="299"/>
      <c r="H723" s="299"/>
      <c r="I723" s="354"/>
      <c r="J723" s="354"/>
    </row>
    <row r="724" ht="15.75" customHeight="1">
      <c r="B724" s="309"/>
      <c r="D724" s="298"/>
      <c r="E724" s="299"/>
      <c r="F724" s="353"/>
      <c r="G724" s="299"/>
      <c r="H724" s="299"/>
      <c r="I724" s="354"/>
      <c r="J724" s="354"/>
    </row>
    <row r="725" ht="15.75" customHeight="1">
      <c r="B725" s="309"/>
      <c r="D725" s="298"/>
      <c r="E725" s="299"/>
      <c r="F725" s="353"/>
      <c r="G725" s="299"/>
      <c r="H725" s="299"/>
      <c r="I725" s="354"/>
      <c r="J725" s="354"/>
    </row>
    <row r="726" ht="15.75" customHeight="1">
      <c r="B726" s="309"/>
      <c r="D726" s="298"/>
      <c r="E726" s="299"/>
      <c r="F726" s="353"/>
      <c r="G726" s="299"/>
      <c r="H726" s="299"/>
      <c r="I726" s="354"/>
      <c r="J726" s="354"/>
    </row>
    <row r="727" ht="15.75" customHeight="1">
      <c r="B727" s="309"/>
      <c r="D727" s="298"/>
      <c r="E727" s="299"/>
      <c r="F727" s="353"/>
      <c r="G727" s="299"/>
      <c r="H727" s="299"/>
      <c r="I727" s="354"/>
      <c r="J727" s="354"/>
    </row>
    <row r="728" ht="15.75" customHeight="1">
      <c r="B728" s="309"/>
      <c r="D728" s="298"/>
      <c r="E728" s="299"/>
      <c r="F728" s="353"/>
      <c r="G728" s="299"/>
      <c r="H728" s="299"/>
      <c r="I728" s="354"/>
      <c r="J728" s="354"/>
    </row>
    <row r="729" ht="15.75" customHeight="1">
      <c r="B729" s="309"/>
      <c r="D729" s="298"/>
      <c r="E729" s="299"/>
      <c r="F729" s="353"/>
      <c r="G729" s="299"/>
      <c r="H729" s="299"/>
      <c r="I729" s="354"/>
      <c r="J729" s="354"/>
    </row>
    <row r="730" ht="15.75" customHeight="1">
      <c r="B730" s="309"/>
      <c r="D730" s="298"/>
      <c r="E730" s="299"/>
      <c r="F730" s="353"/>
      <c r="G730" s="299"/>
      <c r="H730" s="299"/>
      <c r="I730" s="354"/>
      <c r="J730" s="354"/>
    </row>
    <row r="731" ht="15.75" customHeight="1">
      <c r="B731" s="309"/>
      <c r="D731" s="298"/>
      <c r="E731" s="299"/>
      <c r="F731" s="353"/>
      <c r="G731" s="299"/>
      <c r="H731" s="299"/>
      <c r="I731" s="354"/>
      <c r="J731" s="354"/>
    </row>
    <row r="732" ht="15.75" customHeight="1">
      <c r="B732" s="309"/>
      <c r="D732" s="298"/>
      <c r="E732" s="299"/>
      <c r="F732" s="353"/>
      <c r="G732" s="299"/>
      <c r="H732" s="299"/>
      <c r="I732" s="354"/>
      <c r="J732" s="354"/>
    </row>
    <row r="733" ht="15.75" customHeight="1">
      <c r="B733" s="309"/>
      <c r="D733" s="298"/>
      <c r="E733" s="299"/>
      <c r="F733" s="353"/>
      <c r="G733" s="299"/>
      <c r="H733" s="299"/>
      <c r="I733" s="354"/>
      <c r="J733" s="354"/>
    </row>
    <row r="734" ht="15.75" customHeight="1">
      <c r="B734" s="309"/>
      <c r="D734" s="298"/>
      <c r="E734" s="299"/>
      <c r="F734" s="353"/>
      <c r="G734" s="299"/>
      <c r="H734" s="299"/>
      <c r="I734" s="354"/>
      <c r="J734" s="354"/>
    </row>
    <row r="735" ht="15.75" customHeight="1">
      <c r="B735" s="309"/>
      <c r="D735" s="298"/>
      <c r="E735" s="299"/>
      <c r="F735" s="353"/>
      <c r="G735" s="299"/>
      <c r="H735" s="299"/>
      <c r="I735" s="354"/>
      <c r="J735" s="354"/>
    </row>
    <row r="736" ht="15.75" customHeight="1">
      <c r="B736" s="309"/>
      <c r="D736" s="298"/>
      <c r="E736" s="299"/>
      <c r="F736" s="353"/>
      <c r="G736" s="299"/>
      <c r="H736" s="299"/>
      <c r="I736" s="354"/>
      <c r="J736" s="354"/>
    </row>
    <row r="737" ht="15.75" customHeight="1">
      <c r="B737" s="309"/>
      <c r="D737" s="298"/>
      <c r="E737" s="299"/>
      <c r="F737" s="353"/>
      <c r="G737" s="299"/>
      <c r="H737" s="299"/>
      <c r="I737" s="354"/>
      <c r="J737" s="354"/>
    </row>
    <row r="738" ht="15.75" customHeight="1">
      <c r="B738" s="309"/>
      <c r="D738" s="298"/>
      <c r="E738" s="299"/>
      <c r="F738" s="353"/>
      <c r="G738" s="299"/>
      <c r="H738" s="299"/>
      <c r="I738" s="354"/>
      <c r="J738" s="354"/>
    </row>
    <row r="739" ht="15.75" customHeight="1">
      <c r="B739" s="309"/>
      <c r="D739" s="298"/>
      <c r="E739" s="299"/>
      <c r="F739" s="353"/>
      <c r="G739" s="299"/>
      <c r="H739" s="299"/>
      <c r="I739" s="354"/>
      <c r="J739" s="354"/>
    </row>
    <row r="740" ht="15.75" customHeight="1">
      <c r="B740" s="309"/>
      <c r="D740" s="298"/>
      <c r="E740" s="299"/>
      <c r="F740" s="353"/>
      <c r="G740" s="299"/>
      <c r="H740" s="299"/>
      <c r="I740" s="354"/>
      <c r="J740" s="354"/>
    </row>
    <row r="741" ht="15.75" customHeight="1">
      <c r="B741" s="309"/>
      <c r="D741" s="298"/>
      <c r="E741" s="299"/>
      <c r="F741" s="353"/>
      <c r="G741" s="299"/>
      <c r="H741" s="299"/>
      <c r="I741" s="354"/>
      <c r="J741" s="354"/>
    </row>
    <row r="742" ht="15.75" customHeight="1">
      <c r="B742" s="309"/>
      <c r="D742" s="298"/>
      <c r="E742" s="299"/>
      <c r="F742" s="353"/>
      <c r="G742" s="299"/>
      <c r="H742" s="299"/>
      <c r="I742" s="354"/>
      <c r="J742" s="354"/>
    </row>
    <row r="743" ht="15.75" customHeight="1">
      <c r="B743" s="309"/>
      <c r="D743" s="298"/>
      <c r="E743" s="299"/>
      <c r="F743" s="353"/>
      <c r="G743" s="299"/>
      <c r="H743" s="299"/>
      <c r="I743" s="354"/>
      <c r="J743" s="354"/>
    </row>
    <row r="744" ht="15.75" customHeight="1">
      <c r="B744" s="309"/>
      <c r="D744" s="298"/>
      <c r="E744" s="299"/>
      <c r="F744" s="353"/>
      <c r="G744" s="299"/>
      <c r="H744" s="299"/>
      <c r="I744" s="354"/>
      <c r="J744" s="354"/>
    </row>
    <row r="745" ht="15.75" customHeight="1">
      <c r="B745" s="309"/>
      <c r="D745" s="298"/>
      <c r="E745" s="299"/>
      <c r="F745" s="353"/>
      <c r="G745" s="299"/>
      <c r="H745" s="299"/>
      <c r="I745" s="354"/>
      <c r="J745" s="354"/>
    </row>
    <row r="746" ht="15.75" customHeight="1">
      <c r="B746" s="309"/>
      <c r="D746" s="298"/>
      <c r="E746" s="299"/>
      <c r="F746" s="353"/>
      <c r="G746" s="299"/>
      <c r="H746" s="299"/>
      <c r="I746" s="354"/>
      <c r="J746" s="354"/>
    </row>
    <row r="747" ht="15.75" customHeight="1">
      <c r="B747" s="309"/>
      <c r="D747" s="298"/>
      <c r="E747" s="299"/>
      <c r="F747" s="353"/>
      <c r="G747" s="299"/>
      <c r="H747" s="299"/>
      <c r="I747" s="354"/>
      <c r="J747" s="354"/>
    </row>
    <row r="748" ht="15.75" customHeight="1">
      <c r="B748" s="309"/>
      <c r="D748" s="298"/>
      <c r="E748" s="299"/>
      <c r="F748" s="353"/>
      <c r="G748" s="299"/>
      <c r="H748" s="299"/>
      <c r="I748" s="354"/>
      <c r="J748" s="354"/>
    </row>
    <row r="749" ht="15.75" customHeight="1">
      <c r="B749" s="309"/>
      <c r="D749" s="298"/>
      <c r="E749" s="299"/>
      <c r="F749" s="353"/>
      <c r="G749" s="299"/>
      <c r="H749" s="299"/>
      <c r="I749" s="354"/>
      <c r="J749" s="354"/>
    </row>
    <row r="750" ht="15.75" customHeight="1">
      <c r="B750" s="309"/>
      <c r="D750" s="298"/>
      <c r="E750" s="299"/>
      <c r="F750" s="353"/>
      <c r="G750" s="299"/>
      <c r="H750" s="299"/>
      <c r="I750" s="354"/>
      <c r="J750" s="354"/>
    </row>
    <row r="751" ht="15.75" customHeight="1">
      <c r="B751" s="309"/>
      <c r="D751" s="298"/>
      <c r="E751" s="299"/>
      <c r="F751" s="353"/>
      <c r="G751" s="299"/>
      <c r="H751" s="299"/>
      <c r="I751" s="354"/>
      <c r="J751" s="354"/>
    </row>
    <row r="752" ht="15.75" customHeight="1">
      <c r="B752" s="309"/>
      <c r="D752" s="298"/>
      <c r="E752" s="299"/>
      <c r="F752" s="353"/>
      <c r="G752" s="299"/>
      <c r="H752" s="299"/>
      <c r="I752" s="354"/>
      <c r="J752" s="354"/>
    </row>
    <row r="753" ht="15.75" customHeight="1">
      <c r="B753" s="309"/>
      <c r="D753" s="298"/>
      <c r="E753" s="299"/>
      <c r="F753" s="353"/>
      <c r="G753" s="299"/>
      <c r="H753" s="299"/>
      <c r="I753" s="354"/>
      <c r="J753" s="354"/>
    </row>
    <row r="754" ht="15.75" customHeight="1">
      <c r="B754" s="309"/>
      <c r="D754" s="298"/>
      <c r="E754" s="299"/>
      <c r="F754" s="353"/>
      <c r="G754" s="299"/>
      <c r="H754" s="299"/>
      <c r="I754" s="354"/>
      <c r="J754" s="354"/>
    </row>
    <row r="755" ht="15.75" customHeight="1">
      <c r="B755" s="309"/>
      <c r="D755" s="298"/>
      <c r="E755" s="299"/>
      <c r="F755" s="353"/>
      <c r="G755" s="299"/>
      <c r="H755" s="299"/>
      <c r="I755" s="354"/>
      <c r="J755" s="354"/>
    </row>
    <row r="756" ht="15.75" customHeight="1">
      <c r="B756" s="309"/>
      <c r="D756" s="298"/>
      <c r="E756" s="299"/>
      <c r="F756" s="353"/>
      <c r="G756" s="299"/>
      <c r="H756" s="299"/>
      <c r="I756" s="354"/>
      <c r="J756" s="354"/>
    </row>
    <row r="757" ht="15.75" customHeight="1">
      <c r="B757" s="309"/>
      <c r="D757" s="298"/>
      <c r="E757" s="299"/>
      <c r="F757" s="353"/>
      <c r="G757" s="299"/>
      <c r="H757" s="299"/>
      <c r="I757" s="354"/>
      <c r="J757" s="354"/>
    </row>
    <row r="758" ht="15.75" customHeight="1">
      <c r="B758" s="309"/>
      <c r="D758" s="298"/>
      <c r="E758" s="299"/>
      <c r="F758" s="353"/>
      <c r="G758" s="299"/>
      <c r="H758" s="299"/>
      <c r="I758" s="354"/>
      <c r="J758" s="354"/>
    </row>
    <row r="759" ht="15.75" customHeight="1">
      <c r="B759" s="309"/>
      <c r="D759" s="298"/>
      <c r="E759" s="299"/>
      <c r="F759" s="353"/>
      <c r="G759" s="299"/>
      <c r="H759" s="299"/>
      <c r="I759" s="354"/>
      <c r="J759" s="354"/>
    </row>
    <row r="760" ht="15.75" customHeight="1">
      <c r="B760" s="309"/>
      <c r="D760" s="298"/>
      <c r="E760" s="299"/>
      <c r="F760" s="353"/>
      <c r="G760" s="299"/>
      <c r="H760" s="299"/>
      <c r="I760" s="354"/>
      <c r="J760" s="354"/>
    </row>
    <row r="761" ht="15.75" customHeight="1">
      <c r="B761" s="309"/>
      <c r="D761" s="298"/>
      <c r="E761" s="299"/>
      <c r="F761" s="353"/>
      <c r="G761" s="299"/>
      <c r="H761" s="299"/>
      <c r="I761" s="354"/>
      <c r="J761" s="354"/>
    </row>
    <row r="762" ht="15.75" customHeight="1">
      <c r="B762" s="309"/>
      <c r="D762" s="298"/>
      <c r="E762" s="299"/>
      <c r="F762" s="353"/>
      <c r="G762" s="299"/>
      <c r="H762" s="299"/>
      <c r="I762" s="354"/>
      <c r="J762" s="354"/>
    </row>
    <row r="763" ht="15.75" customHeight="1">
      <c r="B763" s="309"/>
      <c r="D763" s="298"/>
      <c r="E763" s="299"/>
      <c r="F763" s="353"/>
      <c r="G763" s="299"/>
      <c r="H763" s="299"/>
      <c r="I763" s="354"/>
      <c r="J763" s="354"/>
    </row>
    <row r="764" ht="15.75" customHeight="1">
      <c r="B764" s="309"/>
      <c r="D764" s="298"/>
      <c r="E764" s="299"/>
      <c r="F764" s="353"/>
      <c r="G764" s="299"/>
      <c r="H764" s="299"/>
      <c r="I764" s="354"/>
      <c r="J764" s="354"/>
    </row>
    <row r="765" ht="15.75" customHeight="1">
      <c r="B765" s="309"/>
      <c r="D765" s="298"/>
      <c r="E765" s="299"/>
      <c r="F765" s="353"/>
      <c r="G765" s="299"/>
      <c r="H765" s="299"/>
      <c r="I765" s="354"/>
      <c r="J765" s="354"/>
    </row>
    <row r="766" ht="15.75" customHeight="1">
      <c r="B766" s="309"/>
      <c r="D766" s="298"/>
      <c r="E766" s="299"/>
      <c r="F766" s="353"/>
      <c r="G766" s="299"/>
      <c r="H766" s="299"/>
      <c r="I766" s="354"/>
      <c r="J766" s="354"/>
    </row>
    <row r="767" ht="15.75" customHeight="1">
      <c r="B767" s="309"/>
      <c r="D767" s="298"/>
      <c r="E767" s="299"/>
      <c r="F767" s="353"/>
      <c r="G767" s="299"/>
      <c r="H767" s="299"/>
      <c r="I767" s="354"/>
      <c r="J767" s="354"/>
    </row>
    <row r="768" ht="15.75" customHeight="1">
      <c r="B768" s="309"/>
      <c r="D768" s="298"/>
      <c r="E768" s="299"/>
      <c r="F768" s="353"/>
      <c r="G768" s="299"/>
      <c r="H768" s="299"/>
      <c r="I768" s="354"/>
      <c r="J768" s="354"/>
    </row>
    <row r="769" ht="15.75" customHeight="1">
      <c r="B769" s="309"/>
      <c r="D769" s="298"/>
      <c r="E769" s="299"/>
      <c r="F769" s="353"/>
      <c r="G769" s="299"/>
      <c r="H769" s="299"/>
      <c r="I769" s="354"/>
      <c r="J769" s="354"/>
    </row>
    <row r="770" ht="15.75" customHeight="1">
      <c r="B770" s="309"/>
      <c r="D770" s="298"/>
      <c r="E770" s="299"/>
      <c r="F770" s="353"/>
      <c r="G770" s="299"/>
      <c r="H770" s="299"/>
      <c r="I770" s="354"/>
      <c r="J770" s="354"/>
    </row>
    <row r="771" ht="15.75" customHeight="1">
      <c r="B771" s="309"/>
      <c r="D771" s="298"/>
      <c r="E771" s="299"/>
      <c r="F771" s="353"/>
      <c r="G771" s="299"/>
      <c r="H771" s="299"/>
      <c r="I771" s="354"/>
      <c r="J771" s="354"/>
    </row>
    <row r="772" ht="15.75" customHeight="1">
      <c r="B772" s="309"/>
      <c r="D772" s="298"/>
      <c r="E772" s="299"/>
      <c r="F772" s="353"/>
      <c r="G772" s="299"/>
      <c r="H772" s="299"/>
      <c r="I772" s="354"/>
      <c r="J772" s="354"/>
    </row>
    <row r="773" ht="15.75" customHeight="1">
      <c r="B773" s="309"/>
      <c r="D773" s="298"/>
      <c r="E773" s="299"/>
      <c r="F773" s="353"/>
      <c r="G773" s="299"/>
      <c r="H773" s="299"/>
      <c r="I773" s="354"/>
      <c r="J773" s="354"/>
    </row>
    <row r="774" ht="15.75" customHeight="1">
      <c r="B774" s="309"/>
      <c r="D774" s="298"/>
      <c r="E774" s="299"/>
      <c r="F774" s="353"/>
      <c r="G774" s="299"/>
      <c r="H774" s="299"/>
      <c r="I774" s="354"/>
      <c r="J774" s="354"/>
    </row>
    <row r="775" ht="15.75" customHeight="1">
      <c r="B775" s="309"/>
      <c r="D775" s="298"/>
      <c r="E775" s="299"/>
      <c r="F775" s="353"/>
      <c r="G775" s="299"/>
      <c r="H775" s="299"/>
      <c r="I775" s="354"/>
      <c r="J775" s="354"/>
    </row>
    <row r="776" ht="15.75" customHeight="1">
      <c r="B776" s="309"/>
      <c r="D776" s="298"/>
      <c r="E776" s="299"/>
      <c r="F776" s="353"/>
      <c r="G776" s="299"/>
      <c r="H776" s="299"/>
      <c r="I776" s="354"/>
      <c r="J776" s="354"/>
    </row>
    <row r="777" ht="15.75" customHeight="1">
      <c r="B777" s="309"/>
      <c r="D777" s="298"/>
      <c r="E777" s="299"/>
      <c r="F777" s="353"/>
      <c r="G777" s="299"/>
      <c r="H777" s="299"/>
      <c r="I777" s="354"/>
      <c r="J777" s="354"/>
    </row>
    <row r="778" ht="15.75" customHeight="1">
      <c r="B778" s="309"/>
      <c r="D778" s="298"/>
      <c r="E778" s="299"/>
      <c r="F778" s="353"/>
      <c r="G778" s="299"/>
      <c r="H778" s="299"/>
      <c r="I778" s="354"/>
      <c r="J778" s="354"/>
    </row>
    <row r="779" ht="15.75" customHeight="1">
      <c r="B779" s="309"/>
      <c r="D779" s="298"/>
      <c r="E779" s="299"/>
      <c r="F779" s="353"/>
      <c r="G779" s="299"/>
      <c r="H779" s="299"/>
      <c r="I779" s="354"/>
      <c r="J779" s="354"/>
    </row>
    <row r="780" ht="15.75" customHeight="1">
      <c r="B780" s="309"/>
      <c r="D780" s="298"/>
      <c r="E780" s="299"/>
      <c r="F780" s="353"/>
      <c r="G780" s="299"/>
      <c r="H780" s="299"/>
      <c r="I780" s="354"/>
      <c r="J780" s="354"/>
    </row>
    <row r="781" ht="15.75" customHeight="1">
      <c r="B781" s="309"/>
      <c r="D781" s="298"/>
      <c r="E781" s="299"/>
      <c r="F781" s="353"/>
      <c r="G781" s="299"/>
      <c r="H781" s="299"/>
      <c r="I781" s="354"/>
      <c r="J781" s="354"/>
    </row>
    <row r="782" ht="15.75" customHeight="1">
      <c r="B782" s="309"/>
      <c r="D782" s="298"/>
      <c r="E782" s="299"/>
      <c r="F782" s="353"/>
      <c r="G782" s="299"/>
      <c r="H782" s="299"/>
      <c r="I782" s="354"/>
      <c r="J782" s="354"/>
    </row>
    <row r="783" ht="15.75" customHeight="1">
      <c r="B783" s="309"/>
      <c r="D783" s="298"/>
      <c r="E783" s="299"/>
      <c r="F783" s="353"/>
      <c r="G783" s="299"/>
      <c r="H783" s="299"/>
      <c r="I783" s="354"/>
      <c r="J783" s="354"/>
    </row>
    <row r="784" ht="15.75" customHeight="1">
      <c r="B784" s="309"/>
      <c r="D784" s="298"/>
      <c r="E784" s="299"/>
      <c r="F784" s="353"/>
      <c r="G784" s="299"/>
      <c r="H784" s="299"/>
      <c r="I784" s="354"/>
      <c r="J784" s="354"/>
    </row>
    <row r="785" ht="15.75" customHeight="1">
      <c r="B785" s="309"/>
      <c r="D785" s="298"/>
      <c r="E785" s="299"/>
      <c r="F785" s="353"/>
      <c r="G785" s="299"/>
      <c r="H785" s="299"/>
      <c r="I785" s="354"/>
      <c r="J785" s="354"/>
    </row>
    <row r="786" ht="15.75" customHeight="1">
      <c r="B786" s="309"/>
      <c r="D786" s="298"/>
      <c r="E786" s="299"/>
      <c r="F786" s="353"/>
      <c r="G786" s="299"/>
      <c r="H786" s="299"/>
      <c r="I786" s="354"/>
      <c r="J786" s="354"/>
    </row>
    <row r="787" ht="15.75" customHeight="1">
      <c r="B787" s="309"/>
      <c r="D787" s="298"/>
      <c r="E787" s="299"/>
      <c r="F787" s="353"/>
      <c r="G787" s="299"/>
      <c r="H787" s="299"/>
      <c r="I787" s="354"/>
      <c r="J787" s="354"/>
    </row>
    <row r="788" ht="15.75" customHeight="1">
      <c r="B788" s="309"/>
      <c r="D788" s="298"/>
      <c r="E788" s="299"/>
      <c r="F788" s="353"/>
      <c r="G788" s="299"/>
      <c r="H788" s="299"/>
      <c r="I788" s="354"/>
      <c r="J788" s="354"/>
    </row>
    <row r="789" ht="15.75" customHeight="1">
      <c r="B789" s="309"/>
      <c r="D789" s="298"/>
      <c r="E789" s="299"/>
      <c r="F789" s="353"/>
      <c r="G789" s="299"/>
      <c r="H789" s="299"/>
      <c r="I789" s="354"/>
      <c r="J789" s="354"/>
    </row>
    <row r="790" ht="15.75" customHeight="1">
      <c r="B790" s="309"/>
      <c r="D790" s="298"/>
      <c r="E790" s="299"/>
      <c r="F790" s="353"/>
      <c r="G790" s="299"/>
      <c r="H790" s="299"/>
      <c r="I790" s="354"/>
      <c r="J790" s="354"/>
    </row>
    <row r="791" ht="15.75" customHeight="1">
      <c r="B791" s="309"/>
      <c r="D791" s="298"/>
      <c r="E791" s="299"/>
      <c r="F791" s="353"/>
      <c r="G791" s="299"/>
      <c r="H791" s="299"/>
      <c r="I791" s="354"/>
      <c r="J791" s="354"/>
    </row>
    <row r="792" ht="15.75" customHeight="1">
      <c r="B792" s="309"/>
      <c r="D792" s="298"/>
      <c r="E792" s="299"/>
      <c r="F792" s="353"/>
      <c r="G792" s="299"/>
      <c r="H792" s="299"/>
      <c r="I792" s="354"/>
      <c r="J792" s="354"/>
    </row>
    <row r="793" ht="15.75" customHeight="1">
      <c r="B793" s="309"/>
      <c r="D793" s="298"/>
      <c r="E793" s="299"/>
      <c r="F793" s="353"/>
      <c r="G793" s="299"/>
      <c r="H793" s="299"/>
      <c r="I793" s="354"/>
      <c r="J793" s="354"/>
    </row>
    <row r="794" ht="15.75" customHeight="1">
      <c r="B794" s="309"/>
      <c r="D794" s="298"/>
      <c r="E794" s="299"/>
      <c r="F794" s="353"/>
      <c r="G794" s="299"/>
      <c r="H794" s="299"/>
      <c r="I794" s="354"/>
      <c r="J794" s="354"/>
    </row>
    <row r="795" ht="15.75" customHeight="1">
      <c r="B795" s="309"/>
      <c r="D795" s="298"/>
      <c r="E795" s="299"/>
      <c r="F795" s="353"/>
      <c r="G795" s="299"/>
      <c r="H795" s="299"/>
      <c r="I795" s="354"/>
      <c r="J795" s="354"/>
    </row>
    <row r="796" ht="15.75" customHeight="1">
      <c r="B796" s="309"/>
      <c r="D796" s="298"/>
      <c r="E796" s="299"/>
      <c r="F796" s="353"/>
      <c r="G796" s="299"/>
      <c r="H796" s="299"/>
      <c r="I796" s="354"/>
      <c r="J796" s="354"/>
    </row>
    <row r="797" ht="15.75" customHeight="1">
      <c r="B797" s="309"/>
      <c r="D797" s="298"/>
      <c r="E797" s="299"/>
      <c r="F797" s="353"/>
      <c r="G797" s="299"/>
      <c r="H797" s="299"/>
      <c r="I797" s="354"/>
      <c r="J797" s="354"/>
    </row>
    <row r="798" ht="15.75" customHeight="1">
      <c r="B798" s="309"/>
      <c r="D798" s="298"/>
      <c r="E798" s="299"/>
      <c r="F798" s="353"/>
      <c r="G798" s="299"/>
      <c r="H798" s="299"/>
      <c r="I798" s="354"/>
      <c r="J798" s="354"/>
    </row>
    <row r="799" ht="15.75" customHeight="1">
      <c r="B799" s="309"/>
      <c r="D799" s="298"/>
      <c r="E799" s="299"/>
      <c r="F799" s="353"/>
      <c r="G799" s="299"/>
      <c r="H799" s="299"/>
      <c r="I799" s="354"/>
      <c r="J799" s="354"/>
    </row>
    <row r="800" ht="15.75" customHeight="1">
      <c r="B800" s="309"/>
      <c r="D800" s="298"/>
      <c r="E800" s="299"/>
      <c r="F800" s="353"/>
      <c r="G800" s="299"/>
      <c r="H800" s="299"/>
      <c r="I800" s="354"/>
      <c r="J800" s="354"/>
    </row>
    <row r="801" ht="15.75" customHeight="1">
      <c r="B801" s="309"/>
      <c r="D801" s="298"/>
      <c r="E801" s="299"/>
      <c r="F801" s="353"/>
      <c r="G801" s="299"/>
      <c r="H801" s="299"/>
      <c r="I801" s="354"/>
      <c r="J801" s="354"/>
    </row>
    <row r="802" ht="15.75" customHeight="1">
      <c r="B802" s="309"/>
      <c r="D802" s="298"/>
      <c r="E802" s="299"/>
      <c r="F802" s="353"/>
      <c r="G802" s="299"/>
      <c r="H802" s="299"/>
      <c r="I802" s="354"/>
      <c r="J802" s="354"/>
    </row>
    <row r="803" ht="15.75" customHeight="1">
      <c r="B803" s="309"/>
      <c r="D803" s="298"/>
      <c r="E803" s="299"/>
      <c r="F803" s="353"/>
      <c r="G803" s="299"/>
      <c r="H803" s="299"/>
      <c r="I803" s="354"/>
      <c r="J803" s="354"/>
    </row>
    <row r="804" ht="15.75" customHeight="1">
      <c r="B804" s="309"/>
      <c r="D804" s="298"/>
      <c r="E804" s="299"/>
      <c r="F804" s="353"/>
      <c r="G804" s="299"/>
      <c r="H804" s="299"/>
      <c r="I804" s="354"/>
      <c r="J804" s="354"/>
    </row>
    <row r="805" ht="15.75" customHeight="1">
      <c r="B805" s="309"/>
      <c r="D805" s="298"/>
      <c r="E805" s="299"/>
      <c r="F805" s="353"/>
      <c r="G805" s="299"/>
      <c r="H805" s="299"/>
      <c r="I805" s="354"/>
      <c r="J805" s="354"/>
    </row>
    <row r="806" ht="15.75" customHeight="1">
      <c r="B806" s="309"/>
      <c r="D806" s="298"/>
      <c r="E806" s="299"/>
      <c r="F806" s="353"/>
      <c r="G806" s="299"/>
      <c r="H806" s="299"/>
      <c r="I806" s="354"/>
      <c r="J806" s="354"/>
    </row>
    <row r="807" ht="15.75" customHeight="1">
      <c r="B807" s="309"/>
      <c r="D807" s="298"/>
      <c r="E807" s="299"/>
      <c r="F807" s="353"/>
      <c r="G807" s="299"/>
      <c r="H807" s="299"/>
      <c r="I807" s="354"/>
      <c r="J807" s="354"/>
    </row>
    <row r="808" ht="15.75" customHeight="1">
      <c r="B808" s="309"/>
      <c r="D808" s="298"/>
      <c r="E808" s="299"/>
      <c r="F808" s="353"/>
      <c r="G808" s="299"/>
      <c r="H808" s="299"/>
      <c r="I808" s="354"/>
      <c r="J808" s="354"/>
    </row>
    <row r="809" ht="15.75" customHeight="1">
      <c r="B809" s="309"/>
      <c r="D809" s="298"/>
      <c r="E809" s="299"/>
      <c r="F809" s="353"/>
      <c r="G809" s="299"/>
      <c r="H809" s="299"/>
      <c r="I809" s="354"/>
      <c r="J809" s="354"/>
    </row>
    <row r="810" ht="15.75" customHeight="1">
      <c r="B810" s="309"/>
      <c r="D810" s="298"/>
      <c r="E810" s="299"/>
      <c r="F810" s="353"/>
      <c r="G810" s="299"/>
      <c r="H810" s="299"/>
      <c r="I810" s="354"/>
      <c r="J810" s="354"/>
    </row>
    <row r="811" ht="15.75" customHeight="1">
      <c r="B811" s="309"/>
      <c r="D811" s="298"/>
      <c r="E811" s="299"/>
      <c r="F811" s="353"/>
      <c r="G811" s="299"/>
      <c r="H811" s="299"/>
      <c r="I811" s="354"/>
      <c r="J811" s="354"/>
    </row>
    <row r="812" ht="15.75" customHeight="1">
      <c r="B812" s="309"/>
      <c r="D812" s="298"/>
      <c r="E812" s="299"/>
      <c r="F812" s="353"/>
      <c r="G812" s="299"/>
      <c r="H812" s="299"/>
      <c r="I812" s="354"/>
      <c r="J812" s="354"/>
    </row>
    <row r="813" ht="15.75" customHeight="1">
      <c r="B813" s="309"/>
      <c r="D813" s="298"/>
      <c r="E813" s="299"/>
      <c r="F813" s="353"/>
      <c r="G813" s="299"/>
      <c r="H813" s="299"/>
      <c r="I813" s="354"/>
      <c r="J813" s="354"/>
    </row>
    <row r="814" ht="15.75" customHeight="1">
      <c r="B814" s="309"/>
      <c r="D814" s="298"/>
      <c r="E814" s="299"/>
      <c r="F814" s="353"/>
      <c r="G814" s="299"/>
      <c r="H814" s="299"/>
      <c r="I814" s="354"/>
      <c r="J814" s="354"/>
    </row>
    <row r="815" ht="15.75" customHeight="1">
      <c r="B815" s="309"/>
      <c r="D815" s="298"/>
      <c r="E815" s="299"/>
      <c r="F815" s="353"/>
      <c r="G815" s="299"/>
      <c r="H815" s="299"/>
      <c r="I815" s="354"/>
      <c r="J815" s="354"/>
    </row>
    <row r="816" ht="15.75" customHeight="1">
      <c r="B816" s="309"/>
      <c r="D816" s="298"/>
      <c r="E816" s="299"/>
      <c r="F816" s="353"/>
      <c r="G816" s="299"/>
      <c r="H816" s="299"/>
      <c r="I816" s="354"/>
      <c r="J816" s="354"/>
    </row>
    <row r="817" ht="15.75" customHeight="1">
      <c r="B817" s="309"/>
      <c r="D817" s="298"/>
      <c r="E817" s="299"/>
      <c r="F817" s="353"/>
      <c r="G817" s="299"/>
      <c r="H817" s="299"/>
      <c r="I817" s="354"/>
      <c r="J817" s="354"/>
    </row>
    <row r="818" ht="15.75" customHeight="1">
      <c r="B818" s="309"/>
      <c r="D818" s="298"/>
      <c r="E818" s="299"/>
      <c r="F818" s="353"/>
      <c r="G818" s="299"/>
      <c r="H818" s="299"/>
      <c r="I818" s="354"/>
      <c r="J818" s="354"/>
    </row>
    <row r="819" ht="15.75" customHeight="1">
      <c r="B819" s="309"/>
      <c r="D819" s="298"/>
      <c r="E819" s="299"/>
      <c r="F819" s="353"/>
      <c r="G819" s="299"/>
      <c r="H819" s="299"/>
      <c r="I819" s="354"/>
      <c r="J819" s="354"/>
    </row>
    <row r="820" ht="15.75" customHeight="1">
      <c r="B820" s="309"/>
      <c r="D820" s="298"/>
      <c r="E820" s="299"/>
      <c r="F820" s="353"/>
      <c r="G820" s="299"/>
      <c r="H820" s="299"/>
      <c r="I820" s="354"/>
      <c r="J820" s="354"/>
    </row>
    <row r="821" ht="15.75" customHeight="1">
      <c r="B821" s="309"/>
      <c r="D821" s="298"/>
      <c r="E821" s="299"/>
      <c r="F821" s="353"/>
      <c r="G821" s="299"/>
      <c r="H821" s="299"/>
      <c r="I821" s="354"/>
      <c r="J821" s="354"/>
    </row>
    <row r="822" ht="15.75" customHeight="1">
      <c r="B822" s="309"/>
      <c r="D822" s="298"/>
      <c r="E822" s="299"/>
      <c r="F822" s="353"/>
      <c r="G822" s="299"/>
      <c r="H822" s="299"/>
      <c r="I822" s="354"/>
      <c r="J822" s="354"/>
    </row>
    <row r="823" ht="15.75" customHeight="1">
      <c r="B823" s="309"/>
      <c r="D823" s="298"/>
      <c r="E823" s="299"/>
      <c r="F823" s="353"/>
      <c r="G823" s="299"/>
      <c r="H823" s="299"/>
      <c r="I823" s="354"/>
      <c r="J823" s="354"/>
    </row>
    <row r="824" ht="15.75" customHeight="1">
      <c r="B824" s="309"/>
      <c r="D824" s="298"/>
      <c r="E824" s="299"/>
      <c r="F824" s="353"/>
      <c r="G824" s="299"/>
      <c r="H824" s="299"/>
      <c r="I824" s="354"/>
      <c r="J824" s="354"/>
    </row>
    <row r="825" ht="15.75" customHeight="1">
      <c r="B825" s="309"/>
      <c r="D825" s="298"/>
      <c r="E825" s="299"/>
      <c r="F825" s="353"/>
      <c r="G825" s="299"/>
      <c r="H825" s="299"/>
      <c r="I825" s="354"/>
      <c r="J825" s="354"/>
    </row>
    <row r="826" ht="15.75" customHeight="1">
      <c r="B826" s="309"/>
      <c r="D826" s="298"/>
      <c r="E826" s="299"/>
      <c r="F826" s="353"/>
      <c r="G826" s="299"/>
      <c r="H826" s="299"/>
      <c r="I826" s="354"/>
      <c r="J826" s="354"/>
    </row>
    <row r="827" ht="15.75" customHeight="1">
      <c r="B827" s="309"/>
      <c r="D827" s="298"/>
      <c r="E827" s="299"/>
      <c r="F827" s="353"/>
      <c r="G827" s="299"/>
      <c r="H827" s="299"/>
      <c r="I827" s="354"/>
      <c r="J827" s="354"/>
    </row>
    <row r="828" ht="15.75" customHeight="1">
      <c r="B828" s="309"/>
      <c r="D828" s="298"/>
      <c r="E828" s="299"/>
      <c r="F828" s="353"/>
      <c r="G828" s="299"/>
      <c r="H828" s="299"/>
      <c r="I828" s="354"/>
      <c r="J828" s="354"/>
    </row>
    <row r="829" ht="15.75" customHeight="1">
      <c r="B829" s="309"/>
      <c r="D829" s="298"/>
      <c r="E829" s="299"/>
      <c r="F829" s="353"/>
      <c r="G829" s="299"/>
      <c r="H829" s="299"/>
      <c r="I829" s="354"/>
      <c r="J829" s="354"/>
    </row>
    <row r="830" ht="15.75" customHeight="1">
      <c r="B830" s="309"/>
      <c r="D830" s="298"/>
      <c r="E830" s="299"/>
      <c r="F830" s="353"/>
      <c r="G830" s="299"/>
      <c r="H830" s="299"/>
      <c r="I830" s="354"/>
      <c r="J830" s="354"/>
    </row>
    <row r="831" ht="15.75" customHeight="1">
      <c r="B831" s="309"/>
      <c r="D831" s="298"/>
      <c r="E831" s="299"/>
      <c r="F831" s="353"/>
      <c r="G831" s="299"/>
      <c r="H831" s="299"/>
      <c r="I831" s="354"/>
      <c r="J831" s="354"/>
    </row>
    <row r="832" ht="15.75" customHeight="1">
      <c r="B832" s="309"/>
      <c r="D832" s="298"/>
      <c r="E832" s="299"/>
      <c r="F832" s="353"/>
      <c r="G832" s="299"/>
      <c r="H832" s="299"/>
      <c r="I832" s="354"/>
      <c r="J832" s="354"/>
    </row>
    <row r="833" ht="15.75" customHeight="1">
      <c r="B833" s="309"/>
      <c r="D833" s="298"/>
      <c r="E833" s="299"/>
      <c r="F833" s="353"/>
      <c r="G833" s="299"/>
      <c r="H833" s="299"/>
      <c r="I833" s="354"/>
      <c r="J833" s="354"/>
    </row>
    <row r="834" ht="15.75" customHeight="1">
      <c r="B834" s="309"/>
      <c r="D834" s="298"/>
      <c r="E834" s="299"/>
      <c r="F834" s="353"/>
      <c r="G834" s="299"/>
      <c r="H834" s="299"/>
      <c r="I834" s="354"/>
      <c r="J834" s="354"/>
    </row>
    <row r="835" ht="15.75" customHeight="1">
      <c r="B835" s="309"/>
      <c r="D835" s="298"/>
      <c r="E835" s="299"/>
      <c r="F835" s="353"/>
      <c r="G835" s="299"/>
      <c r="H835" s="299"/>
      <c r="I835" s="354"/>
      <c r="J835" s="354"/>
    </row>
    <row r="836" ht="15.75" customHeight="1">
      <c r="B836" s="309"/>
      <c r="D836" s="298"/>
      <c r="E836" s="299"/>
      <c r="F836" s="353"/>
      <c r="G836" s="299"/>
      <c r="H836" s="299"/>
      <c r="I836" s="354"/>
      <c r="J836" s="354"/>
    </row>
    <row r="837" ht="15.75" customHeight="1">
      <c r="B837" s="309"/>
      <c r="D837" s="298"/>
      <c r="E837" s="299"/>
      <c r="F837" s="353"/>
      <c r="G837" s="299"/>
      <c r="H837" s="299"/>
      <c r="I837" s="354"/>
      <c r="J837" s="354"/>
    </row>
    <row r="838" ht="15.75" customHeight="1">
      <c r="B838" s="309"/>
      <c r="D838" s="298"/>
      <c r="E838" s="299"/>
      <c r="F838" s="353"/>
      <c r="G838" s="299"/>
      <c r="H838" s="299"/>
      <c r="I838" s="354"/>
      <c r="J838" s="354"/>
    </row>
    <row r="839" ht="15.75" customHeight="1">
      <c r="B839" s="309"/>
      <c r="D839" s="298"/>
      <c r="E839" s="299"/>
      <c r="F839" s="353"/>
      <c r="G839" s="299"/>
      <c r="H839" s="299"/>
      <c r="I839" s="354"/>
      <c r="J839" s="354"/>
    </row>
    <row r="840" ht="15.75" customHeight="1">
      <c r="B840" s="309"/>
      <c r="D840" s="298"/>
      <c r="E840" s="299"/>
      <c r="F840" s="353"/>
      <c r="G840" s="299"/>
      <c r="H840" s="299"/>
      <c r="I840" s="354"/>
      <c r="J840" s="354"/>
    </row>
    <row r="841" ht="15.75" customHeight="1">
      <c r="B841" s="309"/>
      <c r="D841" s="298"/>
      <c r="E841" s="299"/>
      <c r="F841" s="353"/>
      <c r="G841" s="299"/>
      <c r="H841" s="299"/>
      <c r="I841" s="354"/>
      <c r="J841" s="354"/>
    </row>
    <row r="842" ht="15.75" customHeight="1">
      <c r="B842" s="309"/>
      <c r="D842" s="298"/>
      <c r="E842" s="299"/>
      <c r="F842" s="353"/>
      <c r="G842" s="299"/>
      <c r="H842" s="299"/>
      <c r="I842" s="354"/>
      <c r="J842" s="354"/>
    </row>
    <row r="843" ht="15.75" customHeight="1">
      <c r="B843" s="309"/>
      <c r="D843" s="298"/>
      <c r="E843" s="299"/>
      <c r="F843" s="353"/>
      <c r="G843" s="299"/>
      <c r="H843" s="299"/>
      <c r="I843" s="354"/>
      <c r="J843" s="354"/>
    </row>
    <row r="844" ht="15.75" customHeight="1">
      <c r="B844" s="309"/>
      <c r="D844" s="298"/>
      <c r="E844" s="299"/>
      <c r="F844" s="353"/>
      <c r="G844" s="299"/>
      <c r="H844" s="299"/>
      <c r="I844" s="354"/>
      <c r="J844" s="354"/>
    </row>
    <row r="845" ht="15.75" customHeight="1">
      <c r="B845" s="309"/>
      <c r="D845" s="298"/>
      <c r="E845" s="299"/>
      <c r="F845" s="353"/>
      <c r="G845" s="299"/>
      <c r="H845" s="299"/>
      <c r="I845" s="354"/>
      <c r="J845" s="354"/>
    </row>
    <row r="846" ht="15.75" customHeight="1">
      <c r="B846" s="309"/>
      <c r="D846" s="298"/>
      <c r="E846" s="299"/>
      <c r="F846" s="353"/>
      <c r="G846" s="299"/>
      <c r="H846" s="299"/>
      <c r="I846" s="354"/>
      <c r="J846" s="354"/>
    </row>
    <row r="847" ht="15.75" customHeight="1">
      <c r="B847" s="309"/>
      <c r="D847" s="298"/>
      <c r="E847" s="299"/>
      <c r="F847" s="353"/>
      <c r="G847" s="299"/>
      <c r="H847" s="299"/>
      <c r="I847" s="354"/>
      <c r="J847" s="354"/>
    </row>
    <row r="848" ht="15.75" customHeight="1">
      <c r="B848" s="309"/>
      <c r="D848" s="298"/>
      <c r="E848" s="299"/>
      <c r="F848" s="353"/>
      <c r="G848" s="299"/>
      <c r="H848" s="299"/>
      <c r="I848" s="354"/>
      <c r="J848" s="354"/>
    </row>
    <row r="849" ht="15.75" customHeight="1">
      <c r="B849" s="309"/>
      <c r="D849" s="298"/>
      <c r="E849" s="299"/>
      <c r="F849" s="353"/>
      <c r="G849" s="299"/>
      <c r="H849" s="299"/>
      <c r="I849" s="354"/>
      <c r="J849" s="354"/>
    </row>
    <row r="850" ht="15.75" customHeight="1">
      <c r="B850" s="309"/>
      <c r="D850" s="298"/>
      <c r="E850" s="299"/>
      <c r="F850" s="353"/>
      <c r="G850" s="299"/>
      <c r="H850" s="299"/>
      <c r="I850" s="354"/>
      <c r="J850" s="354"/>
    </row>
    <row r="851" ht="15.75" customHeight="1">
      <c r="B851" s="309"/>
      <c r="D851" s="298"/>
      <c r="E851" s="299"/>
      <c r="F851" s="353"/>
      <c r="G851" s="299"/>
      <c r="H851" s="299"/>
      <c r="I851" s="354"/>
      <c r="J851" s="354"/>
    </row>
    <row r="852" ht="15.75" customHeight="1">
      <c r="B852" s="309"/>
      <c r="D852" s="298"/>
      <c r="E852" s="299"/>
      <c r="F852" s="353"/>
      <c r="G852" s="299"/>
      <c r="H852" s="299"/>
      <c r="I852" s="354"/>
      <c r="J852" s="354"/>
    </row>
    <row r="853" ht="15.75" customHeight="1">
      <c r="B853" s="309"/>
      <c r="D853" s="298"/>
      <c r="E853" s="299"/>
      <c r="F853" s="353"/>
      <c r="G853" s="299"/>
      <c r="H853" s="299"/>
      <c r="I853" s="354"/>
      <c r="J853" s="354"/>
    </row>
    <row r="854" ht="15.75" customHeight="1">
      <c r="B854" s="309"/>
      <c r="D854" s="298"/>
      <c r="E854" s="299"/>
      <c r="F854" s="353"/>
      <c r="G854" s="299"/>
      <c r="H854" s="299"/>
      <c r="I854" s="354"/>
      <c r="J854" s="354"/>
    </row>
    <row r="855" ht="15.75" customHeight="1">
      <c r="B855" s="309"/>
      <c r="D855" s="298"/>
      <c r="E855" s="299"/>
      <c r="F855" s="353"/>
      <c r="G855" s="299"/>
      <c r="H855" s="299"/>
      <c r="I855" s="354"/>
      <c r="J855" s="354"/>
    </row>
    <row r="856" ht="15.75" customHeight="1">
      <c r="B856" s="309"/>
      <c r="D856" s="298"/>
      <c r="E856" s="299"/>
      <c r="F856" s="353"/>
      <c r="G856" s="299"/>
      <c r="H856" s="299"/>
      <c r="I856" s="354"/>
      <c r="J856" s="354"/>
    </row>
    <row r="857" ht="15.75" customHeight="1">
      <c r="B857" s="309"/>
      <c r="D857" s="298"/>
      <c r="E857" s="299"/>
      <c r="F857" s="353"/>
      <c r="G857" s="299"/>
      <c r="H857" s="299"/>
      <c r="I857" s="354"/>
      <c r="J857" s="354"/>
    </row>
    <row r="858" ht="15.75" customHeight="1">
      <c r="B858" s="309"/>
      <c r="D858" s="298"/>
      <c r="E858" s="299"/>
      <c r="F858" s="353"/>
      <c r="G858" s="299"/>
      <c r="H858" s="299"/>
      <c r="I858" s="354"/>
      <c r="J858" s="354"/>
    </row>
    <row r="859" ht="15.75" customHeight="1">
      <c r="B859" s="309"/>
      <c r="D859" s="298"/>
      <c r="E859" s="299"/>
      <c r="F859" s="353"/>
      <c r="G859" s="299"/>
      <c r="H859" s="299"/>
      <c r="I859" s="354"/>
      <c r="J859" s="354"/>
    </row>
    <row r="860" ht="15.75" customHeight="1">
      <c r="B860" s="309"/>
      <c r="D860" s="298"/>
      <c r="E860" s="299"/>
      <c r="F860" s="353"/>
      <c r="G860" s="299"/>
      <c r="H860" s="299"/>
      <c r="I860" s="354"/>
      <c r="J860" s="354"/>
    </row>
    <row r="861" ht="15.75" customHeight="1">
      <c r="B861" s="309"/>
      <c r="D861" s="298"/>
      <c r="E861" s="299"/>
      <c r="F861" s="353"/>
      <c r="G861" s="299"/>
      <c r="H861" s="299"/>
      <c r="I861" s="354"/>
      <c r="J861" s="354"/>
    </row>
    <row r="862" ht="15.75" customHeight="1">
      <c r="B862" s="309"/>
      <c r="D862" s="298"/>
      <c r="E862" s="299"/>
      <c r="F862" s="353"/>
      <c r="G862" s="299"/>
      <c r="H862" s="299"/>
      <c r="I862" s="354"/>
      <c r="J862" s="354"/>
    </row>
    <row r="863" ht="15.75" customHeight="1">
      <c r="B863" s="309"/>
      <c r="D863" s="298"/>
      <c r="E863" s="299"/>
      <c r="F863" s="353"/>
      <c r="G863" s="299"/>
      <c r="H863" s="299"/>
      <c r="I863" s="354"/>
      <c r="J863" s="354"/>
    </row>
    <row r="864" ht="15.75" customHeight="1">
      <c r="B864" s="309"/>
      <c r="D864" s="298"/>
      <c r="E864" s="299"/>
      <c r="F864" s="353"/>
      <c r="G864" s="299"/>
      <c r="H864" s="299"/>
      <c r="I864" s="354"/>
      <c r="J864" s="354"/>
    </row>
    <row r="865" ht="15.75" customHeight="1">
      <c r="B865" s="309"/>
      <c r="D865" s="298"/>
      <c r="E865" s="299"/>
      <c r="F865" s="353"/>
      <c r="G865" s="299"/>
      <c r="H865" s="299"/>
      <c r="I865" s="354"/>
      <c r="J865" s="354"/>
    </row>
    <row r="866" ht="15.75" customHeight="1">
      <c r="B866" s="309"/>
      <c r="D866" s="298"/>
      <c r="E866" s="299"/>
      <c r="F866" s="353"/>
      <c r="G866" s="299"/>
      <c r="H866" s="299"/>
      <c r="I866" s="354"/>
      <c r="J866" s="354"/>
    </row>
    <row r="867" ht="15.75" customHeight="1">
      <c r="B867" s="309"/>
      <c r="D867" s="298"/>
      <c r="E867" s="299"/>
      <c r="F867" s="353"/>
      <c r="G867" s="299"/>
      <c r="H867" s="299"/>
      <c r="I867" s="354"/>
      <c r="J867" s="354"/>
    </row>
    <row r="868" ht="15.75" customHeight="1">
      <c r="B868" s="309"/>
      <c r="D868" s="298"/>
      <c r="E868" s="299"/>
      <c r="F868" s="353"/>
      <c r="G868" s="299"/>
      <c r="H868" s="299"/>
      <c r="I868" s="354"/>
      <c r="J868" s="354"/>
    </row>
    <row r="869" ht="15.75" customHeight="1">
      <c r="B869" s="309"/>
      <c r="D869" s="298"/>
      <c r="E869" s="299"/>
      <c r="F869" s="353"/>
      <c r="G869" s="299"/>
      <c r="H869" s="299"/>
      <c r="I869" s="354"/>
      <c r="J869" s="354"/>
    </row>
    <row r="870" ht="15.75" customHeight="1">
      <c r="B870" s="309"/>
      <c r="D870" s="298"/>
      <c r="E870" s="299"/>
      <c r="F870" s="353"/>
      <c r="G870" s="299"/>
      <c r="H870" s="299"/>
      <c r="I870" s="354"/>
      <c r="J870" s="354"/>
    </row>
    <row r="871" ht="15.75" customHeight="1">
      <c r="B871" s="309"/>
      <c r="D871" s="298"/>
      <c r="E871" s="299"/>
      <c r="F871" s="353"/>
      <c r="G871" s="299"/>
      <c r="H871" s="299"/>
      <c r="I871" s="354"/>
      <c r="J871" s="354"/>
    </row>
    <row r="872" ht="15.75" customHeight="1">
      <c r="B872" s="309"/>
      <c r="D872" s="298"/>
      <c r="E872" s="299"/>
      <c r="F872" s="353"/>
      <c r="G872" s="299"/>
      <c r="H872" s="299"/>
      <c r="I872" s="354"/>
      <c r="J872" s="354"/>
    </row>
    <row r="873" ht="15.75" customHeight="1">
      <c r="B873" s="309"/>
      <c r="D873" s="298"/>
      <c r="E873" s="299"/>
      <c r="F873" s="353"/>
      <c r="G873" s="299"/>
      <c r="H873" s="299"/>
      <c r="I873" s="354"/>
      <c r="J873" s="354"/>
    </row>
    <row r="874" ht="15.75" customHeight="1">
      <c r="B874" s="309"/>
      <c r="D874" s="298"/>
      <c r="E874" s="299"/>
      <c r="F874" s="353"/>
      <c r="G874" s="299"/>
      <c r="H874" s="299"/>
      <c r="I874" s="354"/>
      <c r="J874" s="354"/>
    </row>
    <row r="875" ht="15.75" customHeight="1">
      <c r="B875" s="309"/>
      <c r="D875" s="298"/>
      <c r="E875" s="299"/>
      <c r="F875" s="353"/>
      <c r="G875" s="299"/>
      <c r="H875" s="299"/>
      <c r="I875" s="354"/>
      <c r="J875" s="354"/>
    </row>
    <row r="876" ht="15.75" customHeight="1">
      <c r="B876" s="309"/>
      <c r="D876" s="298"/>
      <c r="E876" s="299"/>
      <c r="F876" s="353"/>
      <c r="G876" s="299"/>
      <c r="H876" s="299"/>
      <c r="I876" s="354"/>
      <c r="J876" s="354"/>
    </row>
    <row r="877" ht="15.75" customHeight="1">
      <c r="B877" s="309"/>
      <c r="D877" s="298"/>
      <c r="E877" s="299"/>
      <c r="F877" s="353"/>
      <c r="G877" s="299"/>
      <c r="H877" s="299"/>
      <c r="I877" s="354"/>
      <c r="J877" s="354"/>
    </row>
    <row r="878" ht="15.75" customHeight="1">
      <c r="B878" s="309"/>
      <c r="D878" s="298"/>
      <c r="E878" s="299"/>
      <c r="F878" s="353"/>
      <c r="G878" s="299"/>
      <c r="H878" s="299"/>
      <c r="I878" s="354"/>
      <c r="J878" s="354"/>
    </row>
    <row r="879" ht="15.75" customHeight="1">
      <c r="B879" s="309"/>
      <c r="D879" s="298"/>
      <c r="E879" s="299"/>
      <c r="F879" s="353"/>
      <c r="G879" s="299"/>
      <c r="H879" s="299"/>
      <c r="I879" s="354"/>
      <c r="J879" s="354"/>
    </row>
    <row r="880" ht="15.75" customHeight="1">
      <c r="B880" s="309"/>
      <c r="D880" s="298"/>
      <c r="E880" s="299"/>
      <c r="F880" s="353"/>
      <c r="G880" s="299"/>
      <c r="H880" s="299"/>
      <c r="I880" s="354"/>
      <c r="J880" s="354"/>
    </row>
    <row r="881" ht="15.75" customHeight="1">
      <c r="B881" s="309"/>
      <c r="D881" s="298"/>
      <c r="E881" s="299"/>
      <c r="F881" s="353"/>
      <c r="G881" s="299"/>
      <c r="H881" s="299"/>
      <c r="I881" s="354"/>
      <c r="J881" s="354"/>
    </row>
    <row r="882" ht="15.75" customHeight="1">
      <c r="B882" s="309"/>
      <c r="D882" s="298"/>
      <c r="E882" s="299"/>
      <c r="F882" s="353"/>
      <c r="G882" s="299"/>
      <c r="H882" s="299"/>
      <c r="I882" s="354"/>
      <c r="J882" s="354"/>
    </row>
    <row r="883" ht="15.75" customHeight="1">
      <c r="B883" s="309"/>
      <c r="D883" s="298"/>
      <c r="E883" s="299"/>
      <c r="F883" s="353"/>
      <c r="G883" s="299"/>
      <c r="H883" s="299"/>
      <c r="I883" s="354"/>
      <c r="J883" s="354"/>
    </row>
    <row r="884" ht="15.75" customHeight="1">
      <c r="B884" s="309"/>
      <c r="D884" s="298"/>
      <c r="E884" s="299"/>
      <c r="F884" s="353"/>
      <c r="G884" s="299"/>
      <c r="H884" s="299"/>
      <c r="I884" s="354"/>
      <c r="J884" s="354"/>
    </row>
    <row r="885" ht="15.75" customHeight="1">
      <c r="B885" s="309"/>
      <c r="D885" s="298"/>
      <c r="E885" s="299"/>
      <c r="F885" s="353"/>
      <c r="G885" s="299"/>
      <c r="H885" s="299"/>
      <c r="I885" s="354"/>
      <c r="J885" s="354"/>
    </row>
    <row r="886" ht="15.75" customHeight="1">
      <c r="B886" s="309"/>
      <c r="D886" s="298"/>
      <c r="E886" s="299"/>
      <c r="F886" s="353"/>
      <c r="G886" s="299"/>
      <c r="H886" s="299"/>
      <c r="I886" s="354"/>
      <c r="J886" s="354"/>
    </row>
    <row r="887" ht="15.75" customHeight="1">
      <c r="B887" s="309"/>
      <c r="D887" s="298"/>
      <c r="E887" s="299"/>
      <c r="F887" s="353"/>
      <c r="G887" s="299"/>
      <c r="H887" s="299"/>
      <c r="I887" s="354"/>
      <c r="J887" s="354"/>
    </row>
    <row r="888" ht="15.75" customHeight="1">
      <c r="B888" s="309"/>
      <c r="D888" s="298"/>
      <c r="E888" s="299"/>
      <c r="F888" s="353"/>
      <c r="G888" s="299"/>
      <c r="H888" s="299"/>
      <c r="I888" s="354"/>
      <c r="J888" s="354"/>
    </row>
    <row r="889" ht="15.75" customHeight="1">
      <c r="B889" s="309"/>
      <c r="D889" s="298"/>
      <c r="E889" s="299"/>
      <c r="F889" s="353"/>
      <c r="G889" s="299"/>
      <c r="H889" s="299"/>
      <c r="I889" s="354"/>
      <c r="J889" s="354"/>
    </row>
    <row r="890" ht="15.75" customHeight="1">
      <c r="B890" s="309"/>
      <c r="D890" s="298"/>
      <c r="E890" s="299"/>
      <c r="F890" s="353"/>
      <c r="G890" s="299"/>
      <c r="H890" s="299"/>
      <c r="I890" s="354"/>
      <c r="J890" s="354"/>
    </row>
    <row r="891" ht="15.75" customHeight="1">
      <c r="B891" s="309"/>
      <c r="D891" s="298"/>
      <c r="E891" s="299"/>
      <c r="F891" s="353"/>
      <c r="G891" s="299"/>
      <c r="H891" s="299"/>
      <c r="I891" s="354"/>
      <c r="J891" s="354"/>
    </row>
    <row r="892" ht="15.75" customHeight="1">
      <c r="B892" s="309"/>
      <c r="D892" s="298"/>
      <c r="E892" s="299"/>
      <c r="F892" s="353"/>
      <c r="G892" s="299"/>
      <c r="H892" s="299"/>
      <c r="I892" s="354"/>
      <c r="J892" s="354"/>
    </row>
    <row r="893" ht="15.75" customHeight="1">
      <c r="B893" s="309"/>
      <c r="D893" s="298"/>
      <c r="E893" s="299"/>
      <c r="F893" s="353"/>
      <c r="G893" s="299"/>
      <c r="H893" s="299"/>
      <c r="I893" s="354"/>
      <c r="J893" s="354"/>
    </row>
    <row r="894" ht="15.75" customHeight="1">
      <c r="B894" s="309"/>
      <c r="D894" s="298"/>
      <c r="E894" s="299"/>
      <c r="F894" s="353"/>
      <c r="G894" s="299"/>
      <c r="H894" s="299"/>
      <c r="I894" s="354"/>
      <c r="J894" s="354"/>
    </row>
    <row r="895" ht="15.75" customHeight="1">
      <c r="B895" s="309"/>
      <c r="D895" s="298"/>
      <c r="E895" s="299"/>
      <c r="F895" s="353"/>
      <c r="G895" s="299"/>
      <c r="H895" s="299"/>
      <c r="I895" s="354"/>
      <c r="J895" s="354"/>
    </row>
    <row r="896" ht="15.75" customHeight="1">
      <c r="B896" s="309"/>
      <c r="D896" s="298"/>
      <c r="E896" s="299"/>
      <c r="F896" s="353"/>
      <c r="G896" s="299"/>
      <c r="H896" s="299"/>
      <c r="I896" s="354"/>
      <c r="J896" s="354"/>
    </row>
    <row r="897" ht="15.75" customHeight="1">
      <c r="B897" s="309"/>
      <c r="D897" s="298"/>
      <c r="E897" s="299"/>
      <c r="F897" s="353"/>
      <c r="G897" s="299"/>
      <c r="H897" s="299"/>
      <c r="I897" s="354"/>
      <c r="J897" s="354"/>
    </row>
    <row r="898" ht="15.75" customHeight="1">
      <c r="B898" s="309"/>
      <c r="D898" s="298"/>
      <c r="E898" s="299"/>
      <c r="F898" s="353"/>
      <c r="G898" s="299"/>
      <c r="H898" s="299"/>
      <c r="I898" s="354"/>
      <c r="J898" s="354"/>
    </row>
    <row r="899" ht="15.75" customHeight="1">
      <c r="B899" s="309"/>
      <c r="D899" s="298"/>
      <c r="E899" s="299"/>
      <c r="F899" s="353"/>
      <c r="G899" s="299"/>
      <c r="H899" s="299"/>
      <c r="I899" s="354"/>
      <c r="J899" s="354"/>
    </row>
    <row r="900" ht="15.75" customHeight="1">
      <c r="B900" s="309"/>
      <c r="D900" s="298"/>
      <c r="E900" s="299"/>
      <c r="F900" s="353"/>
      <c r="G900" s="299"/>
      <c r="H900" s="299"/>
      <c r="I900" s="354"/>
      <c r="J900" s="354"/>
    </row>
    <row r="901" ht="15.75" customHeight="1">
      <c r="B901" s="309"/>
      <c r="D901" s="298"/>
      <c r="E901" s="299"/>
      <c r="F901" s="353"/>
      <c r="G901" s="299"/>
      <c r="H901" s="299"/>
      <c r="I901" s="354"/>
      <c r="J901" s="354"/>
    </row>
    <row r="902" ht="15.75" customHeight="1">
      <c r="B902" s="309"/>
      <c r="D902" s="298"/>
      <c r="E902" s="299"/>
      <c r="F902" s="353"/>
      <c r="G902" s="299"/>
      <c r="H902" s="299"/>
      <c r="I902" s="354"/>
      <c r="J902" s="354"/>
    </row>
    <row r="903" ht="15.75" customHeight="1">
      <c r="B903" s="309"/>
      <c r="D903" s="298"/>
      <c r="E903" s="299"/>
      <c r="F903" s="353"/>
      <c r="G903" s="299"/>
      <c r="H903" s="299"/>
      <c r="I903" s="354"/>
      <c r="J903" s="354"/>
    </row>
    <row r="904" ht="15.75" customHeight="1">
      <c r="B904" s="309"/>
      <c r="D904" s="298"/>
      <c r="E904" s="299"/>
      <c r="F904" s="353"/>
      <c r="G904" s="299"/>
      <c r="H904" s="299"/>
      <c r="I904" s="354"/>
      <c r="J904" s="354"/>
    </row>
    <row r="905" ht="15.75" customHeight="1">
      <c r="B905" s="309"/>
      <c r="D905" s="298"/>
      <c r="E905" s="299"/>
      <c r="F905" s="353"/>
      <c r="G905" s="299"/>
      <c r="H905" s="299"/>
      <c r="I905" s="354"/>
      <c r="J905" s="354"/>
    </row>
    <row r="906" ht="15.75" customHeight="1">
      <c r="B906" s="309"/>
      <c r="D906" s="298"/>
      <c r="E906" s="299"/>
      <c r="F906" s="353"/>
      <c r="G906" s="299"/>
      <c r="H906" s="299"/>
      <c r="I906" s="354"/>
      <c r="J906" s="354"/>
    </row>
    <row r="907" ht="15.75" customHeight="1">
      <c r="B907" s="309"/>
      <c r="D907" s="298"/>
      <c r="E907" s="299"/>
      <c r="F907" s="353"/>
      <c r="G907" s="299"/>
      <c r="H907" s="299"/>
      <c r="I907" s="354"/>
      <c r="J907" s="354"/>
    </row>
    <row r="908" ht="15.75" customHeight="1">
      <c r="B908" s="309"/>
      <c r="D908" s="298"/>
      <c r="E908" s="299"/>
      <c r="F908" s="353"/>
      <c r="G908" s="299"/>
      <c r="H908" s="299"/>
      <c r="I908" s="354"/>
      <c r="J908" s="354"/>
    </row>
    <row r="909" ht="15.75" customHeight="1">
      <c r="B909" s="309"/>
      <c r="D909" s="298"/>
      <c r="E909" s="299"/>
      <c r="F909" s="353"/>
      <c r="G909" s="299"/>
      <c r="H909" s="299"/>
      <c r="I909" s="354"/>
      <c r="J909" s="354"/>
    </row>
    <row r="910" ht="15.75" customHeight="1">
      <c r="B910" s="309"/>
      <c r="D910" s="298"/>
      <c r="E910" s="299"/>
      <c r="F910" s="353"/>
      <c r="G910" s="299"/>
      <c r="H910" s="299"/>
      <c r="I910" s="354"/>
      <c r="J910" s="354"/>
    </row>
    <row r="911" ht="15.75" customHeight="1">
      <c r="B911" s="309"/>
      <c r="D911" s="298"/>
      <c r="E911" s="299"/>
      <c r="F911" s="353"/>
      <c r="G911" s="299"/>
      <c r="H911" s="299"/>
      <c r="I911" s="354"/>
      <c r="J911" s="354"/>
    </row>
    <row r="912" ht="15.75" customHeight="1">
      <c r="B912" s="309"/>
      <c r="D912" s="298"/>
      <c r="E912" s="299"/>
      <c r="F912" s="353"/>
      <c r="G912" s="299"/>
      <c r="H912" s="299"/>
      <c r="I912" s="354"/>
      <c r="J912" s="354"/>
    </row>
    <row r="913" ht="15.75" customHeight="1">
      <c r="B913" s="309"/>
      <c r="D913" s="298"/>
      <c r="E913" s="299"/>
      <c r="F913" s="353"/>
      <c r="G913" s="299"/>
      <c r="H913" s="299"/>
      <c r="I913" s="354"/>
      <c r="J913" s="354"/>
    </row>
    <row r="914" ht="15.75" customHeight="1">
      <c r="B914" s="309"/>
      <c r="D914" s="298"/>
      <c r="E914" s="299"/>
      <c r="F914" s="353"/>
      <c r="G914" s="299"/>
      <c r="H914" s="299"/>
      <c r="I914" s="354"/>
      <c r="J914" s="354"/>
    </row>
    <row r="915" ht="15.75" customHeight="1">
      <c r="B915" s="309"/>
      <c r="D915" s="298"/>
      <c r="E915" s="299"/>
      <c r="F915" s="353"/>
      <c r="G915" s="299"/>
      <c r="H915" s="299"/>
      <c r="I915" s="354"/>
      <c r="J915" s="354"/>
    </row>
    <row r="916" ht="15.75" customHeight="1">
      <c r="B916" s="309"/>
      <c r="D916" s="298"/>
      <c r="E916" s="299"/>
      <c r="F916" s="353"/>
      <c r="G916" s="299"/>
      <c r="H916" s="299"/>
      <c r="I916" s="354"/>
      <c r="J916" s="354"/>
    </row>
    <row r="917" ht="15.75" customHeight="1">
      <c r="B917" s="309"/>
      <c r="D917" s="298"/>
      <c r="E917" s="299"/>
      <c r="F917" s="353"/>
      <c r="G917" s="299"/>
      <c r="H917" s="299"/>
      <c r="I917" s="354"/>
      <c r="J917" s="354"/>
    </row>
    <row r="918" ht="15.75" customHeight="1">
      <c r="B918" s="309"/>
      <c r="D918" s="298"/>
      <c r="E918" s="299"/>
      <c r="F918" s="353"/>
      <c r="G918" s="299"/>
      <c r="H918" s="299"/>
      <c r="I918" s="354"/>
      <c r="J918" s="354"/>
    </row>
    <row r="919" ht="15.75" customHeight="1">
      <c r="B919" s="309"/>
      <c r="D919" s="298"/>
      <c r="E919" s="299"/>
      <c r="F919" s="353"/>
      <c r="G919" s="299"/>
      <c r="H919" s="299"/>
      <c r="I919" s="354"/>
      <c r="J919" s="354"/>
    </row>
    <row r="920" ht="15.75" customHeight="1">
      <c r="B920" s="309"/>
      <c r="D920" s="298"/>
      <c r="E920" s="299"/>
      <c r="F920" s="353"/>
      <c r="G920" s="299"/>
      <c r="H920" s="299"/>
      <c r="I920" s="354"/>
      <c r="J920" s="354"/>
    </row>
    <row r="921" ht="15.75" customHeight="1">
      <c r="B921" s="309"/>
      <c r="D921" s="298"/>
      <c r="E921" s="299"/>
      <c r="F921" s="353"/>
      <c r="G921" s="299"/>
      <c r="H921" s="299"/>
      <c r="I921" s="354"/>
      <c r="J921" s="354"/>
    </row>
    <row r="922" ht="15.75" customHeight="1">
      <c r="B922" s="309"/>
      <c r="D922" s="298"/>
      <c r="E922" s="299"/>
      <c r="F922" s="353"/>
      <c r="G922" s="299"/>
      <c r="H922" s="299"/>
      <c r="I922" s="354"/>
      <c r="J922" s="354"/>
    </row>
    <row r="923" ht="15.75" customHeight="1">
      <c r="B923" s="309"/>
      <c r="D923" s="298"/>
      <c r="E923" s="299"/>
      <c r="F923" s="353"/>
      <c r="G923" s="299"/>
      <c r="H923" s="299"/>
      <c r="I923" s="354"/>
      <c r="J923" s="354"/>
    </row>
    <row r="924" ht="15.75" customHeight="1">
      <c r="B924" s="309"/>
      <c r="D924" s="298"/>
      <c r="E924" s="299"/>
      <c r="F924" s="353"/>
      <c r="G924" s="299"/>
      <c r="H924" s="299"/>
      <c r="I924" s="354"/>
      <c r="J924" s="354"/>
    </row>
    <row r="925" ht="15.75" customHeight="1">
      <c r="B925" s="309"/>
      <c r="D925" s="298"/>
      <c r="E925" s="299"/>
      <c r="F925" s="353"/>
      <c r="G925" s="299"/>
      <c r="H925" s="299"/>
      <c r="I925" s="354"/>
      <c r="J925" s="354"/>
    </row>
    <row r="926" ht="15.75" customHeight="1">
      <c r="B926" s="309"/>
      <c r="D926" s="298"/>
      <c r="E926" s="299"/>
      <c r="F926" s="353"/>
      <c r="G926" s="299"/>
      <c r="H926" s="299"/>
      <c r="I926" s="354"/>
      <c r="J926" s="354"/>
    </row>
    <row r="927" ht="15.75" customHeight="1">
      <c r="B927" s="309"/>
      <c r="D927" s="298"/>
      <c r="E927" s="299"/>
      <c r="F927" s="353"/>
      <c r="G927" s="299"/>
      <c r="H927" s="299"/>
      <c r="I927" s="354"/>
      <c r="J927" s="354"/>
    </row>
    <row r="928" ht="15.75" customHeight="1">
      <c r="B928" s="309"/>
      <c r="D928" s="298"/>
      <c r="E928" s="299"/>
      <c r="F928" s="353"/>
      <c r="G928" s="299"/>
      <c r="H928" s="299"/>
      <c r="I928" s="354"/>
      <c r="J928" s="354"/>
    </row>
    <row r="929" ht="15.75" customHeight="1">
      <c r="B929" s="309"/>
      <c r="D929" s="298"/>
      <c r="E929" s="299"/>
      <c r="F929" s="353"/>
      <c r="G929" s="299"/>
      <c r="H929" s="299"/>
      <c r="I929" s="354"/>
      <c r="J929" s="354"/>
    </row>
    <row r="930" ht="15.75" customHeight="1">
      <c r="B930" s="309"/>
      <c r="D930" s="298"/>
      <c r="E930" s="299"/>
      <c r="F930" s="353"/>
      <c r="G930" s="299"/>
      <c r="H930" s="299"/>
      <c r="I930" s="354"/>
      <c r="J930" s="354"/>
    </row>
    <row r="931" ht="15.75" customHeight="1">
      <c r="B931" s="309"/>
      <c r="D931" s="298"/>
      <c r="E931" s="299"/>
      <c r="F931" s="353"/>
      <c r="G931" s="299"/>
      <c r="H931" s="299"/>
      <c r="I931" s="354"/>
      <c r="J931" s="354"/>
    </row>
    <row r="932" ht="15.75" customHeight="1">
      <c r="B932" s="309"/>
      <c r="D932" s="298"/>
      <c r="E932" s="299"/>
      <c r="F932" s="353"/>
      <c r="G932" s="299"/>
      <c r="H932" s="299"/>
      <c r="I932" s="354"/>
      <c r="J932" s="354"/>
    </row>
    <row r="933" ht="15.75" customHeight="1">
      <c r="B933" s="309"/>
      <c r="D933" s="298"/>
      <c r="E933" s="299"/>
      <c r="F933" s="353"/>
      <c r="G933" s="299"/>
      <c r="H933" s="299"/>
      <c r="I933" s="354"/>
      <c r="J933" s="354"/>
    </row>
    <row r="934" ht="15.75" customHeight="1">
      <c r="B934" s="309"/>
      <c r="D934" s="298"/>
      <c r="E934" s="299"/>
      <c r="F934" s="353"/>
      <c r="G934" s="299"/>
      <c r="H934" s="299"/>
      <c r="I934" s="354"/>
      <c r="J934" s="354"/>
    </row>
    <row r="935" ht="15.75" customHeight="1">
      <c r="B935" s="309"/>
      <c r="D935" s="298"/>
      <c r="E935" s="299"/>
      <c r="F935" s="353"/>
      <c r="G935" s="299"/>
      <c r="H935" s="299"/>
      <c r="I935" s="354"/>
      <c r="J935" s="354"/>
    </row>
    <row r="936" ht="15.75" customHeight="1">
      <c r="B936" s="309"/>
      <c r="D936" s="298"/>
      <c r="E936" s="299"/>
      <c r="F936" s="353"/>
      <c r="G936" s="299"/>
      <c r="H936" s="299"/>
      <c r="I936" s="354"/>
      <c r="J936" s="354"/>
    </row>
    <row r="937" ht="15.75" customHeight="1">
      <c r="B937" s="309"/>
      <c r="D937" s="298"/>
      <c r="E937" s="299"/>
      <c r="F937" s="353"/>
      <c r="G937" s="299"/>
      <c r="H937" s="299"/>
      <c r="I937" s="354"/>
      <c r="J937" s="354"/>
    </row>
    <row r="938" ht="15.75" customHeight="1">
      <c r="B938" s="309"/>
      <c r="D938" s="298"/>
      <c r="E938" s="299"/>
      <c r="F938" s="353"/>
      <c r="G938" s="299"/>
      <c r="H938" s="299"/>
      <c r="I938" s="354"/>
      <c r="J938" s="354"/>
    </row>
    <row r="939" ht="15.75" customHeight="1">
      <c r="B939" s="309"/>
      <c r="D939" s="298"/>
      <c r="E939" s="299"/>
      <c r="F939" s="353"/>
      <c r="G939" s="299"/>
      <c r="H939" s="299"/>
      <c r="I939" s="354"/>
      <c r="J939" s="354"/>
    </row>
    <row r="940" ht="15.75" customHeight="1">
      <c r="B940" s="309"/>
      <c r="D940" s="298"/>
      <c r="E940" s="299"/>
      <c r="F940" s="353"/>
      <c r="G940" s="299"/>
      <c r="H940" s="299"/>
      <c r="I940" s="354"/>
      <c r="J940" s="354"/>
    </row>
    <row r="941" ht="15.75" customHeight="1">
      <c r="B941" s="309"/>
      <c r="D941" s="298"/>
      <c r="E941" s="299"/>
      <c r="F941" s="353"/>
      <c r="G941" s="299"/>
      <c r="H941" s="299"/>
      <c r="I941" s="354"/>
      <c r="J941" s="354"/>
    </row>
    <row r="942" ht="15.75" customHeight="1">
      <c r="B942" s="309"/>
      <c r="D942" s="298"/>
      <c r="E942" s="299"/>
      <c r="F942" s="353"/>
      <c r="G942" s="299"/>
      <c r="H942" s="299"/>
      <c r="I942" s="354"/>
      <c r="J942" s="354"/>
    </row>
    <row r="943" ht="15.75" customHeight="1">
      <c r="B943" s="309"/>
      <c r="D943" s="298"/>
      <c r="E943" s="299"/>
      <c r="F943" s="353"/>
      <c r="G943" s="299"/>
      <c r="H943" s="299"/>
      <c r="I943" s="354"/>
      <c r="J943" s="354"/>
    </row>
    <row r="944" ht="15.75" customHeight="1">
      <c r="B944" s="309"/>
      <c r="D944" s="298"/>
      <c r="E944" s="299"/>
      <c r="F944" s="353"/>
      <c r="G944" s="299"/>
      <c r="H944" s="299"/>
      <c r="I944" s="354"/>
      <c r="J944" s="354"/>
    </row>
    <row r="945" ht="15.75" customHeight="1">
      <c r="B945" s="309"/>
      <c r="D945" s="298"/>
      <c r="E945" s="299"/>
      <c r="F945" s="353"/>
      <c r="G945" s="299"/>
      <c r="H945" s="299"/>
      <c r="I945" s="354"/>
      <c r="J945" s="354"/>
    </row>
    <row r="946" ht="15.75" customHeight="1">
      <c r="B946" s="309"/>
      <c r="D946" s="298"/>
      <c r="E946" s="299"/>
      <c r="F946" s="353"/>
      <c r="G946" s="299"/>
      <c r="H946" s="299"/>
      <c r="I946" s="354"/>
      <c r="J946" s="354"/>
    </row>
    <row r="947" ht="15.75" customHeight="1">
      <c r="B947" s="309"/>
      <c r="D947" s="298"/>
      <c r="E947" s="299"/>
      <c r="F947" s="353"/>
      <c r="G947" s="299"/>
      <c r="H947" s="299"/>
      <c r="I947" s="354"/>
      <c r="J947" s="354"/>
    </row>
    <row r="948" ht="15.75" customHeight="1">
      <c r="B948" s="309"/>
      <c r="D948" s="298"/>
      <c r="E948" s="299"/>
      <c r="F948" s="353"/>
      <c r="G948" s="299"/>
      <c r="H948" s="299"/>
      <c r="I948" s="354"/>
      <c r="J948" s="354"/>
    </row>
    <row r="949" ht="15.75" customHeight="1">
      <c r="B949" s="309"/>
      <c r="D949" s="298"/>
      <c r="E949" s="299"/>
      <c r="F949" s="353"/>
      <c r="G949" s="299"/>
      <c r="H949" s="299"/>
      <c r="I949" s="354"/>
      <c r="J949" s="354"/>
    </row>
    <row r="950" ht="15.75" customHeight="1">
      <c r="B950" s="309"/>
      <c r="D950" s="298"/>
      <c r="E950" s="299"/>
      <c r="F950" s="353"/>
      <c r="G950" s="299"/>
      <c r="H950" s="299"/>
      <c r="I950" s="354"/>
      <c r="J950" s="354"/>
    </row>
    <row r="951" ht="15.75" customHeight="1">
      <c r="B951" s="309"/>
      <c r="D951" s="298"/>
      <c r="E951" s="299"/>
      <c r="F951" s="353"/>
      <c r="G951" s="299"/>
      <c r="H951" s="299"/>
      <c r="I951" s="354"/>
      <c r="J951" s="354"/>
    </row>
    <row r="952" ht="15.75" customHeight="1">
      <c r="B952" s="309"/>
      <c r="D952" s="298"/>
      <c r="E952" s="299"/>
      <c r="F952" s="353"/>
      <c r="G952" s="299"/>
      <c r="H952" s="299"/>
      <c r="I952" s="354"/>
      <c r="J952" s="354"/>
    </row>
    <row r="953" ht="15.75" customHeight="1">
      <c r="B953" s="309"/>
      <c r="D953" s="298"/>
      <c r="E953" s="299"/>
      <c r="F953" s="353"/>
      <c r="G953" s="299"/>
      <c r="H953" s="299"/>
      <c r="I953" s="354"/>
      <c r="J953" s="354"/>
    </row>
    <row r="954" ht="15.75" customHeight="1">
      <c r="B954" s="309"/>
      <c r="D954" s="298"/>
      <c r="E954" s="299"/>
      <c r="F954" s="353"/>
      <c r="G954" s="299"/>
      <c r="H954" s="299"/>
      <c r="I954" s="354"/>
      <c r="J954" s="354"/>
    </row>
    <row r="955" ht="15.75" customHeight="1">
      <c r="B955" s="309"/>
      <c r="D955" s="298"/>
      <c r="E955" s="299"/>
      <c r="F955" s="353"/>
      <c r="G955" s="299"/>
      <c r="H955" s="299"/>
      <c r="I955" s="354"/>
      <c r="J955" s="354"/>
    </row>
    <row r="956" ht="15.75" customHeight="1">
      <c r="B956" s="309"/>
      <c r="D956" s="298"/>
      <c r="E956" s="299"/>
      <c r="F956" s="353"/>
      <c r="G956" s="299"/>
      <c r="H956" s="299"/>
      <c r="I956" s="354"/>
      <c r="J956" s="354"/>
    </row>
    <row r="957" ht="15.75" customHeight="1">
      <c r="B957" s="309"/>
      <c r="D957" s="298"/>
      <c r="E957" s="299"/>
      <c r="F957" s="353"/>
      <c r="G957" s="299"/>
      <c r="H957" s="299"/>
      <c r="I957" s="354"/>
      <c r="J957" s="354"/>
    </row>
    <row r="958" ht="15.75" customHeight="1">
      <c r="B958" s="309"/>
      <c r="D958" s="298"/>
      <c r="E958" s="299"/>
      <c r="F958" s="353"/>
      <c r="G958" s="299"/>
      <c r="H958" s="299"/>
      <c r="I958" s="354"/>
      <c r="J958" s="354"/>
    </row>
    <row r="959" ht="15.75" customHeight="1">
      <c r="B959" s="309"/>
      <c r="D959" s="298"/>
      <c r="E959" s="299"/>
      <c r="F959" s="353"/>
      <c r="G959" s="299"/>
      <c r="H959" s="299"/>
      <c r="I959" s="354"/>
      <c r="J959" s="354"/>
    </row>
    <row r="960" ht="15.75" customHeight="1">
      <c r="B960" s="309"/>
      <c r="D960" s="298"/>
      <c r="E960" s="299"/>
      <c r="F960" s="353"/>
      <c r="G960" s="299"/>
      <c r="H960" s="299"/>
      <c r="I960" s="354"/>
      <c r="J960" s="354"/>
    </row>
    <row r="961" ht="15.75" customHeight="1">
      <c r="B961" s="309"/>
      <c r="D961" s="298"/>
      <c r="E961" s="299"/>
      <c r="F961" s="353"/>
      <c r="G961" s="299"/>
      <c r="H961" s="299"/>
      <c r="I961" s="354"/>
      <c r="J961" s="354"/>
    </row>
    <row r="962" ht="15.75" customHeight="1">
      <c r="B962" s="309"/>
      <c r="D962" s="298"/>
      <c r="E962" s="299"/>
      <c r="F962" s="353"/>
      <c r="G962" s="299"/>
      <c r="H962" s="299"/>
      <c r="I962" s="354"/>
      <c r="J962" s="354"/>
    </row>
    <row r="963" ht="15.75" customHeight="1">
      <c r="B963" s="309"/>
      <c r="D963" s="298"/>
      <c r="E963" s="299"/>
      <c r="F963" s="353"/>
      <c r="G963" s="299"/>
      <c r="H963" s="299"/>
      <c r="I963" s="354"/>
      <c r="J963" s="354"/>
    </row>
    <row r="964" ht="15.75" customHeight="1">
      <c r="B964" s="309"/>
      <c r="D964" s="298"/>
      <c r="E964" s="299"/>
      <c r="F964" s="353"/>
      <c r="G964" s="299"/>
      <c r="H964" s="299"/>
      <c r="I964" s="354"/>
      <c r="J964" s="354"/>
    </row>
    <row r="965" ht="15.75" customHeight="1">
      <c r="B965" s="309"/>
      <c r="D965" s="298"/>
      <c r="E965" s="299"/>
      <c r="F965" s="353"/>
      <c r="G965" s="299"/>
      <c r="H965" s="299"/>
      <c r="I965" s="354"/>
      <c r="J965" s="354"/>
    </row>
    <row r="966" ht="15.75" customHeight="1">
      <c r="B966" s="309"/>
      <c r="D966" s="298"/>
      <c r="E966" s="299"/>
      <c r="F966" s="353"/>
      <c r="G966" s="299"/>
      <c r="H966" s="299"/>
      <c r="I966" s="354"/>
      <c r="J966" s="354"/>
    </row>
    <row r="967" ht="15.75" customHeight="1">
      <c r="B967" s="309"/>
      <c r="D967" s="298"/>
      <c r="E967" s="299"/>
      <c r="F967" s="353"/>
      <c r="G967" s="299"/>
      <c r="H967" s="299"/>
      <c r="I967" s="354"/>
      <c r="J967" s="354"/>
    </row>
    <row r="968" ht="15.75" customHeight="1">
      <c r="B968" s="309"/>
      <c r="D968" s="298"/>
      <c r="E968" s="299"/>
      <c r="F968" s="353"/>
      <c r="G968" s="299"/>
      <c r="H968" s="299"/>
      <c r="I968" s="354"/>
      <c r="J968" s="354"/>
    </row>
    <row r="969" ht="15.75" customHeight="1">
      <c r="B969" s="309"/>
      <c r="D969" s="298"/>
      <c r="E969" s="299"/>
      <c r="F969" s="353"/>
      <c r="G969" s="299"/>
      <c r="H969" s="299"/>
      <c r="I969" s="354"/>
      <c r="J969" s="354"/>
    </row>
    <row r="970" ht="15.75" customHeight="1">
      <c r="B970" s="309"/>
      <c r="D970" s="298"/>
      <c r="E970" s="299"/>
      <c r="F970" s="353"/>
      <c r="G970" s="299"/>
      <c r="H970" s="299"/>
      <c r="I970" s="354"/>
      <c r="J970" s="354"/>
    </row>
    <row r="971" ht="15.75" customHeight="1">
      <c r="B971" s="309"/>
      <c r="D971" s="298"/>
      <c r="E971" s="299"/>
      <c r="F971" s="353"/>
      <c r="G971" s="299"/>
      <c r="H971" s="299"/>
      <c r="I971" s="354"/>
      <c r="J971" s="354"/>
    </row>
    <row r="972" ht="15.75" customHeight="1">
      <c r="B972" s="309"/>
      <c r="D972" s="298"/>
      <c r="E972" s="299"/>
      <c r="F972" s="353"/>
      <c r="G972" s="299"/>
      <c r="H972" s="299"/>
      <c r="I972" s="354"/>
      <c r="J972" s="354"/>
    </row>
    <row r="973" ht="15.75" customHeight="1">
      <c r="B973" s="309"/>
      <c r="D973" s="298"/>
      <c r="E973" s="299"/>
      <c r="F973" s="353"/>
      <c r="G973" s="299"/>
      <c r="H973" s="299"/>
      <c r="I973" s="354"/>
      <c r="J973" s="354"/>
    </row>
    <row r="974" ht="15.75" customHeight="1">
      <c r="B974" s="309"/>
      <c r="D974" s="298"/>
      <c r="E974" s="299"/>
      <c r="F974" s="353"/>
      <c r="G974" s="299"/>
      <c r="H974" s="299"/>
      <c r="I974" s="354"/>
      <c r="J974" s="354"/>
    </row>
    <row r="975" ht="15.75" customHeight="1">
      <c r="B975" s="309"/>
      <c r="D975" s="298"/>
      <c r="E975" s="299"/>
      <c r="F975" s="353"/>
      <c r="G975" s="299"/>
      <c r="H975" s="299"/>
      <c r="I975" s="354"/>
      <c r="J975" s="354"/>
    </row>
    <row r="976" ht="15.75" customHeight="1">
      <c r="B976" s="309"/>
      <c r="D976" s="298"/>
      <c r="E976" s="299"/>
      <c r="F976" s="353"/>
      <c r="G976" s="299"/>
      <c r="H976" s="299"/>
      <c r="I976" s="354"/>
      <c r="J976" s="354"/>
    </row>
    <row r="977" ht="15.75" customHeight="1">
      <c r="B977" s="309"/>
      <c r="D977" s="298"/>
      <c r="E977" s="299"/>
      <c r="F977" s="353"/>
      <c r="G977" s="299"/>
      <c r="H977" s="299"/>
      <c r="I977" s="354"/>
      <c r="J977" s="354"/>
    </row>
    <row r="978" ht="15.75" customHeight="1">
      <c r="B978" s="309"/>
      <c r="D978" s="298"/>
      <c r="E978" s="299"/>
      <c r="F978" s="353"/>
      <c r="G978" s="299"/>
      <c r="H978" s="299"/>
      <c r="I978" s="354"/>
      <c r="J978" s="354"/>
    </row>
    <row r="979" ht="15.75" customHeight="1">
      <c r="B979" s="309"/>
      <c r="D979" s="298"/>
      <c r="E979" s="299"/>
      <c r="F979" s="353"/>
      <c r="G979" s="299"/>
      <c r="H979" s="299"/>
      <c r="I979" s="354"/>
      <c r="J979" s="354"/>
    </row>
    <row r="980" ht="15.75" customHeight="1">
      <c r="B980" s="309"/>
      <c r="D980" s="298"/>
      <c r="E980" s="299"/>
      <c r="F980" s="353"/>
      <c r="G980" s="299"/>
      <c r="H980" s="299"/>
      <c r="I980" s="354"/>
      <c r="J980" s="354"/>
    </row>
    <row r="981" ht="15.75" customHeight="1">
      <c r="B981" s="309"/>
      <c r="D981" s="298"/>
      <c r="E981" s="299"/>
      <c r="F981" s="353"/>
      <c r="G981" s="299"/>
      <c r="H981" s="299"/>
      <c r="I981" s="354"/>
      <c r="J981" s="354"/>
    </row>
    <row r="982" ht="15.75" customHeight="1">
      <c r="B982" s="309"/>
      <c r="D982" s="298"/>
      <c r="E982" s="299"/>
      <c r="F982" s="353"/>
      <c r="G982" s="299"/>
      <c r="H982" s="299"/>
      <c r="I982" s="354"/>
      <c r="J982" s="354"/>
    </row>
    <row r="983" ht="15.75" customHeight="1">
      <c r="B983" s="309"/>
      <c r="D983" s="298"/>
      <c r="E983" s="299"/>
      <c r="F983" s="353"/>
      <c r="G983" s="299"/>
      <c r="H983" s="299"/>
      <c r="I983" s="354"/>
      <c r="J983" s="354"/>
    </row>
    <row r="984" ht="15.75" customHeight="1">
      <c r="B984" s="309"/>
      <c r="D984" s="298"/>
      <c r="E984" s="299"/>
      <c r="F984" s="353"/>
      <c r="G984" s="299"/>
      <c r="H984" s="299"/>
      <c r="I984" s="354"/>
      <c r="J984" s="354"/>
    </row>
    <row r="985" ht="15.75" customHeight="1">
      <c r="B985" s="309"/>
      <c r="D985" s="298"/>
      <c r="E985" s="299"/>
      <c r="F985" s="353"/>
      <c r="G985" s="299"/>
      <c r="H985" s="299"/>
      <c r="I985" s="354"/>
      <c r="J985" s="354"/>
    </row>
    <row r="986" ht="15.75" customHeight="1">
      <c r="B986" s="309"/>
      <c r="D986" s="298"/>
      <c r="E986" s="299"/>
      <c r="F986" s="353"/>
      <c r="G986" s="299"/>
      <c r="H986" s="299"/>
      <c r="I986" s="354"/>
      <c r="J986" s="354"/>
    </row>
    <row r="987" ht="15.75" customHeight="1">
      <c r="B987" s="309"/>
      <c r="D987" s="298"/>
      <c r="E987" s="299"/>
      <c r="F987" s="353"/>
      <c r="G987" s="299"/>
      <c r="H987" s="299"/>
      <c r="I987" s="354"/>
      <c r="J987" s="354"/>
    </row>
    <row r="988" ht="15.75" customHeight="1">
      <c r="B988" s="309"/>
      <c r="D988" s="298"/>
      <c r="E988" s="299"/>
      <c r="F988" s="353"/>
      <c r="G988" s="299"/>
      <c r="H988" s="299"/>
      <c r="I988" s="354"/>
      <c r="J988" s="354"/>
    </row>
    <row r="989" ht="15.75" customHeight="1">
      <c r="B989" s="309"/>
      <c r="D989" s="298"/>
      <c r="E989" s="299"/>
      <c r="F989" s="353"/>
      <c r="G989" s="299"/>
      <c r="H989" s="299"/>
      <c r="I989" s="354"/>
      <c r="J989" s="354"/>
    </row>
    <row r="990" ht="15.75" customHeight="1">
      <c r="B990" s="309"/>
      <c r="D990" s="298"/>
      <c r="E990" s="299"/>
      <c r="F990" s="353"/>
      <c r="G990" s="299"/>
      <c r="H990" s="299"/>
      <c r="I990" s="354"/>
      <c r="J990" s="354"/>
    </row>
    <row r="991" ht="15.75" customHeight="1">
      <c r="B991" s="309"/>
      <c r="D991" s="298"/>
      <c r="E991" s="299"/>
      <c r="F991" s="353"/>
      <c r="G991" s="299"/>
      <c r="H991" s="299"/>
      <c r="I991" s="354"/>
      <c r="J991" s="354"/>
    </row>
    <row r="992" ht="15.75" customHeight="1">
      <c r="B992" s="309"/>
      <c r="D992" s="298"/>
      <c r="E992" s="299"/>
      <c r="F992" s="353"/>
      <c r="G992" s="299"/>
      <c r="H992" s="299"/>
      <c r="I992" s="354"/>
      <c r="J992" s="354"/>
    </row>
    <row r="993" ht="15.75" customHeight="1">
      <c r="B993" s="309"/>
      <c r="D993" s="298"/>
      <c r="E993" s="299"/>
      <c r="F993" s="353"/>
      <c r="G993" s="299"/>
      <c r="H993" s="299"/>
      <c r="I993" s="354"/>
      <c r="J993" s="354"/>
    </row>
    <row r="994" ht="15.75" customHeight="1">
      <c r="B994" s="309"/>
      <c r="D994" s="298"/>
      <c r="E994" s="299"/>
      <c r="F994" s="353"/>
      <c r="G994" s="299"/>
      <c r="H994" s="299"/>
      <c r="I994" s="354"/>
      <c r="J994" s="354"/>
    </row>
    <row r="995" ht="15.75" customHeight="1">
      <c r="B995" s="309"/>
      <c r="D995" s="298"/>
      <c r="E995" s="299"/>
      <c r="F995" s="353"/>
      <c r="G995" s="299"/>
      <c r="H995" s="299"/>
      <c r="I995" s="354"/>
      <c r="J995" s="354"/>
    </row>
    <row r="996" ht="15.75" customHeight="1">
      <c r="B996" s="309"/>
      <c r="D996" s="298"/>
      <c r="E996" s="299"/>
      <c r="F996" s="353"/>
      <c r="G996" s="299"/>
      <c r="H996" s="299"/>
      <c r="I996" s="354"/>
      <c r="J996" s="354"/>
    </row>
    <row r="997" ht="15.75" customHeight="1">
      <c r="B997" s="309"/>
      <c r="D997" s="298"/>
      <c r="E997" s="299"/>
      <c r="F997" s="353"/>
      <c r="G997" s="299"/>
      <c r="H997" s="299"/>
      <c r="I997" s="354"/>
      <c r="J997" s="354"/>
    </row>
    <row r="998" ht="15.75" customHeight="1">
      <c r="B998" s="309"/>
      <c r="D998" s="298"/>
      <c r="E998" s="299"/>
      <c r="F998" s="353"/>
      <c r="G998" s="299"/>
      <c r="H998" s="299"/>
      <c r="I998" s="354"/>
      <c r="J998" s="354"/>
    </row>
    <row r="999" ht="15.75" customHeight="1">
      <c r="B999" s="309"/>
      <c r="D999" s="298"/>
      <c r="E999" s="299"/>
      <c r="F999" s="353"/>
      <c r="G999" s="299"/>
      <c r="H999" s="299"/>
      <c r="I999" s="354"/>
      <c r="J999" s="354"/>
    </row>
    <row r="1000" ht="15.75" customHeight="1">
      <c r="B1000" s="309"/>
      <c r="D1000" s="298"/>
      <c r="E1000" s="299"/>
      <c r="F1000" s="353"/>
      <c r="G1000" s="299"/>
      <c r="H1000" s="299"/>
      <c r="I1000" s="354"/>
      <c r="J1000" s="354"/>
    </row>
    <row r="1001" ht="15.75" customHeight="1">
      <c r="B1001" s="309"/>
      <c r="D1001" s="298"/>
      <c r="E1001" s="299"/>
      <c r="F1001" s="353"/>
      <c r="G1001" s="299"/>
      <c r="H1001" s="299"/>
      <c r="I1001" s="354"/>
      <c r="J1001" s="354"/>
    </row>
    <row r="1002" ht="15.75" customHeight="1">
      <c r="B1002" s="309"/>
      <c r="D1002" s="298"/>
      <c r="E1002" s="299"/>
      <c r="F1002" s="353"/>
      <c r="G1002" s="299"/>
      <c r="H1002" s="299"/>
      <c r="I1002" s="354"/>
      <c r="J1002" s="354"/>
    </row>
    <row r="1003" ht="15.75" customHeight="1">
      <c r="B1003" s="309"/>
      <c r="D1003" s="298"/>
      <c r="E1003" s="299"/>
      <c r="F1003" s="353"/>
      <c r="G1003" s="299"/>
      <c r="H1003" s="299"/>
      <c r="I1003" s="354"/>
      <c r="J1003" s="354"/>
    </row>
    <row r="1004" ht="15.75" customHeight="1">
      <c r="B1004" s="309"/>
      <c r="D1004" s="298"/>
      <c r="E1004" s="299"/>
      <c r="F1004" s="353"/>
      <c r="G1004" s="299"/>
      <c r="H1004" s="299"/>
      <c r="I1004" s="354"/>
      <c r="J1004" s="354"/>
    </row>
    <row r="1005" ht="15.75" customHeight="1">
      <c r="B1005" s="309"/>
      <c r="D1005" s="298"/>
      <c r="E1005" s="299"/>
      <c r="F1005" s="353"/>
      <c r="G1005" s="299"/>
      <c r="H1005" s="299"/>
      <c r="I1005" s="354"/>
      <c r="J1005" s="354"/>
    </row>
    <row r="1006" ht="15.75" customHeight="1">
      <c r="B1006" s="309"/>
      <c r="D1006" s="298"/>
      <c r="E1006" s="299"/>
      <c r="F1006" s="353"/>
      <c r="G1006" s="299"/>
      <c r="H1006" s="299"/>
      <c r="I1006" s="354"/>
      <c r="J1006" s="354"/>
    </row>
    <row r="1007" ht="15.75" customHeight="1">
      <c r="B1007" s="309"/>
      <c r="D1007" s="298"/>
      <c r="E1007" s="299"/>
      <c r="F1007" s="353"/>
      <c r="G1007" s="299"/>
      <c r="H1007" s="299"/>
      <c r="I1007" s="354"/>
      <c r="J1007" s="354"/>
    </row>
    <row r="1008" ht="15.75" customHeight="1">
      <c r="B1008" s="309"/>
      <c r="D1008" s="298"/>
      <c r="E1008" s="299"/>
      <c r="F1008" s="353"/>
      <c r="G1008" s="299"/>
      <c r="H1008" s="299"/>
      <c r="I1008" s="354"/>
      <c r="J1008" s="354"/>
    </row>
    <row r="1009" ht="15.75" customHeight="1">
      <c r="B1009" s="309"/>
      <c r="D1009" s="298"/>
      <c r="E1009" s="299"/>
      <c r="F1009" s="353"/>
      <c r="G1009" s="299"/>
      <c r="H1009" s="299"/>
      <c r="I1009" s="354"/>
      <c r="J1009" s="354"/>
    </row>
    <row r="1010" ht="15.75" customHeight="1">
      <c r="B1010" s="309"/>
      <c r="D1010" s="298"/>
      <c r="E1010" s="299"/>
      <c r="F1010" s="353"/>
      <c r="G1010" s="299"/>
      <c r="H1010" s="299"/>
      <c r="I1010" s="354"/>
      <c r="J1010" s="354"/>
    </row>
    <row r="1011" ht="15.75" customHeight="1">
      <c r="B1011" s="309"/>
      <c r="D1011" s="298"/>
      <c r="E1011" s="299"/>
      <c r="F1011" s="353"/>
      <c r="G1011" s="299"/>
      <c r="H1011" s="299"/>
      <c r="I1011" s="354"/>
      <c r="J1011" s="354"/>
    </row>
    <row r="1012" ht="15.75" customHeight="1">
      <c r="B1012" s="309"/>
      <c r="D1012" s="298"/>
      <c r="E1012" s="299"/>
      <c r="F1012" s="353"/>
      <c r="G1012" s="299"/>
      <c r="H1012" s="299"/>
      <c r="I1012" s="354"/>
      <c r="J1012" s="354"/>
    </row>
    <row r="1013" ht="15.75" customHeight="1">
      <c r="B1013" s="309"/>
      <c r="D1013" s="298"/>
      <c r="E1013" s="299"/>
      <c r="F1013" s="353"/>
      <c r="G1013" s="299"/>
      <c r="H1013" s="299"/>
      <c r="I1013" s="354"/>
      <c r="J1013" s="354"/>
    </row>
    <row r="1014" ht="15.75" customHeight="1">
      <c r="B1014" s="309"/>
      <c r="D1014" s="298"/>
      <c r="E1014" s="299"/>
      <c r="F1014" s="353"/>
      <c r="G1014" s="299"/>
      <c r="H1014" s="299"/>
      <c r="I1014" s="354"/>
      <c r="J1014" s="354"/>
    </row>
    <row r="1015" ht="15.75" customHeight="1">
      <c r="B1015" s="309"/>
      <c r="D1015" s="298"/>
      <c r="E1015" s="299"/>
      <c r="F1015" s="353"/>
      <c r="G1015" s="299"/>
      <c r="H1015" s="299"/>
      <c r="I1015" s="354"/>
      <c r="J1015" s="354"/>
    </row>
    <row r="1016" ht="15.75" customHeight="1">
      <c r="B1016" s="309"/>
      <c r="D1016" s="298"/>
      <c r="E1016" s="299"/>
      <c r="F1016" s="353"/>
      <c r="G1016" s="299"/>
      <c r="H1016" s="299"/>
      <c r="I1016" s="354"/>
      <c r="J1016" s="354"/>
    </row>
    <row r="1017" ht="15.75" customHeight="1">
      <c r="B1017" s="309"/>
      <c r="D1017" s="298"/>
      <c r="E1017" s="299"/>
      <c r="F1017" s="353"/>
      <c r="G1017" s="299"/>
      <c r="H1017" s="299"/>
      <c r="I1017" s="354"/>
      <c r="J1017" s="354"/>
    </row>
    <row r="1018" ht="15.75" customHeight="1">
      <c r="B1018" s="309"/>
      <c r="D1018" s="298"/>
      <c r="E1018" s="299"/>
      <c r="F1018" s="353"/>
      <c r="G1018" s="299"/>
      <c r="H1018" s="299"/>
      <c r="I1018" s="354"/>
      <c r="J1018" s="354"/>
    </row>
    <row r="1019" ht="15.75" customHeight="1">
      <c r="B1019" s="309"/>
      <c r="D1019" s="298"/>
      <c r="E1019" s="299"/>
      <c r="F1019" s="353"/>
      <c r="G1019" s="299"/>
      <c r="H1019" s="299"/>
      <c r="I1019" s="354"/>
      <c r="J1019" s="354"/>
    </row>
    <row r="1020" ht="15.75" customHeight="1">
      <c r="B1020" s="309"/>
      <c r="D1020" s="298"/>
      <c r="E1020" s="299"/>
      <c r="F1020" s="353"/>
      <c r="G1020" s="299"/>
      <c r="H1020" s="299"/>
      <c r="I1020" s="354"/>
      <c r="J1020" s="354"/>
    </row>
    <row r="1021" ht="15.75" customHeight="1">
      <c r="B1021" s="309"/>
      <c r="D1021" s="298"/>
      <c r="E1021" s="299"/>
      <c r="F1021" s="353"/>
      <c r="G1021" s="299"/>
      <c r="H1021" s="299"/>
      <c r="I1021" s="354"/>
      <c r="J1021" s="354"/>
    </row>
    <row r="1022" ht="15.75" customHeight="1">
      <c r="B1022" s="309"/>
      <c r="D1022" s="298"/>
      <c r="E1022" s="299"/>
      <c r="F1022" s="353"/>
      <c r="G1022" s="299"/>
      <c r="H1022" s="299"/>
      <c r="I1022" s="354"/>
      <c r="J1022" s="354"/>
    </row>
    <row r="1023" ht="15.75" customHeight="1">
      <c r="B1023" s="309"/>
      <c r="D1023" s="298"/>
      <c r="E1023" s="299"/>
      <c r="F1023" s="353"/>
      <c r="G1023" s="299"/>
      <c r="H1023" s="299"/>
      <c r="I1023" s="354"/>
      <c r="J1023" s="354"/>
    </row>
    <row r="1024" ht="15.75" customHeight="1">
      <c r="B1024" s="309"/>
      <c r="D1024" s="298"/>
      <c r="E1024" s="299"/>
      <c r="F1024" s="353"/>
      <c r="G1024" s="299"/>
      <c r="H1024" s="299"/>
      <c r="I1024" s="354"/>
      <c r="J1024" s="354"/>
    </row>
    <row r="1025" ht="15.75" customHeight="1">
      <c r="B1025" s="309"/>
      <c r="D1025" s="298"/>
      <c r="E1025" s="299"/>
      <c r="F1025" s="353"/>
      <c r="G1025" s="299"/>
      <c r="H1025" s="299"/>
      <c r="I1025" s="354"/>
      <c r="J1025" s="354"/>
    </row>
    <row r="1026" ht="15.75" customHeight="1">
      <c r="B1026" s="309"/>
      <c r="D1026" s="298"/>
      <c r="E1026" s="299"/>
      <c r="F1026" s="353"/>
      <c r="G1026" s="299"/>
      <c r="H1026" s="299"/>
      <c r="I1026" s="354"/>
      <c r="J1026" s="354"/>
    </row>
    <row r="1027" ht="15.75" customHeight="1">
      <c r="B1027" s="309"/>
      <c r="D1027" s="298"/>
      <c r="E1027" s="299"/>
      <c r="F1027" s="353"/>
      <c r="G1027" s="299"/>
      <c r="H1027" s="299"/>
      <c r="I1027" s="354"/>
      <c r="J1027" s="354"/>
    </row>
    <row r="1028" ht="15.75" customHeight="1">
      <c r="B1028" s="309"/>
      <c r="D1028" s="298"/>
      <c r="E1028" s="299"/>
      <c r="F1028" s="353"/>
      <c r="G1028" s="299"/>
      <c r="H1028" s="299"/>
      <c r="I1028" s="354"/>
      <c r="J1028" s="354"/>
    </row>
    <row r="1029" ht="15.75" customHeight="1">
      <c r="B1029" s="309"/>
      <c r="D1029" s="298"/>
      <c r="E1029" s="299"/>
      <c r="F1029" s="353"/>
      <c r="G1029" s="299"/>
      <c r="H1029" s="299"/>
      <c r="I1029" s="354"/>
      <c r="J1029" s="354"/>
    </row>
    <row r="1030" ht="15.75" customHeight="1">
      <c r="B1030" s="309"/>
      <c r="D1030" s="298"/>
      <c r="E1030" s="299"/>
      <c r="F1030" s="353"/>
      <c r="G1030" s="299"/>
      <c r="H1030" s="299"/>
      <c r="I1030" s="354"/>
      <c r="J1030" s="354"/>
    </row>
    <row r="1031" ht="15.75" customHeight="1">
      <c r="B1031" s="309"/>
      <c r="D1031" s="298"/>
      <c r="E1031" s="299"/>
      <c r="F1031" s="353"/>
      <c r="G1031" s="299"/>
      <c r="H1031" s="299"/>
      <c r="I1031" s="354"/>
      <c r="J1031" s="354"/>
    </row>
    <row r="1032" ht="15.75" customHeight="1">
      <c r="B1032" s="309"/>
      <c r="D1032" s="298"/>
      <c r="E1032" s="299"/>
      <c r="F1032" s="353"/>
      <c r="G1032" s="299"/>
      <c r="H1032" s="299"/>
      <c r="I1032" s="354"/>
      <c r="J1032" s="354"/>
    </row>
    <row r="1033" ht="15.75" customHeight="1">
      <c r="B1033" s="309"/>
      <c r="D1033" s="298"/>
      <c r="E1033" s="299"/>
      <c r="F1033" s="353"/>
      <c r="G1033" s="299"/>
      <c r="H1033" s="299"/>
      <c r="I1033" s="354"/>
      <c r="J1033" s="354"/>
    </row>
    <row r="1034" ht="15.75" customHeight="1">
      <c r="B1034" s="309"/>
      <c r="D1034" s="298"/>
      <c r="E1034" s="299"/>
      <c r="F1034" s="353"/>
      <c r="G1034" s="299"/>
      <c r="H1034" s="299"/>
      <c r="I1034" s="354"/>
      <c r="J1034" s="354"/>
    </row>
    <row r="1035" ht="15.75" customHeight="1">
      <c r="B1035" s="309"/>
      <c r="D1035" s="298"/>
      <c r="E1035" s="299"/>
      <c r="F1035" s="353"/>
      <c r="G1035" s="299"/>
      <c r="H1035" s="299"/>
      <c r="I1035" s="354"/>
      <c r="J1035" s="354"/>
    </row>
    <row r="1036" ht="15.75" customHeight="1">
      <c r="B1036" s="309"/>
      <c r="D1036" s="298"/>
      <c r="E1036" s="299"/>
      <c r="F1036" s="353"/>
      <c r="G1036" s="299"/>
      <c r="H1036" s="299"/>
      <c r="I1036" s="354"/>
      <c r="J1036" s="354"/>
    </row>
    <row r="1037" ht="15.75" customHeight="1">
      <c r="B1037" s="309"/>
      <c r="D1037" s="298"/>
      <c r="E1037" s="299"/>
      <c r="F1037" s="353"/>
      <c r="G1037" s="299"/>
      <c r="H1037" s="299"/>
      <c r="I1037" s="354"/>
      <c r="J1037" s="354"/>
    </row>
    <row r="1038" ht="15.75" customHeight="1">
      <c r="B1038" s="309"/>
      <c r="D1038" s="298"/>
      <c r="E1038" s="299"/>
      <c r="F1038" s="353"/>
      <c r="G1038" s="299"/>
      <c r="H1038" s="299"/>
      <c r="I1038" s="354"/>
      <c r="J1038" s="354"/>
    </row>
    <row r="1039" ht="15.75" customHeight="1">
      <c r="B1039" s="309"/>
      <c r="D1039" s="298"/>
      <c r="E1039" s="299"/>
      <c r="F1039" s="353"/>
      <c r="G1039" s="299"/>
      <c r="H1039" s="299"/>
      <c r="I1039" s="354"/>
      <c r="J1039" s="354"/>
    </row>
    <row r="1040" ht="15.75" customHeight="1">
      <c r="B1040" s="309"/>
      <c r="D1040" s="298"/>
      <c r="E1040" s="299"/>
      <c r="F1040" s="353"/>
      <c r="G1040" s="299"/>
      <c r="H1040" s="299"/>
      <c r="I1040" s="354"/>
      <c r="J1040" s="354"/>
    </row>
    <row r="1041" ht="15.75" customHeight="1">
      <c r="B1041" s="309"/>
      <c r="D1041" s="298"/>
      <c r="E1041" s="299"/>
      <c r="F1041" s="353"/>
      <c r="G1041" s="299"/>
      <c r="H1041" s="299"/>
      <c r="I1041" s="354"/>
      <c r="J1041" s="354"/>
    </row>
    <row r="1042" ht="15.75" customHeight="1">
      <c r="B1042" s="309"/>
      <c r="D1042" s="298"/>
      <c r="E1042" s="299"/>
      <c r="F1042" s="353"/>
      <c r="G1042" s="299"/>
      <c r="H1042" s="299"/>
      <c r="I1042" s="354"/>
      <c r="J1042" s="354"/>
    </row>
    <row r="1043" ht="15.75" customHeight="1">
      <c r="B1043" s="309"/>
      <c r="D1043" s="298"/>
      <c r="E1043" s="299"/>
      <c r="F1043" s="353"/>
      <c r="G1043" s="299"/>
      <c r="H1043" s="299"/>
      <c r="I1043" s="354"/>
      <c r="J1043" s="354"/>
    </row>
    <row r="1044" ht="15.75" customHeight="1">
      <c r="B1044" s="309"/>
      <c r="D1044" s="298"/>
      <c r="E1044" s="299"/>
      <c r="F1044" s="353"/>
      <c r="G1044" s="299"/>
      <c r="H1044" s="299"/>
      <c r="I1044" s="354"/>
      <c r="J1044" s="354"/>
    </row>
    <row r="1045" ht="15.75" customHeight="1">
      <c r="B1045" s="309"/>
      <c r="D1045" s="298"/>
      <c r="E1045" s="299"/>
      <c r="F1045" s="353"/>
      <c r="G1045" s="299"/>
      <c r="H1045" s="299"/>
      <c r="I1045" s="354"/>
      <c r="J1045" s="354"/>
    </row>
    <row r="1046" ht="15.75" customHeight="1">
      <c r="B1046" s="309"/>
      <c r="D1046" s="298"/>
      <c r="E1046" s="299"/>
      <c r="F1046" s="353"/>
      <c r="G1046" s="299"/>
      <c r="H1046" s="299"/>
      <c r="I1046" s="354"/>
      <c r="J1046" s="354"/>
    </row>
    <row r="1047" ht="15.75" customHeight="1">
      <c r="B1047" s="309"/>
      <c r="D1047" s="298"/>
      <c r="E1047" s="299"/>
      <c r="F1047" s="353"/>
      <c r="G1047" s="299"/>
      <c r="H1047" s="299"/>
      <c r="I1047" s="354"/>
      <c r="J1047" s="354"/>
    </row>
    <row r="1048" ht="15.75" customHeight="1">
      <c r="B1048" s="309"/>
      <c r="D1048" s="298"/>
      <c r="E1048" s="299"/>
      <c r="F1048" s="353"/>
      <c r="G1048" s="299"/>
      <c r="H1048" s="299"/>
      <c r="I1048" s="354"/>
      <c r="J1048" s="354"/>
    </row>
    <row r="1049" ht="15.75" customHeight="1">
      <c r="B1049" s="309"/>
      <c r="D1049" s="298"/>
      <c r="E1049" s="299"/>
      <c r="F1049" s="353"/>
      <c r="G1049" s="299"/>
      <c r="H1049" s="299"/>
      <c r="I1049" s="354"/>
      <c r="J1049" s="354"/>
    </row>
  </sheetData>
  <autoFilter ref="$A$1:$J$69"/>
  <mergeCells count="3">
    <mergeCell ref="A1:I1"/>
    <mergeCell ref="A2:I2"/>
    <mergeCell ref="A4:I4"/>
  </mergeCells>
  <printOptions/>
  <pageMargins bottom="0.3937007874015748" footer="0.0" header="0.0" left="0.2362204724409449" right="0.1968503937007874" top="0.4724409448818898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57"/>
    <col customWidth="1" min="3" max="3" width="27.29"/>
  </cols>
  <sheetData>
    <row r="1">
      <c r="A1" s="304" t="s">
        <v>1292</v>
      </c>
    </row>
    <row r="2">
      <c r="A2" s="304" t="s">
        <v>1293</v>
      </c>
      <c r="B2" s="304" t="s">
        <v>1294</v>
      </c>
      <c r="C2" s="304" t="s">
        <v>1295</v>
      </c>
    </row>
    <row r="3">
      <c r="A3" s="304">
        <v>2022.0</v>
      </c>
      <c r="B3" s="304">
        <v>61.0</v>
      </c>
      <c r="C3" s="304">
        <v>28.0</v>
      </c>
    </row>
    <row r="4">
      <c r="A4" s="304">
        <v>2023.0</v>
      </c>
      <c r="B4" s="304">
        <v>55.0</v>
      </c>
      <c r="C4" s="304">
        <v>25.0</v>
      </c>
    </row>
    <row r="5">
      <c r="A5" s="304">
        <v>2024.0</v>
      </c>
      <c r="B5" s="304">
        <v>8.0</v>
      </c>
      <c r="C5" s="304">
        <v>0.0</v>
      </c>
    </row>
    <row r="7">
      <c r="A7" s="304" t="s">
        <v>1296</v>
      </c>
    </row>
    <row r="9">
      <c r="A9" s="304">
        <v>2022.0</v>
      </c>
      <c r="B9" s="304">
        <v>30.0</v>
      </c>
    </row>
    <row r="10">
      <c r="A10" s="304">
        <v>2023.0</v>
      </c>
      <c r="B10" s="304">
        <v>63.0</v>
      </c>
    </row>
    <row r="11">
      <c r="A11" s="304">
        <v>2024.0</v>
      </c>
      <c r="B11" s="304">
        <v>10.0</v>
      </c>
    </row>
    <row r="13">
      <c r="B13" s="304">
        <v>7.0</v>
      </c>
    </row>
  </sheetData>
  <drawing r:id="rId1"/>
</worksheet>
</file>